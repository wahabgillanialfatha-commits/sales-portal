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E679F752-6BB6-4186-B1DC-C57041AA62C3}" xr6:coauthVersionLast="47" xr6:coauthVersionMax="47" xr10:uidLastSave="{00000000-0000-0000-0000-000000000000}"/>
  <bookViews>
    <workbookView xWindow="-110" yWindow="-110" windowWidth="19420" windowHeight="10300" tabRatio="727" firstSheet="49" activeTab="52" xr2:uid="{00000000-000D-0000-FFFF-FFFF00000000}"/>
  </bookViews>
  <sheets>
    <sheet name="OCTOBER" sheetId="1" r:id="rId1"/>
    <sheet name="NOVEMBER" sheetId="2" r:id="rId2"/>
    <sheet name="DECEMBER" sheetId="3" r:id="rId3"/>
    <sheet name="JANUARY 22" sheetId="4" r:id="rId4"/>
    <sheet name="FEBRARY 22" sheetId="5" r:id="rId5"/>
    <sheet name="MARCH 22" sheetId="6" r:id="rId6"/>
    <sheet name="APRAIL 22" sheetId="7" r:id="rId7"/>
    <sheet name="MAY 22" sheetId="8" r:id="rId8"/>
    <sheet name="JUNE 22" sheetId="9" r:id="rId9"/>
    <sheet name="JULLY 22" sheetId="11" r:id="rId10"/>
    <sheet name="Augest 22" sheetId="14" r:id="rId11"/>
    <sheet name="SEPTEMBER 22" sheetId="15" r:id="rId12"/>
    <sheet name="OCTOBER 22" sheetId="16" r:id="rId13"/>
    <sheet name="November 22" sheetId="17" r:id="rId14"/>
    <sheet name="December 22" sheetId="18" r:id="rId15"/>
    <sheet name="January 23" sheetId="19" r:id="rId16"/>
    <sheet name="Febrary 23" sheetId="20" r:id="rId17"/>
    <sheet name="March 23" sheetId="22" r:id="rId18"/>
    <sheet name="aprail 23" sheetId="23" r:id="rId19"/>
    <sheet name="May 23" sheetId="24" r:id="rId20"/>
    <sheet name="june 23" sheetId="26" r:id="rId21"/>
    <sheet name="Jully 23" sheetId="27" r:id="rId22"/>
    <sheet name="Augest 23" sheetId="28" r:id="rId23"/>
    <sheet name="September 23" sheetId="29" r:id="rId24"/>
    <sheet name="October 23" sheetId="30" r:id="rId25"/>
    <sheet name="November 23" sheetId="31" r:id="rId26"/>
    <sheet name="december 23" sheetId="32" r:id="rId27"/>
    <sheet name="JANUARY 24" sheetId="33" r:id="rId28"/>
    <sheet name="Febrary 2024" sheetId="34" r:id="rId29"/>
    <sheet name="March 2024" sheetId="35" r:id="rId30"/>
    <sheet name="aprail 2024" sheetId="36" r:id="rId31"/>
    <sheet name="may 2024" sheetId="40" r:id="rId32"/>
    <sheet name="June 2024" sheetId="41" r:id="rId33"/>
    <sheet name="Jully 24" sheetId="42" r:id="rId34"/>
    <sheet name="Augest 24" sheetId="43" r:id="rId35"/>
    <sheet name="september 24" sheetId="44" r:id="rId36"/>
    <sheet name="october 24" sheetId="45" r:id="rId37"/>
    <sheet name="november 24" sheetId="46" r:id="rId38"/>
    <sheet name="december 24" sheetId="47" r:id="rId39"/>
    <sheet name="January 25" sheetId="48" r:id="rId40"/>
    <sheet name="Febrary 25" sheetId="49" r:id="rId41"/>
    <sheet name="March 25" sheetId="50" r:id="rId42"/>
    <sheet name="Aprail 25" sheetId="51" r:id="rId43"/>
    <sheet name="may 25" sheetId="52" r:id="rId44"/>
    <sheet name="june 25" sheetId="53" r:id="rId45"/>
    <sheet name="Jully 25" sheetId="54" r:id="rId46"/>
    <sheet name="Augest 25" sheetId="55" r:id="rId47"/>
    <sheet name="September 25" sheetId="56" r:id="rId48"/>
    <sheet name="october 25" sheetId="57" r:id="rId49"/>
    <sheet name="November 25" sheetId="58" r:id="rId50"/>
    <sheet name="december 25" sheetId="59" r:id="rId51"/>
    <sheet name="January 2026" sheetId="60" r:id="rId52"/>
    <sheet name="febrary 2026" sheetId="61" r:id="rId53"/>
  </sheets>
  <definedNames>
    <definedName name="_xlnm._FilterDatabase" localSheetId="30" hidden="1">'aprail 2024'!$A$1:$J$39</definedName>
    <definedName name="_xlnm._FilterDatabase" localSheetId="6" hidden="1">'APRAIL 22'!$B$3:$N$86</definedName>
    <definedName name="_xlnm._FilterDatabase" localSheetId="10" hidden="1">'Augest 22'!$A$2:$M$69</definedName>
    <definedName name="_xlnm._FilterDatabase" localSheetId="46" hidden="1">'Augest 25'!$L$1:$U$32</definedName>
    <definedName name="_xlnm._FilterDatabase" localSheetId="2" hidden="1">DECEMBER!$F$11:$W$104</definedName>
    <definedName name="_xlnm._FilterDatabase" localSheetId="50" hidden="1">'december 25'!$A$1:$L$65</definedName>
    <definedName name="_xlnm._FilterDatabase" localSheetId="52" hidden="1">'febrary 2026'!$A$1:$M$32</definedName>
    <definedName name="_xlnm._FilterDatabase" localSheetId="4" hidden="1">'FEBRARY 22'!$D$8:$U$57</definedName>
    <definedName name="_xlnm._FilterDatabase" localSheetId="51" hidden="1">'January 2026'!$A$1:$M$54</definedName>
    <definedName name="_xlnm._FilterDatabase" localSheetId="3" hidden="1">'JANUARY 22'!$D$6:$V$66</definedName>
    <definedName name="_xlnm._FilterDatabase" localSheetId="15" hidden="1">'January 23'!$A$2:$L$29</definedName>
    <definedName name="_xlnm._FilterDatabase" localSheetId="9" hidden="1">'JULLY 22'!$A$2:$L$61</definedName>
    <definedName name="_xlnm._FilterDatabase" localSheetId="8" hidden="1">'JUNE 22'!$A$2:$M$63</definedName>
    <definedName name="_xlnm._FilterDatabase" localSheetId="5" hidden="1">'MARCH 22'!$D$7:$U$95</definedName>
    <definedName name="_xlnm._FilterDatabase" localSheetId="7" hidden="1">'MAY 22'!$A$2:$M$76</definedName>
    <definedName name="_xlnm._FilterDatabase" localSheetId="1" hidden="1">NOVEMBER!$C$8:$X$53</definedName>
    <definedName name="_xlnm._FilterDatabase" localSheetId="13" hidden="1">'November 22'!$B$2:$M$40</definedName>
    <definedName name="_xlnm._FilterDatabase" localSheetId="49" hidden="1">'November 25'!$A$1:$K$75</definedName>
    <definedName name="_xlnm._FilterDatabase" localSheetId="0" hidden="1">OCTOBER!$T$9:$U$41</definedName>
    <definedName name="_xlnm._FilterDatabase" localSheetId="12" hidden="1">'OCTOBER 22'!$A$2:$M$53</definedName>
    <definedName name="_xlnm._FilterDatabase" localSheetId="24" hidden="1">'October 23'!$A$1:$K$30</definedName>
    <definedName name="_xlnm._FilterDatabase" localSheetId="48" hidden="1">'october 25'!$A$1:$J$27</definedName>
    <definedName name="_xlnm._FilterDatabase" localSheetId="11" hidden="1">'SEPTEMBER 22'!$A$2:$M$65</definedName>
    <definedName name="_xlnm._FilterDatabase" localSheetId="47" hidden="1">'September 25'!$A$1:$I$27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1" i="61" l="1"/>
  <c r="G40" i="61"/>
  <c r="H39" i="61"/>
  <c r="L39" i="61" s="1"/>
  <c r="G39" i="61"/>
  <c r="G76" i="60"/>
  <c r="G75" i="60"/>
  <c r="G74" i="60"/>
  <c r="H74" i="60" s="1"/>
  <c r="L74" i="60" s="1"/>
  <c r="G72" i="60"/>
  <c r="G71" i="60"/>
  <c r="G70" i="60"/>
  <c r="H70" i="60" s="1"/>
  <c r="L70" i="60" s="1"/>
  <c r="G68" i="60"/>
  <c r="G67" i="60"/>
  <c r="H66" i="60"/>
  <c r="L66" i="60" s="1"/>
  <c r="G66" i="60"/>
  <c r="G64" i="60"/>
  <c r="G63" i="60"/>
  <c r="H63" i="60" s="1"/>
  <c r="L63" i="60" s="1"/>
  <c r="G61" i="60"/>
  <c r="H60" i="60"/>
  <c r="L60" i="60" s="1"/>
  <c r="G60" i="60"/>
  <c r="H82" i="59"/>
  <c r="H81" i="59"/>
  <c r="H80" i="59"/>
  <c r="H78" i="59"/>
  <c r="H77" i="59"/>
  <c r="H76" i="59"/>
  <c r="H74" i="59"/>
  <c r="H73" i="59"/>
  <c r="H71" i="59"/>
  <c r="H70" i="59"/>
  <c r="I80" i="59" l="1"/>
  <c r="M80" i="59" s="1"/>
  <c r="I73" i="59"/>
  <c r="M73" i="59" s="1"/>
  <c r="I70" i="59"/>
  <c r="M70" i="59" s="1"/>
  <c r="I76" i="59"/>
  <c r="M76" i="59" s="1"/>
  <c r="G86" i="58"/>
  <c r="G85" i="58"/>
  <c r="G84" i="58"/>
  <c r="H84" i="58" s="1"/>
  <c r="L84" i="58" s="1"/>
  <c r="G82" i="58"/>
  <c r="H81" i="58" s="1"/>
  <c r="L81" i="58" s="1"/>
  <c r="G81" i="58"/>
  <c r="G79" i="58"/>
  <c r="G78" i="58"/>
  <c r="H78" i="58" s="1"/>
  <c r="L78" i="58" s="1"/>
  <c r="J15" i="26"/>
</calcChain>
</file>

<file path=xl/sharedStrings.xml><?xml version="1.0" encoding="utf-8"?>
<sst xmlns="http://schemas.openxmlformats.org/spreadsheetml/2006/main" count="13499" uniqueCount="4626">
  <si>
    <t>NO.</t>
  </si>
  <si>
    <t>custumer name</t>
  </si>
  <si>
    <t>Custumer Phone Number</t>
  </si>
  <si>
    <t>Plan(WHI)199</t>
  </si>
  <si>
    <t>Area Region</t>
  </si>
  <si>
    <t>keosk Location</t>
  </si>
  <si>
    <t>Processing Date</t>
  </si>
  <si>
    <t>Processing Type</t>
  </si>
  <si>
    <t>Custumer Status</t>
  </si>
  <si>
    <t>After 7 Day Custumer Satus</t>
  </si>
  <si>
    <t>Custumer Acount Number</t>
  </si>
  <si>
    <t>HANISH THEYAPARAMIL BACKER</t>
  </si>
  <si>
    <t>AJMAN</t>
  </si>
  <si>
    <t>OFFICE LOCATION</t>
  </si>
  <si>
    <t>walk in</t>
  </si>
  <si>
    <t>Active</t>
  </si>
  <si>
    <t>sajeer</t>
  </si>
  <si>
    <t>MUHAMMAD AKRAM BASHIR AHMAD</t>
  </si>
  <si>
    <t>56 229 2578</t>
  </si>
  <si>
    <t xml:space="preserve">AROOR SINGH </t>
  </si>
  <si>
    <t>SHARJHA</t>
  </si>
  <si>
    <t>Custumer location</t>
  </si>
  <si>
    <t>Pending</t>
  </si>
  <si>
    <t>Emad EM Fuju</t>
  </si>
  <si>
    <t>Kamal Saeed</t>
  </si>
  <si>
    <t>Husain Sayed</t>
  </si>
  <si>
    <t>ASMA BANO SHAZAD QAMAR</t>
  </si>
  <si>
    <t>389 FNE</t>
  </si>
  <si>
    <t xml:space="preserve">Customer services </t>
  </si>
  <si>
    <t>cancel by area is not FNE</t>
  </si>
  <si>
    <t>1-3RJ0UWWH</t>
  </si>
  <si>
    <t>MARWA RAGAB</t>
  </si>
  <si>
    <t>cancel by CM SHIFT TO ETSLATE</t>
  </si>
  <si>
    <t>AMAL AKRAM AHMED</t>
  </si>
  <si>
    <t>UMER QIAZ KHAN QIAZ KHAN</t>
  </si>
  <si>
    <t>ABDUL RAHIM ATTAUR REHMAN</t>
  </si>
  <si>
    <t>1.4316872.0</t>
  </si>
  <si>
    <t>POULOSE PARAMBY OUSEPH</t>
  </si>
  <si>
    <t xml:space="preserve">MAHMOUD REDA ABDALFATHA MOHAMED </t>
  </si>
  <si>
    <t>MARWA ABDULLA AHMED JASSIM</t>
  </si>
  <si>
    <t>OverAll SALES PORTFOLLOW</t>
  </si>
  <si>
    <t>MAHMOUD AHMED NOUREIDIN ALI</t>
  </si>
  <si>
    <t>MOHAMMAD FAIZAN</t>
  </si>
  <si>
    <t>BASEEM ABDELSHAHID</t>
  </si>
  <si>
    <t>UMAISH TIWARI</t>
  </si>
  <si>
    <t>SHIHAB KADAVANDI MOIDEENKUTY KADAVANDI</t>
  </si>
  <si>
    <t>MUHAMMAD KHALID MAHBOOB</t>
  </si>
  <si>
    <t>ASHARAF PUTHIAVEETTIL</t>
  </si>
  <si>
    <t>GUL FARAZ GUJJAR</t>
  </si>
  <si>
    <t>Fujairah</t>
  </si>
  <si>
    <t>Ajman</t>
  </si>
  <si>
    <t>Safeer mall</t>
  </si>
  <si>
    <t>China Mall</t>
  </si>
  <si>
    <t>processing partner</t>
  </si>
  <si>
    <t xml:space="preserve">C-H LLC </t>
  </si>
  <si>
    <t>Al-WFQ LLC</t>
  </si>
  <si>
    <t>Agent/Companys</t>
  </si>
  <si>
    <t>Asif</t>
  </si>
  <si>
    <t>Abid</t>
  </si>
  <si>
    <t>Al Fatha</t>
  </si>
  <si>
    <t xml:space="preserve">JASSIM ABUBACKER </t>
  </si>
  <si>
    <t>ABUDHABI</t>
  </si>
  <si>
    <t>DISHAN WEERASINGHE</t>
  </si>
  <si>
    <t>MOHSEN ALI MUSAED</t>
  </si>
  <si>
    <t>AWAIS BARKAT BARKAT ULLAH</t>
  </si>
  <si>
    <t>EBTESAM SAMER</t>
  </si>
  <si>
    <t>SUBIN MEETHALE</t>
  </si>
  <si>
    <t>RAJMAN</t>
  </si>
  <si>
    <t>MAHAMOOD MANHAMPRATH</t>
  </si>
  <si>
    <t>SAJI ANTHONY</t>
  </si>
  <si>
    <t>SAMIULLAH HAQMAL</t>
  </si>
  <si>
    <t>commotion price</t>
  </si>
  <si>
    <t>Paid status</t>
  </si>
  <si>
    <t>PAID</t>
  </si>
  <si>
    <t>RAKASH KUMAR SAH</t>
  </si>
  <si>
    <t xml:space="preserve">THOUFEEK NEDUMPURAKKAL </t>
  </si>
  <si>
    <t>MUHAMMAD WAQAS AKHTAR</t>
  </si>
  <si>
    <t>BASEM NOMAN MOHAMMAD</t>
  </si>
  <si>
    <t>MAFIJUL SEKH</t>
  </si>
  <si>
    <t>MAHESH KUMAR MONOHARAN</t>
  </si>
  <si>
    <t>Umer</t>
  </si>
  <si>
    <t>ABDUL WAHAB</t>
  </si>
  <si>
    <t>1.4.845541</t>
  </si>
  <si>
    <t>Wahab</t>
  </si>
  <si>
    <t>JOSIANH</t>
  </si>
  <si>
    <t>AlFatha</t>
  </si>
  <si>
    <t>SABAT SAEED</t>
  </si>
  <si>
    <t>SAJITH PARAKKAL</t>
  </si>
  <si>
    <t>Sunny</t>
  </si>
  <si>
    <t>LAJEENA MANOJKUMAR</t>
  </si>
  <si>
    <t>OM-61011841</t>
  </si>
  <si>
    <t>WAHEED SALEEM MUHAMMAD SALEEM</t>
  </si>
  <si>
    <t>IRSHAD EKHULAKH</t>
  </si>
  <si>
    <t>VIPIN PATTAN</t>
  </si>
  <si>
    <t xml:space="preserve">ABDOLHOSSEIN </t>
  </si>
  <si>
    <t>MUHAMMAD WAQAS TUFAIL</t>
  </si>
  <si>
    <t>SOWROV ISLAM</t>
  </si>
  <si>
    <t>AHMED GHULOUM</t>
  </si>
  <si>
    <t>CMRCL</t>
  </si>
  <si>
    <t>GIAS UDDIN BABUL</t>
  </si>
  <si>
    <t>HWL</t>
  </si>
  <si>
    <t>HARIS SAEED</t>
  </si>
  <si>
    <t>FUJAIRAH</t>
  </si>
  <si>
    <t>MOHAMMAD ASIM</t>
  </si>
  <si>
    <t>RAHUL SINGH</t>
  </si>
  <si>
    <t>NITHIN KUMAR</t>
  </si>
  <si>
    <t>AHMED ABUELGASIM</t>
  </si>
  <si>
    <t>20/112021</t>
  </si>
  <si>
    <t>MOHAMMAD SOJAN</t>
  </si>
  <si>
    <t>FOUD MAJID</t>
  </si>
  <si>
    <t>MUHAMMAD NAVEED</t>
  </si>
  <si>
    <t>INZONE</t>
  </si>
  <si>
    <t>DUBAI</t>
  </si>
  <si>
    <t>International city i14 103</t>
  </si>
  <si>
    <t>ALI SAMAD</t>
  </si>
  <si>
    <t>COMMERICAL SHOP</t>
  </si>
  <si>
    <t>NAVNEET</t>
  </si>
  <si>
    <t>NAZIMBANU IMTIYAZ</t>
  </si>
  <si>
    <t>AKBAR CHULLIYIL</t>
  </si>
  <si>
    <t>MD MOKLUS MIA</t>
  </si>
  <si>
    <t>PANKAJ VASHISHT</t>
  </si>
  <si>
    <t>SHAHAB AHMED</t>
  </si>
  <si>
    <t>JAHIRUDADIN SARAJULAHAK</t>
  </si>
  <si>
    <t>MARY JOY HANDUGAN</t>
  </si>
  <si>
    <t>RASHID ARAKKA SOOPI</t>
  </si>
  <si>
    <t>ALY MOHAMED</t>
  </si>
  <si>
    <t>C/H</t>
  </si>
  <si>
    <t>TAYA</t>
  </si>
  <si>
    <t>PLAN CATOGERY</t>
  </si>
  <si>
    <t>HW09112021034232</t>
  </si>
  <si>
    <t>HW06112021074657</t>
  </si>
  <si>
    <t>abid</t>
  </si>
  <si>
    <t>---</t>
  </si>
  <si>
    <t>wahab</t>
  </si>
  <si>
    <t>Yousaf</t>
  </si>
  <si>
    <t>LOKESHWARAN</t>
  </si>
  <si>
    <t>MOHMOOD ALI MOHAMMED</t>
  </si>
  <si>
    <t>HABE MOHAMAD</t>
  </si>
  <si>
    <t>SOHEIL</t>
  </si>
  <si>
    <t>PURCHASING</t>
  </si>
  <si>
    <t xml:space="preserve">AHSAN ALWAFIQ </t>
  </si>
  <si>
    <t>AMOUNT</t>
  </si>
  <si>
    <t>ALI MWH ETISLATE</t>
  </si>
  <si>
    <t>SHEENA BINU THOMAS</t>
  </si>
  <si>
    <t>MOHAMMAD YASER</t>
  </si>
  <si>
    <t>Paid</t>
  </si>
  <si>
    <t>ABHINAND PULIYOTTUMUKK</t>
  </si>
  <si>
    <t xml:space="preserve">ABDUL WAHAB SIYAL </t>
  </si>
  <si>
    <t>WAHAB</t>
  </si>
  <si>
    <t>IBRAHIM JAFFAR</t>
  </si>
  <si>
    <t>NIYAS CHAPPANTAAKATH HOUSE</t>
  </si>
  <si>
    <t>NAVI MOHD FAKIR</t>
  </si>
  <si>
    <t>HARIS ZULFIQAR ZULFIQAR</t>
  </si>
  <si>
    <t>IHSAN KARAPPAMVEETTIL</t>
  </si>
  <si>
    <t>ILIYAS MOLLA MAY JADDIN</t>
  </si>
  <si>
    <t>MUHAMMED ABDUL BASITH</t>
  </si>
  <si>
    <t>MD RIAD MD NASIR</t>
  </si>
  <si>
    <t>SIFAT UR REHMAN</t>
  </si>
  <si>
    <t>MD MAKBUL HOSSAIN</t>
  </si>
  <si>
    <t>DAWOOD ASIM ASIM ALI</t>
  </si>
  <si>
    <t>DURYODHANA BAKI BAKI</t>
  </si>
  <si>
    <t>NORAH SHAH AMAN</t>
  </si>
  <si>
    <t>MAHESH PURUSHOTHAMAN</t>
  </si>
  <si>
    <t>MD JAHIRUL ISLAM MD GAFOR</t>
  </si>
  <si>
    <t>RAHUL CHANDRA MOHAN</t>
  </si>
  <si>
    <t>SUDHANANDH VALSALA</t>
  </si>
  <si>
    <t>NANAJI LAXMAN</t>
  </si>
  <si>
    <t>MUHAMMAD RAMEEZ</t>
  </si>
  <si>
    <t>OMAR FARUK MD SAHAB</t>
  </si>
  <si>
    <t>MUHAMMAD IQBAL BROHI</t>
  </si>
  <si>
    <t>HEND KHALIFA ABDELHAMID</t>
  </si>
  <si>
    <t>KHAISTA BACHA S O BAKHT</t>
  </si>
  <si>
    <t>AMAN ULLAH KHAN</t>
  </si>
  <si>
    <t>KRIJAN RAJENDRABABU</t>
  </si>
  <si>
    <t>HARSHAD PAKKICHINTE</t>
  </si>
  <si>
    <t>ABID</t>
  </si>
  <si>
    <t>UMER</t>
  </si>
  <si>
    <t>ASIF</t>
  </si>
  <si>
    <t>umer 2.0</t>
  </si>
  <si>
    <t>JOTI KAUR</t>
  </si>
  <si>
    <t>HAZEM RASHAD IBRAHIM</t>
  </si>
  <si>
    <t>ULFAT BIBI ARSHAD</t>
  </si>
  <si>
    <t>AHHAD NAJIB</t>
  </si>
  <si>
    <t>GHAYDAA MOHAMED AHMED</t>
  </si>
  <si>
    <t>HAMEEDULLAH NOOR</t>
  </si>
  <si>
    <t>RAFNA MYHAMMED SAFVAN</t>
  </si>
  <si>
    <t>VEMPALLY SATISSH</t>
  </si>
  <si>
    <t>BASON AHMED</t>
  </si>
  <si>
    <t>AHMED SHAWKY</t>
  </si>
  <si>
    <t>ROGER BINNY</t>
  </si>
  <si>
    <t>HAMSA THATTIL</t>
  </si>
  <si>
    <t>MUMUNI ALHASSAN</t>
  </si>
  <si>
    <t>RAK</t>
  </si>
  <si>
    <t>YOUSAF</t>
  </si>
  <si>
    <t>RAJA MUHAMMAD KHURSHED</t>
  </si>
  <si>
    <t>SAJIDA PARVEEN</t>
  </si>
  <si>
    <t>AZEEM KHAN ABDUL AZIZ</t>
  </si>
  <si>
    <t>ALAA ALDIN MOHAMED WAEL</t>
  </si>
  <si>
    <t xml:space="preserve">MD BACCHU MOHAMMED </t>
  </si>
  <si>
    <t>MD KAMRUL ISLAM BACCU</t>
  </si>
  <si>
    <t>HYDER IFTIKHAR UDDIN</t>
  </si>
  <si>
    <t>SUZAIKATH UMARABBA</t>
  </si>
  <si>
    <t>FADIL AWAD NASIR</t>
  </si>
  <si>
    <t>MD MOHOSIN MAHBUR</t>
  </si>
  <si>
    <t xml:space="preserve">YOUSAF ALI AHMED </t>
  </si>
  <si>
    <t xml:space="preserve">AHMAD NAYEF </t>
  </si>
  <si>
    <t>ADEL ELOUADI</t>
  </si>
  <si>
    <t>CH</t>
  </si>
  <si>
    <t>ANAS PAMBINEZHATH</t>
  </si>
  <si>
    <t>ABDELGHAFFAR MOHAMED</t>
  </si>
  <si>
    <t>TECHNO MOBILES</t>
  </si>
  <si>
    <t>CUSTOMER LOCATION</t>
  </si>
  <si>
    <t xml:space="preserve">Remarks </t>
  </si>
  <si>
    <t>CUSTOMER CANCEL IT WITHIN 7 DAYS</t>
  </si>
  <si>
    <t>CANCEL</t>
  </si>
  <si>
    <t>MUHAMMED AJMAL MEETHAL</t>
  </si>
  <si>
    <t>UM AL QUWIN</t>
  </si>
  <si>
    <t>MOHAMED MAGDY</t>
  </si>
  <si>
    <t>BANISH RASHAD RASHAD</t>
  </si>
  <si>
    <t>VISHAL KUMAR RAM</t>
  </si>
  <si>
    <t>HARENDRA RAJBHAR RAM</t>
  </si>
  <si>
    <t>FARID ULLAH KHASHAK</t>
  </si>
  <si>
    <t>KARTHINKEYAN SONACHALAM</t>
  </si>
  <si>
    <t>ANOOP THUNDIUZHATHIL</t>
  </si>
  <si>
    <t>NAMEER FAWZI AHMAD</t>
  </si>
  <si>
    <t>MUHAMMAD ALI PELAMARVA</t>
  </si>
  <si>
    <t>ALCHA ELHACHIMI</t>
  </si>
  <si>
    <t>MAJID ASLAM MUHAMMAD</t>
  </si>
  <si>
    <t>KUNNATH RAGHAVAN</t>
  </si>
  <si>
    <t>REMYA MOHANDAS SUJA</t>
  </si>
  <si>
    <t>AFAF MANEA YAHYA</t>
  </si>
  <si>
    <t>ABDELWANIS ABDELAZIZ</t>
  </si>
  <si>
    <t>HISHAM ALNOURI</t>
  </si>
  <si>
    <t>AHMED MOHAMED AHMED</t>
  </si>
  <si>
    <t>YOUSSEF ASELMAMAGUE</t>
  </si>
  <si>
    <t>MUHAMMEDALI</t>
  </si>
  <si>
    <t>MOHAMAD AMIN</t>
  </si>
  <si>
    <t>MOHAMMD ABDOLRAHMAN</t>
  </si>
  <si>
    <t>AMIRA SALEH AHMED</t>
  </si>
  <si>
    <t>PANIKKAVEETTIL</t>
  </si>
  <si>
    <t>JAMES MATHEW K</t>
  </si>
  <si>
    <t>KASSIM IBRAHIM</t>
  </si>
  <si>
    <t>AMINU TEYE</t>
  </si>
  <si>
    <t>paid status</t>
  </si>
  <si>
    <t>MOHAMMED HASAN</t>
  </si>
  <si>
    <t>MOHAMAD ABO ALNASR</t>
  </si>
  <si>
    <t>MOHAMED HASSAN ELSAYED</t>
  </si>
  <si>
    <t>1.4008500 / OM 61763362</t>
  </si>
  <si>
    <t>MUHAMMAD YASIR ABDUL HAQ</t>
  </si>
  <si>
    <t>RISHAD VALIYA THOTTATHIL</t>
  </si>
  <si>
    <t>HISHAM SAMY ZAKY</t>
  </si>
  <si>
    <t>LAKHINWINDER SINGH MANGAT</t>
  </si>
  <si>
    <t>ROGER NGWA FUNWI</t>
  </si>
  <si>
    <t>REMARKS</t>
  </si>
  <si>
    <t>PENDING</t>
  </si>
  <si>
    <t>Cancelled</t>
  </si>
  <si>
    <t>MOHAMMAD SELIM TAJUL</t>
  </si>
  <si>
    <t>FAHIM AKHTAR NADIM</t>
  </si>
  <si>
    <t>MOHAMMED IQBAL MOHAMMED</t>
  </si>
  <si>
    <t>IMAN ALI ABDULLATIF</t>
  </si>
  <si>
    <t>JAFOR ALAM MOHAMMAD</t>
  </si>
  <si>
    <t>HUSSAIN AHMED BASIR</t>
  </si>
  <si>
    <t>AHMED HAJ ALI MOHAMED</t>
  </si>
  <si>
    <t>ABBAS ALI MUMTAZ</t>
  </si>
  <si>
    <t>HOMAUN KABIR</t>
  </si>
  <si>
    <t>SHAH MUHAMMAD SHOUWKAT</t>
  </si>
  <si>
    <t>NASIRUL KARIM FAZLUL</t>
  </si>
  <si>
    <t>FADY SAMEH ESKANDR</t>
  </si>
  <si>
    <t>SAGAR SHIL</t>
  </si>
  <si>
    <t>NAGI ABDELRAHMAN MOHAMED</t>
  </si>
  <si>
    <t>DIDARUL ALAM ABUL HASANAS</t>
  </si>
  <si>
    <t>ABDUL VAYIS ALANGODE</t>
  </si>
  <si>
    <t>AMAL AHMED HAMDELNIL</t>
  </si>
  <si>
    <t>RIYAZ KHAN ABDUL JAFFER</t>
  </si>
  <si>
    <t>MOHAMED EDDARRABI</t>
  </si>
  <si>
    <t>FARDHEEN ASHRAF</t>
  </si>
  <si>
    <t xml:space="preserve">MUSHTAQ ALI </t>
  </si>
  <si>
    <t>NICHORAS NABAASA</t>
  </si>
  <si>
    <t>HASSAN HAIDAR HASSAN ALI</t>
  </si>
  <si>
    <t>ABDULHAKIM BEDIRU</t>
  </si>
  <si>
    <t>MOHAMMAD AALEM SHAH</t>
  </si>
  <si>
    <t>MUKHTAR AHMED NAWAB</t>
  </si>
  <si>
    <t>AMIR SOHAIL ISHFAQ</t>
  </si>
  <si>
    <t xml:space="preserve">MOHAMMAD JUMMAN MIAN </t>
  </si>
  <si>
    <t>AMMAR SAID MOHAMMED</t>
  </si>
  <si>
    <t>NAVEED MASOOD MUHAMMAD</t>
  </si>
  <si>
    <t>MOJAL KHAN NEHAL</t>
  </si>
  <si>
    <t>MOHAMMED RIZWAN IBRAHIM</t>
  </si>
  <si>
    <t>AMEEN MUSAED HUSSEIN</t>
  </si>
  <si>
    <t xml:space="preserve">ABDOLLAH BAHRAM </t>
  </si>
  <si>
    <t>ONKAR SINGH BALBIR</t>
  </si>
  <si>
    <t>MUHAMMAD LAEEQ SHAH</t>
  </si>
  <si>
    <t>NAILA YOUSAF KASHIF</t>
  </si>
  <si>
    <t>OM-ID</t>
  </si>
  <si>
    <t>PENDING SALES CASH</t>
  </si>
  <si>
    <t>200 AED</t>
  </si>
  <si>
    <t xml:space="preserve">150AED </t>
  </si>
  <si>
    <t xml:space="preserve">from remaining blance of december month </t>
  </si>
  <si>
    <t>from commercial sales</t>
  </si>
  <si>
    <t>total amount</t>
  </si>
  <si>
    <t>350AED</t>
  </si>
  <si>
    <t>YASIR FARID MUTWAKIL</t>
  </si>
  <si>
    <t>COMERCL</t>
  </si>
  <si>
    <t>ABDALLAH ISMAEL ABDALLAH ALI</t>
  </si>
  <si>
    <t>15/0/2022</t>
  </si>
  <si>
    <t>ARIAN ARDESHIR JHAN</t>
  </si>
  <si>
    <t>RASHEED KATTIL POKKER</t>
  </si>
  <si>
    <t>AHMED MOHAMMED AHMED</t>
  </si>
  <si>
    <t>25/01/20222</t>
  </si>
  <si>
    <t>FEBIN RIYAZ ABDUL RAHIMAN</t>
  </si>
  <si>
    <t>ABDELRAZIG MOHAMED EDRISS</t>
  </si>
  <si>
    <t>ANANDA VISHNU NAIR</t>
  </si>
  <si>
    <t>ABDUL HASAN ALI HASAN</t>
  </si>
  <si>
    <t>MUHAMMEED SHEHIN HASEEM</t>
  </si>
  <si>
    <t>ABDUL MAJEED MANNISSARIYIL</t>
  </si>
  <si>
    <t>HASSAN PANIKKA VEETTIL</t>
  </si>
  <si>
    <t>MOHAMMED TAYUB</t>
  </si>
  <si>
    <t>CHULLIYIL ABOOBACKER RAFEEK</t>
  </si>
  <si>
    <t>ZAHRA MHD KHEIR</t>
  </si>
  <si>
    <t xml:space="preserve"> </t>
  </si>
  <si>
    <t>SHEIKH RABBI MOHAMMAD ALI</t>
  </si>
  <si>
    <t>Agent</t>
  </si>
  <si>
    <t>ADNAN MUHAMMAD</t>
  </si>
  <si>
    <t>AAMIR SHAHZAD MUHAMMAD KHALIL</t>
  </si>
  <si>
    <t>IFTIKHAR MUHAMMAD DIN</t>
  </si>
  <si>
    <t xml:space="preserve">SOWMIYA RANGARAJ </t>
  </si>
  <si>
    <t xml:space="preserve">MOHAMMAD IBRAHIM </t>
  </si>
  <si>
    <t xml:space="preserve">REMAKRS </t>
  </si>
  <si>
    <t>Umer 2.O</t>
  </si>
  <si>
    <t>ADUL NASAR KUNNUM PURATH</t>
  </si>
  <si>
    <t xml:space="preserve"> Umer 2.O</t>
  </si>
  <si>
    <t>CANCELLED</t>
  </si>
  <si>
    <t xml:space="preserve">paid </t>
  </si>
  <si>
    <t>HHAKKEEM KOMBAN HAMSA</t>
  </si>
  <si>
    <t>SYAMKUMAR SUKUMARAN</t>
  </si>
  <si>
    <t>MD ELIAUS AHMED</t>
  </si>
  <si>
    <t>SOFIANE BENDJELLAL</t>
  </si>
  <si>
    <t>AISER KHALID HUSSAIN ALHAWI</t>
  </si>
  <si>
    <t>Abudhabi</t>
  </si>
  <si>
    <t>ABDELILAH MOUSSA</t>
  </si>
  <si>
    <t xml:space="preserve">HASHMATULLAH MOHABAT </t>
  </si>
  <si>
    <t xml:space="preserve">ABDULKAREM ALI MOHAMMED </t>
  </si>
  <si>
    <t>NUR ELAHI BIPLOB</t>
  </si>
  <si>
    <t>MOHAMED MOHSEN MOHAMED</t>
  </si>
  <si>
    <t>NIZAMUDDIN MAHTAB ALAM</t>
  </si>
  <si>
    <t>AURANGZEB ALAMGIR</t>
  </si>
  <si>
    <t>DOLLY CYNTHIA EDGAR</t>
  </si>
  <si>
    <t>JUNAIS THACHARAM KUZHIYIL</t>
  </si>
  <si>
    <t>VENKATESH KONDAPURAM</t>
  </si>
  <si>
    <t>SADAK HOSSAIN</t>
  </si>
  <si>
    <t>EHSAN MUHAMMAD RIAZ</t>
  </si>
  <si>
    <t>MAHABUB HOWLADER</t>
  </si>
  <si>
    <t>MOBEENA SABA ASLAM</t>
  </si>
  <si>
    <t>MUHAMMED AJMAL METHAL</t>
  </si>
  <si>
    <t>SURYA PRAKASH REDDY</t>
  </si>
  <si>
    <t>FUSENI ISSAH</t>
  </si>
  <si>
    <t>SHAHIN MIAH MD SAFOR</t>
  </si>
  <si>
    <t>HOSSEIN MOHAMMADREZA</t>
  </si>
  <si>
    <t>BADRUL HUDA ABDUL MATIN</t>
  </si>
  <si>
    <t>JINU SUBRAMANIAN</t>
  </si>
  <si>
    <t>BRIJESHKUMAR JORAVARSINH</t>
  </si>
  <si>
    <t>PRASANTH BALAKRISHNA PILLAI</t>
  </si>
  <si>
    <t>HEBA TAHA MAHMOUD</t>
  </si>
  <si>
    <t>ALI HASAN ANSARI ALI</t>
  </si>
  <si>
    <t xml:space="preserve">SYED YASEEN SHAH </t>
  </si>
  <si>
    <t>MOHAMMAD SHIMUM ISLAM</t>
  </si>
  <si>
    <t>MAHABUL ALAM</t>
  </si>
  <si>
    <t>ZEESHAN ALI MUHAMMAD HABIB</t>
  </si>
  <si>
    <t>ROTAH DELA CRUZ</t>
  </si>
  <si>
    <t>GEO JOSEPH</t>
  </si>
  <si>
    <t xml:space="preserve">COOREY </t>
  </si>
  <si>
    <t>JASMEET SINGH</t>
  </si>
  <si>
    <t>SHANKER LAL</t>
  </si>
  <si>
    <t>MOHAMMAD SOHAIL</t>
  </si>
  <si>
    <t>SARITHA SUNILKUMAR</t>
  </si>
  <si>
    <t>HARPREET KAUR</t>
  </si>
  <si>
    <t>AHMED MOUTAZ</t>
  </si>
  <si>
    <t>AL AQABA RESTURENT</t>
  </si>
  <si>
    <t>ANAS EMAD MOHAMMAD</t>
  </si>
  <si>
    <t>HALIM SARDAR RAFIK</t>
  </si>
  <si>
    <t>KARIM ADEL MOHIELDIN</t>
  </si>
  <si>
    <t>AISHA IBTISAM MOHAMMAD</t>
  </si>
  <si>
    <t>JASEEM MANIKKANCHERY</t>
  </si>
  <si>
    <t>umer 2</t>
  </si>
  <si>
    <t>nirmal</t>
  </si>
  <si>
    <t>yousaf</t>
  </si>
  <si>
    <t>umer</t>
  </si>
  <si>
    <t xml:space="preserve">umer </t>
  </si>
  <si>
    <t>umal queen</t>
  </si>
  <si>
    <t>rejected</t>
  </si>
  <si>
    <t>alfatha</t>
  </si>
  <si>
    <t xml:space="preserve">cancelled </t>
  </si>
  <si>
    <t>IRSAD EKHULAKH EKHULAKH</t>
  </si>
  <si>
    <t xml:space="preserve">ACTIVE </t>
  </si>
  <si>
    <t>YUSRA ABDULBARI ABDO</t>
  </si>
  <si>
    <t>MEHEDI HASAN MD ABDUL WAHID</t>
  </si>
  <si>
    <t xml:space="preserve">SAMPATH SENAVIRATHNA </t>
  </si>
  <si>
    <t xml:space="preserve">MUHAMMAD KHALID MUHAMMAD </t>
  </si>
  <si>
    <t>NASROLLAH ASADOLLAH</t>
  </si>
  <si>
    <t>HAMZA ABID MUHAMMAD ABID</t>
  </si>
  <si>
    <t>NIZAM UL HAQ</t>
  </si>
  <si>
    <t>JAIBULLA HASAN</t>
  </si>
  <si>
    <t>RATAN SHIL MANTU</t>
  </si>
  <si>
    <t>SUZON MIAH</t>
  </si>
  <si>
    <t>FAISAL KALAKUNNATH</t>
  </si>
  <si>
    <t>SOLAIMAN MD HANIF</t>
  </si>
  <si>
    <t>ALFATEH HUMAIDA ALTAYB</t>
  </si>
  <si>
    <t>SHIBU PETER</t>
  </si>
  <si>
    <t>RANA KAZI JINNAT</t>
  </si>
  <si>
    <t>SHAIMUL ALAM SHAMSUL</t>
  </si>
  <si>
    <t>MD HABIBUR RAHMAN</t>
  </si>
  <si>
    <t>HELAY FAROOQI SIDDIQ</t>
  </si>
  <si>
    <t>MUSTAFA AMIRI</t>
  </si>
  <si>
    <t>ROAA ABDEL RAHMAN</t>
  </si>
  <si>
    <t>ABDUR RAFIQ</t>
  </si>
  <si>
    <t>PRAVINKUMAR MULJI</t>
  </si>
  <si>
    <t>SURINDER KLER AMRIK</t>
  </si>
  <si>
    <t>MOHAMED ASHIK</t>
  </si>
  <si>
    <t>MUNAWAR HUSSAIN</t>
  </si>
  <si>
    <t>ARIF GUL KHADIM</t>
  </si>
  <si>
    <t>SAMEER BABU</t>
  </si>
  <si>
    <t>MOHAMMAD ARMAN</t>
  </si>
  <si>
    <t>ABDUL MUNEER MANIYODAN</t>
  </si>
  <si>
    <t>AL ITAR AL MULAWAN MOBILE</t>
  </si>
  <si>
    <t>YASIN MEHAR FAIZ</t>
  </si>
  <si>
    <t>YASIR MEMON YAR</t>
  </si>
  <si>
    <t>RAJEENA MOHAMED</t>
  </si>
  <si>
    <t>MOHAMMAD IRSHAD SHEIKH</t>
  </si>
  <si>
    <t>MOHAMMED HARUN LATE</t>
  </si>
  <si>
    <t>YASEEN ANSARI</t>
  </si>
  <si>
    <t>SIDHEEQ NADHIR</t>
  </si>
  <si>
    <t xml:space="preserve">SHAZA OMAR ABDULL </t>
  </si>
  <si>
    <t>RAJEENA MOHAMED NAVAS</t>
  </si>
  <si>
    <t>AMIR MOHAMMAD SAFARALI</t>
  </si>
  <si>
    <t>DHANISHA SATHEESH KUUMAR</t>
  </si>
  <si>
    <t xml:space="preserve">THOMSAKUTTY </t>
  </si>
  <si>
    <t>MOHAMMED KUNHI</t>
  </si>
  <si>
    <t>MOHAMMAD SALIM KHAN</t>
  </si>
  <si>
    <t>AKRAM HOSSAIN KAMAL</t>
  </si>
  <si>
    <t>SHYAM SUNDAR MAHATO</t>
  </si>
  <si>
    <t>VISHNU KALPADA</t>
  </si>
  <si>
    <t>UMAL QUEEN</t>
  </si>
  <si>
    <t>REJANI POLLAYIL</t>
  </si>
  <si>
    <t>KUPPAYA POLIL ABDUL</t>
  </si>
  <si>
    <t>ABDULLAH MUSTAFA</t>
  </si>
  <si>
    <t>IRSHAD ALIYARU KUNJU</t>
  </si>
  <si>
    <t>SAKKEERHUSSAIN</t>
  </si>
  <si>
    <t>GAGANDEEP SINGH</t>
  </si>
  <si>
    <t>MUHAMMAD AYUB KHAN</t>
  </si>
  <si>
    <t>BOM BAHANDUR DARJI</t>
  </si>
  <si>
    <t>HANI MOHAMED ABDELFATTAH</t>
  </si>
  <si>
    <t>SHANKOR DEB</t>
  </si>
  <si>
    <t>MOIDUTTY EANTHEEN</t>
  </si>
  <si>
    <t>MALITH MADURANGA</t>
  </si>
  <si>
    <t>SUBHADRA ITANI</t>
  </si>
  <si>
    <t>JOYAL PANACHIKKAL</t>
  </si>
  <si>
    <t>MOHAMMAD YASER JAMIL</t>
  </si>
  <si>
    <t>AASHANAHMAD KHAN</t>
  </si>
  <si>
    <t>MUHAMMAD SAQIB NAUMAN</t>
  </si>
  <si>
    <t>NIDHIN SELVAM</t>
  </si>
  <si>
    <t>SHAHIL SHOUKATH</t>
  </si>
  <si>
    <t xml:space="preserve">GHULAM FAROOQ </t>
  </si>
  <si>
    <t>MUHAMMAD ALI WAHID</t>
  </si>
  <si>
    <t>UMER 2</t>
  </si>
  <si>
    <t>AL FATHA</t>
  </si>
  <si>
    <t>UMER 1</t>
  </si>
  <si>
    <t>BABAR</t>
  </si>
  <si>
    <t>HAMZA MOHAMAD FALLAH</t>
  </si>
  <si>
    <t>KASHIF</t>
  </si>
  <si>
    <t>GEORGY JOSEPH VANIAPURACKAL</t>
  </si>
  <si>
    <t>SULAIMAN MUHAMMED ABDULLA MUHAMMAD</t>
  </si>
  <si>
    <t>SUKHDEV SINGH DHIAN SINGH</t>
  </si>
  <si>
    <t>MANSOOR RAHIM RAHIM</t>
  </si>
  <si>
    <t>PAWAN KUMAR GURCHANRAN</t>
  </si>
  <si>
    <t>SANWAR MAL</t>
  </si>
  <si>
    <t>SELVAM DHAVAMANI</t>
  </si>
  <si>
    <t>SUHAIL KARINGAOOARA</t>
  </si>
  <si>
    <t>SUNDARAN VELAMPARAMBIL</t>
  </si>
  <si>
    <t>WASEEM ABBAS MUKHTAR</t>
  </si>
  <si>
    <t>LIJU PATTARA THAZHA</t>
  </si>
  <si>
    <t>MUSA MIAH ABDUR</t>
  </si>
  <si>
    <t>cancelled</t>
  </si>
  <si>
    <t>MOHAMMAD ESSA DAD GUL</t>
  </si>
  <si>
    <t>8997103121111595418</t>
  </si>
  <si>
    <t>RIYAS MACHERI PUTHIYAPURAYIL</t>
  </si>
  <si>
    <t>8997103121111595483</t>
  </si>
  <si>
    <t>ANISH PULIYAKKADI ABOOBACKER</t>
  </si>
  <si>
    <t>1.46592492</t>
  </si>
  <si>
    <t>MOHAMMAD ZAHED AL</t>
  </si>
  <si>
    <t>1.46593250</t>
  </si>
  <si>
    <t>MUHAMMAD ZIA UL QASMI</t>
  </si>
  <si>
    <t>1.46608403</t>
  </si>
  <si>
    <t>RASHID NASIR HUSAIN</t>
  </si>
  <si>
    <t>1.46627773</t>
  </si>
  <si>
    <t>FARDUSAHMED SALMAN</t>
  </si>
  <si>
    <t>1.46626255</t>
  </si>
  <si>
    <t>MOHD TARIQUE AYAZ AHMAD</t>
  </si>
  <si>
    <t>1.46628621</t>
  </si>
  <si>
    <t>ADRIAN ATENDER</t>
  </si>
  <si>
    <t>389/INZONE</t>
  </si>
  <si>
    <t>1.46665115</t>
  </si>
  <si>
    <t>AHMED AL QUSMI MUBARAK</t>
  </si>
  <si>
    <t>1.46639383</t>
  </si>
  <si>
    <t>MOHAMMED RAFEEQ</t>
  </si>
  <si>
    <t>1.46643867</t>
  </si>
  <si>
    <t>ANIK SIKDER JAHANGIR</t>
  </si>
  <si>
    <t>1.46655432</t>
  </si>
  <si>
    <t>SHAHID MAHMOOD RAHMAT</t>
  </si>
  <si>
    <t>1.46657830</t>
  </si>
  <si>
    <t>BALIRAM MAHATO</t>
  </si>
  <si>
    <t>1.46658623</t>
  </si>
  <si>
    <t>FATMEH AHMAD ALJARAD</t>
  </si>
  <si>
    <t xml:space="preserve">MOHAMMED AMINE </t>
  </si>
  <si>
    <t>1.46692316</t>
  </si>
  <si>
    <t>JAYARAMAN MARIMUTHU</t>
  </si>
  <si>
    <t>MARWAN S M ALENAEBSAI</t>
  </si>
  <si>
    <t>8997103121111675384</t>
  </si>
  <si>
    <t>MOHAMMAD ZYAD</t>
  </si>
  <si>
    <t>1.46700696</t>
  </si>
  <si>
    <t>ABDULLAH HASHIM MOHD</t>
  </si>
  <si>
    <t>1.46703427</t>
  </si>
  <si>
    <t>JOHN MARK</t>
  </si>
  <si>
    <t>1.46720668</t>
  </si>
  <si>
    <t>SAMBHU HARIKUMAR</t>
  </si>
  <si>
    <t>1.46739845</t>
  </si>
  <si>
    <t>WASEEM KHAN MUHAMMAD KAMIL</t>
  </si>
  <si>
    <t>1.46741875</t>
  </si>
  <si>
    <t>MD NASIR UDDIN</t>
  </si>
  <si>
    <t>1.46742763</t>
  </si>
  <si>
    <t>MAHMOUD REDA ABDALFATAH</t>
  </si>
  <si>
    <t>8997103121111681044</t>
  </si>
  <si>
    <t>YOUSRA MOHAMED ABDELMAGID</t>
  </si>
  <si>
    <t>1.46744507</t>
  </si>
  <si>
    <t>WALEED MUSLEH</t>
  </si>
  <si>
    <t>1.42080358</t>
  </si>
  <si>
    <t>MOHAMED ALI PALLIIPATTU</t>
  </si>
  <si>
    <t>1.36158106</t>
  </si>
  <si>
    <t>MOHAMMED OSMAN GONI</t>
  </si>
  <si>
    <t>1.46787358</t>
  </si>
  <si>
    <t>MOHAMMAD MAHMOUD</t>
  </si>
  <si>
    <t>1.45467642</t>
  </si>
  <si>
    <t>SAJAN AVTAR CHAND</t>
  </si>
  <si>
    <t>1.37662656</t>
  </si>
  <si>
    <t>MANU KUMAR SHIL</t>
  </si>
  <si>
    <t>1.37504966</t>
  </si>
  <si>
    <t>HUMAUN KABIR SHAH</t>
  </si>
  <si>
    <t>1.46827096</t>
  </si>
  <si>
    <t>SAMER SALIH</t>
  </si>
  <si>
    <t>1.46847231</t>
  </si>
  <si>
    <t>MUHAMMAD ABDULLAH KHAN</t>
  </si>
  <si>
    <t>1.30531554</t>
  </si>
  <si>
    <t>MAHER ALI POUR AHMADI</t>
  </si>
  <si>
    <t>1.46855277</t>
  </si>
  <si>
    <t>JOBAIDA KHANAM MD</t>
  </si>
  <si>
    <t>1.46857276</t>
  </si>
  <si>
    <t>LAL CHAND RAJBHAR</t>
  </si>
  <si>
    <t>1.46861901</t>
  </si>
  <si>
    <t>MOHAMMED ABDUR RAHIM</t>
  </si>
  <si>
    <t>1.46882673</t>
  </si>
  <si>
    <t>NELSON UKU</t>
  </si>
  <si>
    <t>1.43105142</t>
  </si>
  <si>
    <t>MAHAROOF SIKANDER</t>
  </si>
  <si>
    <t>1.46886860</t>
  </si>
  <si>
    <t>BASHEER IBRAHIMKUTTY</t>
  </si>
  <si>
    <t>1.46888441</t>
  </si>
  <si>
    <t xml:space="preserve">SHAKTI KAPOOR </t>
  </si>
  <si>
    <t>1.46897920</t>
  </si>
  <si>
    <t>NISHAD BAHAVUDEEN</t>
  </si>
  <si>
    <t>1.46896359</t>
  </si>
  <si>
    <t>ANISH SULTAN MOHAMMED</t>
  </si>
  <si>
    <t>1.42174852</t>
  </si>
  <si>
    <t>LATIF ULLAH GUL</t>
  </si>
  <si>
    <t>1.46916755</t>
  </si>
  <si>
    <t>OBAIDULLAH IBRAHIMI</t>
  </si>
  <si>
    <t>8997103121111910146</t>
  </si>
  <si>
    <t>KASIF ALI MOHAMMAD</t>
  </si>
  <si>
    <t>1.46925822</t>
  </si>
  <si>
    <t>NOMAN IRSHAD MUHAMMAD IRSHAD</t>
  </si>
  <si>
    <t>1.36685295</t>
  </si>
  <si>
    <t>NASEEBA MALIYAKEL</t>
  </si>
  <si>
    <t>1.46952778</t>
  </si>
  <si>
    <t>MD MEHEDI HASAN MD</t>
  </si>
  <si>
    <t>1.44769865</t>
  </si>
  <si>
    <t xml:space="preserve">MUHAMMAD UMAR </t>
  </si>
  <si>
    <t>1.46953589</t>
  </si>
  <si>
    <t>AMR ABDELHALIM MAHMOUD</t>
  </si>
  <si>
    <t>1.46968990</t>
  </si>
  <si>
    <t>MUHAMMAD AFZAAL CHAUDHRY</t>
  </si>
  <si>
    <t>1.46970726</t>
  </si>
  <si>
    <t>MOHAMMED JOYNAL MIAH</t>
  </si>
  <si>
    <t>1.46957128</t>
  </si>
  <si>
    <t>SILVERSTRE CIRILO</t>
  </si>
  <si>
    <t>1.46973298</t>
  </si>
  <si>
    <t>MOHAMMAD ZYAD KATLISH</t>
  </si>
  <si>
    <t>1.35612066</t>
  </si>
  <si>
    <t>STAPHAN STEPHEN</t>
  </si>
  <si>
    <t>1.46974064</t>
  </si>
  <si>
    <t>IBIDUN ADEOLA AKANDE</t>
  </si>
  <si>
    <t>1.46982766</t>
  </si>
  <si>
    <t>RAM BAHADUR B K INDRA</t>
  </si>
  <si>
    <t>1.46987038</t>
  </si>
  <si>
    <t>ABDULLAH HUSAIN AHMED</t>
  </si>
  <si>
    <t>1.33552108</t>
  </si>
  <si>
    <t>CATHERINE ALDABA</t>
  </si>
  <si>
    <t>1.46987452</t>
  </si>
  <si>
    <t>AYHAM SAMIR ABOUD</t>
  </si>
  <si>
    <t>1.46994930</t>
  </si>
  <si>
    <t>NOFAL ANGADIKADAVATH MAMU</t>
  </si>
  <si>
    <t>1.46996873</t>
  </si>
  <si>
    <t>ALI MOHAMMED ALI ABDALLA</t>
  </si>
  <si>
    <t>1.46995052</t>
  </si>
  <si>
    <t>HAFIZ MUHAMMAD ABUBAKAR</t>
  </si>
  <si>
    <t>1.30213656</t>
  </si>
  <si>
    <t>SHARMEEN ZIA FARRUKH</t>
  </si>
  <si>
    <t>1.47000735</t>
  </si>
  <si>
    <t>ZAINUL ABID KALATHILE</t>
  </si>
  <si>
    <t>1.47001343</t>
  </si>
  <si>
    <t>ISSA ABDULLAH HASSAN ZADEH</t>
  </si>
  <si>
    <t>1.47001967</t>
  </si>
  <si>
    <t>MOHAMMAD RAHIM UDDIN</t>
  </si>
  <si>
    <t>8997103121111920855</t>
  </si>
  <si>
    <t>WASEEM SAJJAD MUHAMMAD ARSHAD</t>
  </si>
  <si>
    <t>8997103121111909979</t>
  </si>
  <si>
    <t>ALIASGHAR HASSAN</t>
  </si>
  <si>
    <t>1.47034524</t>
  </si>
  <si>
    <t>DEEN MAW RAM</t>
  </si>
  <si>
    <t>1.47046311</t>
  </si>
  <si>
    <t>NUR ALOM ABDUL MOTALEB</t>
  </si>
  <si>
    <t>8997103121120492060</t>
  </si>
  <si>
    <t>KHALID MAHMOOD ABDUL</t>
  </si>
  <si>
    <t>1.47048636</t>
  </si>
  <si>
    <t>SAMEER MOHAMMAD ZAHIR</t>
  </si>
  <si>
    <t>1.47053726</t>
  </si>
  <si>
    <t>AHMAD SAEED SAEED AHMAD</t>
  </si>
  <si>
    <t>1.47055188</t>
  </si>
  <si>
    <t>NILESH KESHWAR SINGH</t>
  </si>
  <si>
    <t>BALIRAM MAHATO SHARDANAND SINGH</t>
  </si>
  <si>
    <t xml:space="preserve">FARIS FAWWAZ JAMAL </t>
  </si>
  <si>
    <t>ZIA UR REHMAN</t>
  </si>
  <si>
    <t>MOUSA ABDULLAH AL HAMMOUD</t>
  </si>
  <si>
    <t>MOHAMED ABDEL HAKIM SOLIMAN ORABI</t>
  </si>
  <si>
    <t>babar</t>
  </si>
  <si>
    <t>haseeb</t>
  </si>
  <si>
    <t>faizan</t>
  </si>
  <si>
    <t>kashif</t>
  </si>
  <si>
    <t>SAMEER MOHAMMAD ZAHIR SHAH</t>
  </si>
  <si>
    <t>AHMAD SAEED SAEED</t>
  </si>
  <si>
    <t>HASSAN KUNJU MOHAMMED KUNJU</t>
  </si>
  <si>
    <t>1.47065803</t>
  </si>
  <si>
    <t>MOHAMMAD RAHIM</t>
  </si>
  <si>
    <t>8997103121120505994</t>
  </si>
  <si>
    <t>HAMID ALI TAJ</t>
  </si>
  <si>
    <t>1.47099344</t>
  </si>
  <si>
    <t xml:space="preserve">HOSSAIEN SABIR BAKER ALI </t>
  </si>
  <si>
    <t>JAMIL MUNEER MUNEERUDDIN QURESHI</t>
  </si>
  <si>
    <t>AHLAM MOHAMMAD MAHMOUD ABUHASHEESH</t>
  </si>
  <si>
    <t>SANJAY KUMAR SAH</t>
  </si>
  <si>
    <t>MD PRASH MONI FARID</t>
  </si>
  <si>
    <t>1.47106758</t>
  </si>
  <si>
    <t>MOUHAMMAD ABID MEHMOOD</t>
  </si>
  <si>
    <t>1.47120209</t>
  </si>
  <si>
    <t>AFTAB MASHIULLAH</t>
  </si>
  <si>
    <t>1.47149050</t>
  </si>
  <si>
    <t>D DEE MAW RAM</t>
  </si>
  <si>
    <t>MUNEER EBRAHIM EBRAHIM</t>
  </si>
  <si>
    <t>1.47172164</t>
  </si>
  <si>
    <t>MUHAMMAD ANAS SIDDIQUI</t>
  </si>
  <si>
    <t>RAMESH PALLIKERE VEETIL</t>
  </si>
  <si>
    <t>1.47185222</t>
  </si>
  <si>
    <t>YOUSEF ALI S ALZAHRANI</t>
  </si>
  <si>
    <t>1.47186302</t>
  </si>
  <si>
    <t>ISLAM YASEER ALSAYED ALMAGHRABY</t>
  </si>
  <si>
    <t>1.47183240</t>
  </si>
  <si>
    <t>VISHNU VIJAYAN VIJAY</t>
  </si>
  <si>
    <t>FUJ</t>
  </si>
  <si>
    <t>1.47185626</t>
  </si>
  <si>
    <t>ASAD KHAN SHAH</t>
  </si>
  <si>
    <t>1.33982330</t>
  </si>
  <si>
    <t>DEBBIE ALEPIDIS</t>
  </si>
  <si>
    <t>1.47200140</t>
  </si>
  <si>
    <t>8997103121111679790</t>
  </si>
  <si>
    <t>8997103121111679782</t>
  </si>
  <si>
    <t>8997103121111679774</t>
  </si>
  <si>
    <t>8997103121111679766</t>
  </si>
  <si>
    <t>8997103121111679816</t>
  </si>
  <si>
    <t>AMRO MOHAMED MAHMOUD</t>
  </si>
  <si>
    <t>1.47218697</t>
  </si>
  <si>
    <t>AHAMED SARBUDEEN OLIM</t>
  </si>
  <si>
    <t>1.391658257</t>
  </si>
  <si>
    <t>MUHAMMAD WAQAS ABDUL LATIF</t>
  </si>
  <si>
    <t>1.47231957</t>
  </si>
  <si>
    <t>MOHAMAD IBRAHIM KHEDER</t>
  </si>
  <si>
    <t>1.46769472</t>
  </si>
  <si>
    <t>GHULAM MOHIY UD DIN</t>
  </si>
  <si>
    <t>1.47238384</t>
  </si>
  <si>
    <t xml:space="preserve"> RIZWAN KADAVATH ABDU</t>
  </si>
  <si>
    <t>1.38230828</t>
  </si>
  <si>
    <t>MOSLEM JAMIR UDDIN</t>
  </si>
  <si>
    <t>1.47239793</t>
  </si>
  <si>
    <t>HAJAR ESSAJI</t>
  </si>
  <si>
    <t>1.47242239</t>
  </si>
  <si>
    <t>JAMIL MUNEER MUNEERUDDIN</t>
  </si>
  <si>
    <t>1.47251027</t>
  </si>
  <si>
    <t>ZOHRUL ISLAM MD</t>
  </si>
  <si>
    <t>1.47254922</t>
  </si>
  <si>
    <t>MOUD IBRAHIM</t>
  </si>
  <si>
    <t>1.10293169</t>
  </si>
  <si>
    <t>GITA NURYANI</t>
  </si>
  <si>
    <t>1.4749859</t>
  </si>
  <si>
    <t>MUHAMMED ASLAM VATTAMPARAMBIL</t>
  </si>
  <si>
    <t>1.47287044</t>
  </si>
  <si>
    <t>MUHAMMAD ZUBAI KHALIL</t>
  </si>
  <si>
    <t>1.47286409</t>
  </si>
  <si>
    <t>BABAR JAVED IQBAL JAVED</t>
  </si>
  <si>
    <t xml:space="preserve">SHAHARIA AHMED </t>
  </si>
  <si>
    <t>1.47320168</t>
  </si>
  <si>
    <t>MOHAMMAD ILYAS MOHAMMAD</t>
  </si>
  <si>
    <t>1.47335817</t>
  </si>
  <si>
    <t>KHURRAM SAEED SAEED</t>
  </si>
  <si>
    <t>1.41946864</t>
  </si>
  <si>
    <t>FIDAMUHAMMED SYED SYED</t>
  </si>
  <si>
    <t>1.47049481</t>
  </si>
  <si>
    <t>MD DIDAR HUSSAIN MD</t>
  </si>
  <si>
    <t>1.47341064</t>
  </si>
  <si>
    <t>AHLAM MOHAMMAD MAHMOUD</t>
  </si>
  <si>
    <t>1.47201234</t>
  </si>
  <si>
    <t>MAYER EMIL ISKANDER</t>
  </si>
  <si>
    <t>1.44927543</t>
  </si>
  <si>
    <t>RAMEZ SHERIF KHALID</t>
  </si>
  <si>
    <t>1.47377749</t>
  </si>
  <si>
    <t xml:space="preserve">MOHAMMAD SIRAJUDULLAH MD </t>
  </si>
  <si>
    <t>1.47391450</t>
  </si>
  <si>
    <t>HARSHAN KUNNATH HAMZA</t>
  </si>
  <si>
    <t>1.47422805</t>
  </si>
  <si>
    <t>SAMIRA BELAIFA</t>
  </si>
  <si>
    <t>1.21114470</t>
  </si>
  <si>
    <t>MIRZA AZMATULLAH BAIG</t>
  </si>
  <si>
    <t>1.46082038</t>
  </si>
  <si>
    <t>YASEER ADEL FATHI</t>
  </si>
  <si>
    <t>1.47473441</t>
  </si>
  <si>
    <t>IMTAZ AHMED ABDUL RAZZAQ</t>
  </si>
  <si>
    <t>IMTAZ AHMED ABDUL</t>
  </si>
  <si>
    <t>1.47475365</t>
  </si>
  <si>
    <t>FARIS FAWWAZ JAMAL SHASHAA</t>
  </si>
  <si>
    <t>ELBERENS ABDELMOETY AHMED</t>
  </si>
  <si>
    <t>1.41126049</t>
  </si>
  <si>
    <t>VARINDER KUMAR</t>
  </si>
  <si>
    <t>1.47493375</t>
  </si>
  <si>
    <t>IDREES SAJJAD MEHMOOD</t>
  </si>
  <si>
    <t>1.47492892</t>
  </si>
  <si>
    <t>SACHIN KUMAR</t>
  </si>
  <si>
    <t>1.47515142</t>
  </si>
  <si>
    <t>MOHAMED MAHMOUD MOHAMED</t>
  </si>
  <si>
    <t>1.47233639</t>
  </si>
  <si>
    <t>WAQAS ARIF MUHAMMAD</t>
  </si>
  <si>
    <t>USMAN BUTT MUHAMMAD RAMZAN</t>
  </si>
  <si>
    <t>1.47552077</t>
  </si>
  <si>
    <t>BUTHAINA MOHAMED ABDELGADIR</t>
  </si>
  <si>
    <t>MOHAMMAD ABDUL KAUM MALU</t>
  </si>
  <si>
    <t>1.47561513</t>
  </si>
  <si>
    <t>MOHAMMAD MIJANUR RAHAMAN</t>
  </si>
  <si>
    <t>1.47564208</t>
  </si>
  <si>
    <t>MUHAMMAD ADNAN FAIZULLAH KHAN</t>
  </si>
  <si>
    <t>1.47565496</t>
  </si>
  <si>
    <t>MUHAMMAD SOHAIL SARWAR</t>
  </si>
  <si>
    <t>1.47566879</t>
  </si>
  <si>
    <t xml:space="preserve">LIZA IBRAHIM </t>
  </si>
  <si>
    <t>1.47567414</t>
  </si>
  <si>
    <t>AHMED ABDELMONEIM</t>
  </si>
  <si>
    <t>1.47569855</t>
  </si>
  <si>
    <t>EMAD MOSTAFA JAPHAR</t>
  </si>
  <si>
    <t>1.34657204</t>
  </si>
  <si>
    <t>BHAIRAVI DILIPKUMAR</t>
  </si>
  <si>
    <t>1.38493702</t>
  </si>
  <si>
    <t>AKHIL VALIPARAMBIL</t>
  </si>
  <si>
    <t>1.47580079</t>
  </si>
  <si>
    <t>MD JUNED MIAH BOSHIR</t>
  </si>
  <si>
    <t>1.40610138</t>
  </si>
  <si>
    <t>FAIZAN</t>
  </si>
  <si>
    <t>HASEEB</t>
  </si>
  <si>
    <t>khizzer</t>
  </si>
  <si>
    <t>AKHILA VALIPARAMBIL RAJAN</t>
  </si>
  <si>
    <t>ANKIT BARTHWAL LAKSHMI PRASAD</t>
  </si>
  <si>
    <t>MUHAMMAD AWAIS BAIG KHALID</t>
  </si>
  <si>
    <t>ALIMUDDIN HAFIZ SHAH</t>
  </si>
  <si>
    <t>MOHAMMAD KHAN OMAR</t>
  </si>
  <si>
    <t>NIZAR PULATHOTTATHIL</t>
  </si>
  <si>
    <t>SHEEGELLA VENALOMIE</t>
  </si>
  <si>
    <t>MOHAMAD AMER ALI</t>
  </si>
  <si>
    <t>MAHMOUD AHMED ELNEEM</t>
  </si>
  <si>
    <t>MAHMOUD AHMED ABDELHADY MOUSTAFA</t>
  </si>
  <si>
    <t>ISMAIL KHAN ZAHIR</t>
  </si>
  <si>
    <t>ABRAHAM ABIOLA AKANNI</t>
  </si>
  <si>
    <t xml:space="preserve">SHAH ZAIB MUKHTAR </t>
  </si>
  <si>
    <t>RIYADUL HOQUE AMIR</t>
  </si>
  <si>
    <t>TAHIR MEHMOOD GHULAM RASOOL</t>
  </si>
  <si>
    <t>SALAMAT ALI ABDUL SATTAR</t>
  </si>
  <si>
    <t>SHAHNAZ PARVIN MOHAMMED</t>
  </si>
  <si>
    <t>MAHMUDUL HOQUE NURUL ISLAM</t>
  </si>
  <si>
    <t>AKASHDEEP PREM PAL</t>
  </si>
  <si>
    <t>JAWAD ALI ANJUM</t>
  </si>
  <si>
    <t>SYED PARVEZ SHAREEF</t>
  </si>
  <si>
    <t>SAFI ZUBERI</t>
  </si>
  <si>
    <t>AKRAMA AHMED WASIM</t>
  </si>
  <si>
    <t xml:space="preserve">SUBOL URAW SOTKA </t>
  </si>
  <si>
    <t>MOHAMMAD SULTAN NEWAJU</t>
  </si>
  <si>
    <t>WAHIDULLAH IBRAHIMKHIL</t>
  </si>
  <si>
    <t>IKHLAQ AHMED MUHAMMAD AMEER</t>
  </si>
  <si>
    <t>YAHYA MOHAMMADALI DASTKAHN</t>
  </si>
  <si>
    <t>RAHUL PRAKAS PRAKASAN</t>
  </si>
  <si>
    <t>SUBIN SABU SABU</t>
  </si>
  <si>
    <t>ABHILASH BABY RAJENDRAN</t>
  </si>
  <si>
    <t>YUB RAJ SHERASTHA</t>
  </si>
  <si>
    <t>SHAFIQUE KHAN SATTAR KHAN</t>
  </si>
  <si>
    <t>HUSSEIN REZQ SALEH</t>
  </si>
  <si>
    <t>HARUN RASHID ABDUL HAMID</t>
  </si>
  <si>
    <t>RAPHEEK ANDATHODE</t>
  </si>
  <si>
    <t>ASMAA ABDELGALIL ABDEAZIZ</t>
  </si>
  <si>
    <t>SALMA BARKANE</t>
  </si>
  <si>
    <t>MOSHAROF HOSSAIN MOHAMMED</t>
  </si>
  <si>
    <t>KHALEIFAH GHASEB OBIAD</t>
  </si>
  <si>
    <t xml:space="preserve">FATIMA MOHAMED HASSAN </t>
  </si>
  <si>
    <t>KYUNG HEE HWANG</t>
  </si>
  <si>
    <t>SAJIL SALIM PADINJARACHALIL</t>
  </si>
  <si>
    <t>MASUM KABIL MIAH</t>
  </si>
  <si>
    <t>CYRIL YANGA BISMONTE</t>
  </si>
  <si>
    <t>HASSAN MAHMOUD MOHAMED</t>
  </si>
  <si>
    <t>SAJI KUMAR MANJAMKUZHI</t>
  </si>
  <si>
    <t>ZAARA BASHIR MUHAMMAD BASHIR</t>
  </si>
  <si>
    <t>MUHAMMAD ISMAIL JUMMA KHAN</t>
  </si>
  <si>
    <t>ASMA ABID LARAIB RASHID</t>
  </si>
  <si>
    <t>SHAHR YAR RAUF</t>
  </si>
  <si>
    <t>IMRAN ALI ABDUL RAZAQUE</t>
  </si>
  <si>
    <t>MUBARAK SHARIF MD ALI</t>
  </si>
  <si>
    <t>AQSA AHMED AHMED</t>
  </si>
  <si>
    <t>MD AHSAN HABIB</t>
  </si>
  <si>
    <t>MOULA BUX MUGHERI</t>
  </si>
  <si>
    <t>SYED RASHID ALI SYED</t>
  </si>
  <si>
    <t>MD HAFIZUR RAHMAN ABDUL KASHEM</t>
  </si>
  <si>
    <t>ACTIVE</t>
  </si>
  <si>
    <t>1.47594551</t>
  </si>
  <si>
    <t>1.47596060</t>
  </si>
  <si>
    <t>1.47596782</t>
  </si>
  <si>
    <t>1.47647122</t>
  </si>
  <si>
    <t>1.38589484</t>
  </si>
  <si>
    <t>1.47679625</t>
  </si>
  <si>
    <t>1.47694017</t>
  </si>
  <si>
    <t>1.47709284</t>
  </si>
  <si>
    <t>1.47728266</t>
  </si>
  <si>
    <t>1.47742683</t>
  </si>
  <si>
    <t>1.47778677</t>
  </si>
  <si>
    <t>1.24005975</t>
  </si>
  <si>
    <t>1.47777422</t>
  </si>
  <si>
    <t>1.46673729</t>
  </si>
  <si>
    <t>66160456</t>
  </si>
  <si>
    <t>1.33847925</t>
  </si>
  <si>
    <t>66168033</t>
  </si>
  <si>
    <t>1.37304516</t>
  </si>
  <si>
    <t>66195047</t>
  </si>
  <si>
    <t>1.47826330</t>
  </si>
  <si>
    <t>66211212</t>
  </si>
  <si>
    <t>1.47288480</t>
  </si>
  <si>
    <t>66221939</t>
  </si>
  <si>
    <t>1.47830889</t>
  </si>
  <si>
    <t>66234372</t>
  </si>
  <si>
    <t>1.47831532</t>
  </si>
  <si>
    <t>66238133</t>
  </si>
  <si>
    <t>1.47831866</t>
  </si>
  <si>
    <t>66240361</t>
  </si>
  <si>
    <t>1.47827339</t>
  </si>
  <si>
    <t>1.47833770</t>
  </si>
  <si>
    <t>1.47898488</t>
  </si>
  <si>
    <t>1.47912916</t>
  </si>
  <si>
    <t>1.25895708</t>
  </si>
  <si>
    <t>1.47301749</t>
  </si>
  <si>
    <t>1.47875678</t>
  </si>
  <si>
    <t>1.31771431</t>
  </si>
  <si>
    <t>1.23311838</t>
  </si>
  <si>
    <t>8997103121120819668</t>
  </si>
  <si>
    <t>1.47328212</t>
  </si>
  <si>
    <t>1.45359004</t>
  </si>
  <si>
    <t>1.47936909</t>
  </si>
  <si>
    <t>1.39850642</t>
  </si>
  <si>
    <t>1.47955184</t>
  </si>
  <si>
    <t>1.47968997</t>
  </si>
  <si>
    <t>1.47984770</t>
  </si>
  <si>
    <t>1.48019308</t>
  </si>
  <si>
    <t>1.48022942</t>
  </si>
  <si>
    <t>1.48022146</t>
  </si>
  <si>
    <t>1.48017085</t>
  </si>
  <si>
    <t>1.48032765</t>
  </si>
  <si>
    <t>1.48049533</t>
  </si>
  <si>
    <t>1.48054950</t>
  </si>
  <si>
    <t>1.48049888</t>
  </si>
  <si>
    <t>1.48048891</t>
  </si>
  <si>
    <t>1.256098798</t>
  </si>
  <si>
    <t>1.48069653</t>
  </si>
  <si>
    <t>66216809</t>
  </si>
  <si>
    <t>SULMAN</t>
  </si>
  <si>
    <t xml:space="preserve">KHIZER </t>
  </si>
  <si>
    <t>FAIZAN CAM</t>
  </si>
  <si>
    <t xml:space="preserve">Custumer Acount </t>
  </si>
  <si>
    <t>KSANKA KARUNATHILAKA</t>
  </si>
  <si>
    <t>clowback</t>
  </si>
  <si>
    <t>SAAD ALI GHAZI JOHAR</t>
  </si>
  <si>
    <t>1.48085261</t>
  </si>
  <si>
    <t>RIZWANA BEGUM SHAMEEM</t>
  </si>
  <si>
    <t>299 5G</t>
  </si>
  <si>
    <t>8997103121122343915</t>
  </si>
  <si>
    <t>SUMAN DE SUNIL BARAN DE</t>
  </si>
  <si>
    <t>1.48065283</t>
  </si>
  <si>
    <t>FAZIL PULIKKAL SULAIMAN</t>
  </si>
  <si>
    <t>1.48098666</t>
  </si>
  <si>
    <t>MUHAMMAD ZAIN TARIQ</t>
  </si>
  <si>
    <t>1.48099058</t>
  </si>
  <si>
    <t>ABUBAKAR GHULAM RASOOL</t>
  </si>
  <si>
    <t>BAITULLAH AL MARJAN</t>
  </si>
  <si>
    <t>SADDAM HUSSEN MANSOR</t>
  </si>
  <si>
    <t>SHANOOP THAZHATHETHIL HANEEFA</t>
  </si>
  <si>
    <t>AHMED MOHAMED CHERAGH</t>
  </si>
  <si>
    <t>1.48138687</t>
  </si>
  <si>
    <t>SYED RASHID ALI SYED MAHFOOZ ALI</t>
  </si>
  <si>
    <t>1.25609798</t>
  </si>
  <si>
    <t>ADNAN ABDALLA MOHAMED ALI</t>
  </si>
  <si>
    <t>1.48139648</t>
  </si>
  <si>
    <t>RAJESHKUMAR VARATHARAJ</t>
  </si>
  <si>
    <t>UMAL-QUWAIN</t>
  </si>
  <si>
    <t>1.48137396</t>
  </si>
  <si>
    <t>MOHAMED RAZIK ASSANNAKKITHANAKATH</t>
  </si>
  <si>
    <t>1.48153752</t>
  </si>
  <si>
    <t>ABDELMONEM MOHAMED ABDELMONEM</t>
  </si>
  <si>
    <t>AMMAR YASER BREIK</t>
  </si>
  <si>
    <t>1.48165504</t>
  </si>
  <si>
    <t>MUHAMMAD SAEED MUHAMMAD ALTAF</t>
  </si>
  <si>
    <t>1.48172624</t>
  </si>
  <si>
    <t>ABASS ABUBAKAR SADO</t>
  </si>
  <si>
    <t>1.27969561</t>
  </si>
  <si>
    <t>BAIJU MATHEW PATHIL</t>
  </si>
  <si>
    <t>1.23808875</t>
  </si>
  <si>
    <t>MOHAMMED IQBAL HOSSAIN</t>
  </si>
  <si>
    <t>1.39460058</t>
  </si>
  <si>
    <t>BINISH PARWAIZ MUHAMMAD</t>
  </si>
  <si>
    <t>1.48266369</t>
  </si>
  <si>
    <t>66967080</t>
  </si>
  <si>
    <t>ABDUL MAJEED KAYAL</t>
  </si>
  <si>
    <t>1.17666161</t>
  </si>
  <si>
    <t>66988292</t>
  </si>
  <si>
    <t>ABDUL RAUF ABDUL RAHIM</t>
  </si>
  <si>
    <t>1.32994666</t>
  </si>
  <si>
    <t>66990398</t>
  </si>
  <si>
    <t>RAJESH KARIPPOTT</t>
  </si>
  <si>
    <t>1.42076550</t>
  </si>
  <si>
    <t>66989023</t>
  </si>
  <si>
    <t>MALKIT SINGH</t>
  </si>
  <si>
    <t>1.48282567</t>
  </si>
  <si>
    <t>66995032</t>
  </si>
  <si>
    <t>MOHAMMED JAFAR ULLA</t>
  </si>
  <si>
    <t>1.22711426</t>
  </si>
  <si>
    <t>67003772</t>
  </si>
  <si>
    <t>TAMANNA RAHMAN POUSHI</t>
  </si>
  <si>
    <t>1.48311936</t>
  </si>
  <si>
    <t>67038239</t>
  </si>
  <si>
    <t>MOHAMED SERAJUL ISLAM</t>
  </si>
  <si>
    <t>1.40830930</t>
  </si>
  <si>
    <t>AMIR HUSSAIN KHAN</t>
  </si>
  <si>
    <t>SYED IDRIS AHMED</t>
  </si>
  <si>
    <t>MUHAMMAD IRFAN SADIQ</t>
  </si>
  <si>
    <t>MOUSTAFA WAFAEI</t>
  </si>
  <si>
    <t>ARUN KOZHIKKAL</t>
  </si>
  <si>
    <t>1.48341886</t>
  </si>
  <si>
    <t>LAXMAN BHOJA</t>
  </si>
  <si>
    <t>1.48344507</t>
  </si>
  <si>
    <t>HUMAID AHMED HAMDAN HASSAN</t>
  </si>
  <si>
    <t>1.48281416</t>
  </si>
  <si>
    <t>67097367</t>
  </si>
  <si>
    <t xml:space="preserve">FARAZ AHMED MUHAMMAD </t>
  </si>
  <si>
    <t>1.48313131</t>
  </si>
  <si>
    <t>MUHAMMAD QASIM KHAN</t>
  </si>
  <si>
    <t>1.48359018</t>
  </si>
  <si>
    <t>SANIL SEENA SAMYOON</t>
  </si>
  <si>
    <t>1.48361062</t>
  </si>
  <si>
    <t>M KOSAI RADWAN</t>
  </si>
  <si>
    <t>1.42237647</t>
  </si>
  <si>
    <t xml:space="preserve">SEEPILA LAKSANA </t>
  </si>
  <si>
    <t>1.48391494</t>
  </si>
  <si>
    <t>A K YOUNUS KHAN</t>
  </si>
  <si>
    <t>1.47908287</t>
  </si>
  <si>
    <t>HARI BAHADUR CHHETRI</t>
  </si>
  <si>
    <t>1.29250202</t>
  </si>
  <si>
    <t>TAHERUL ISLAM SHAMIM</t>
  </si>
  <si>
    <t>1.48394932</t>
  </si>
  <si>
    <t>KASEM MOHAMMAD LAFI AL SALAMAT</t>
  </si>
  <si>
    <t>1.31005688</t>
  </si>
  <si>
    <t>MUNEEB AHMAD HAZIR</t>
  </si>
  <si>
    <t>1.39637202</t>
  </si>
  <si>
    <t xml:space="preserve">SAKIB AL MAHMUD </t>
  </si>
  <si>
    <t>1.45911922</t>
  </si>
  <si>
    <t>PREMJITH KANDIYIL</t>
  </si>
  <si>
    <t>1.48454982</t>
  </si>
  <si>
    <t>AEJAJ KHAN</t>
  </si>
  <si>
    <t>1.48455388</t>
  </si>
  <si>
    <t>ABDUL ZAHIR TAKARI</t>
  </si>
  <si>
    <t>1.48456656</t>
  </si>
  <si>
    <t>SADAM ANSARI</t>
  </si>
  <si>
    <t>1.48489635</t>
  </si>
  <si>
    <t>MUHAMMAD YOUNAS KARAM DIN</t>
  </si>
  <si>
    <t>1.42207353</t>
  </si>
  <si>
    <t>MST ATOARA BEGUM</t>
  </si>
  <si>
    <t>1.48504993</t>
  </si>
  <si>
    <t xml:space="preserve">NADER HAFEZ </t>
  </si>
  <si>
    <t>1.48526412</t>
  </si>
  <si>
    <t>BELAL HOSSAIN</t>
  </si>
  <si>
    <t>1.48571302</t>
  </si>
  <si>
    <t xml:space="preserve">RUHUL AMIN </t>
  </si>
  <si>
    <t>1.12090413</t>
  </si>
  <si>
    <t>ALAMGIR EMAN HOSSAIN</t>
  </si>
  <si>
    <t>1.48572636</t>
  </si>
  <si>
    <t>MOHAMAD SAID KHLAED</t>
  </si>
  <si>
    <t>1.48298856</t>
  </si>
  <si>
    <t>67019131</t>
  </si>
  <si>
    <t xml:space="preserve">UMER </t>
  </si>
  <si>
    <t>ABDUL NABI ABDUL AZIZ</t>
  </si>
  <si>
    <t>LUQMAN MEHBOOB HUSSAIN</t>
  </si>
  <si>
    <t>paid</t>
  </si>
  <si>
    <t>Clowback</t>
  </si>
  <si>
    <t>CANCELLED/CLOWBACK</t>
  </si>
  <si>
    <t>MOHAMMAD SAID KHALED</t>
  </si>
  <si>
    <t>ABDUL NABI</t>
  </si>
  <si>
    <t>LUQMAN MEHBOOB</t>
  </si>
  <si>
    <t>MD HABIBUR RAHMAN RIPON MD</t>
  </si>
  <si>
    <t>IZHAR UL HAQ ABDUL MAJEED</t>
  </si>
  <si>
    <t>OSMAN MOHAMED ABDALMOHSIN</t>
  </si>
  <si>
    <t>MINTU MALAKAR NARAIN</t>
  </si>
  <si>
    <t>SAYED MOHDREZA HUSSAINI</t>
  </si>
  <si>
    <t>SHAH BEG BALOSHI</t>
  </si>
  <si>
    <t>MST ATOARA BEGUM MD</t>
  </si>
  <si>
    <t xml:space="preserve">MUHAMMAD UMAR TANVEER MUHAMMAD </t>
  </si>
  <si>
    <t>ABDUL KALAM MD</t>
  </si>
  <si>
    <t>BILLYTON BIACAN</t>
  </si>
  <si>
    <t>SUNAM UDDIN MD</t>
  </si>
  <si>
    <t>MUHAMMAD AMJAD</t>
  </si>
  <si>
    <t xml:space="preserve">ALI AKBAR </t>
  </si>
  <si>
    <t>MUZMMAL HUSSAIN MUHAMMAD</t>
  </si>
  <si>
    <t>YOUSIF JASIM MOHAMED</t>
  </si>
  <si>
    <t>IRFAN IBRAHIM SANCHAWALA</t>
  </si>
  <si>
    <t>MUHAMMAD RASHID ABDUL KHALIQ</t>
  </si>
  <si>
    <t>SHAHUL KOZHIPALLIYALIL</t>
  </si>
  <si>
    <t>JERALD NIVIN AMBATT</t>
  </si>
  <si>
    <t>QURATULAIN ALI  MUHAMMAD</t>
  </si>
  <si>
    <t>SUNDAY OKE</t>
  </si>
  <si>
    <t>MOHAMMED MOHIN UDDIN</t>
  </si>
  <si>
    <t>ABDUL VAHID PUTHIY</t>
  </si>
  <si>
    <t>SAYED MUSTAFA KAMAL</t>
  </si>
  <si>
    <t>RAHEL TESFAYE WORKU</t>
  </si>
  <si>
    <t>MUHAMMED NOORUDHEEN</t>
  </si>
  <si>
    <t>NOYON DAS PRODIP</t>
  </si>
  <si>
    <t>DEEPAK CHOUDHARY ASHOK</t>
  </si>
  <si>
    <t>HIMANSHU ANOOP</t>
  </si>
  <si>
    <t>AHMAD MAHER</t>
  </si>
  <si>
    <t>MOHAMED GOMAA ELDEMERDASH</t>
  </si>
  <si>
    <t>MOHD AAMIR MOHD</t>
  </si>
  <si>
    <t>ABDUL KAYYUM ABDUL KAREEM</t>
  </si>
  <si>
    <t>MOHAMMAD IQBAL HOSSAIN</t>
  </si>
  <si>
    <t>SULTAN HASSAN YOUSIF</t>
  </si>
  <si>
    <t>ARSHAD ALI MOHAMMED</t>
  </si>
  <si>
    <t xml:space="preserve">BATOUL FAREZ </t>
  </si>
  <si>
    <t>MUSTAFA SHABBIR</t>
  </si>
  <si>
    <t>SIHABUDDEEN ABDUL BASHEER</t>
  </si>
  <si>
    <t>MUSTAFA CEERAKATH</t>
  </si>
  <si>
    <t>MD FAYSHIL MD</t>
  </si>
  <si>
    <t>SOUROV KARMAKAR</t>
  </si>
  <si>
    <t>DIANA M A YAHYA</t>
  </si>
  <si>
    <t>MOHAMMED ABUL HOSSAIN</t>
  </si>
  <si>
    <t>SAIF MOHAMED ABDALLA MOHAMED</t>
  </si>
  <si>
    <t>ALHUSSAIN ALI MOHAMED</t>
  </si>
  <si>
    <t>AMANY KELANEY</t>
  </si>
  <si>
    <t>AYMAN AHMAD KHDIER</t>
  </si>
  <si>
    <t>OMAR MOHAMEDELSADG</t>
  </si>
  <si>
    <t>MERAJ AHMAD RIYAZ</t>
  </si>
  <si>
    <t>JAMES SARKER</t>
  </si>
  <si>
    <t>MUSTAFA SAYED ALI</t>
  </si>
  <si>
    <t>MOHAMMED SHARIIF</t>
  </si>
  <si>
    <t xml:space="preserve">MOHAMMED OMAR FARAZ </t>
  </si>
  <si>
    <t>MOHAMMED ANAMUL HOQUE</t>
  </si>
  <si>
    <t>SHERZOD TURDIALIEV</t>
  </si>
  <si>
    <t xml:space="preserve">SHUBHAM KUMAR </t>
  </si>
  <si>
    <t>MOHAMED FAISAL NATHARSHA</t>
  </si>
  <si>
    <t>KAUSHALKHUSHALI</t>
  </si>
  <si>
    <t>RATHISH PULIYAKAD</t>
  </si>
  <si>
    <t>RAMY DEYAA NAGIB YOUNAN</t>
  </si>
  <si>
    <t>MUHAMMAD</t>
  </si>
  <si>
    <t>DOCUMENT WITH RINSHAD</t>
  </si>
  <si>
    <t>hassan</t>
  </si>
  <si>
    <t>pending</t>
  </si>
  <si>
    <t>CLOWBACK</t>
  </si>
  <si>
    <t>cancelled/CLOWBACK</t>
  </si>
  <si>
    <t>YES</t>
  </si>
  <si>
    <t>--</t>
  </si>
  <si>
    <t>CARRYFORWARD LAST MONTH</t>
  </si>
  <si>
    <t>MOHAMMED SHARIF ULAHBMOHAMMED</t>
  </si>
  <si>
    <t>MOHAMMED OMAR FARAZ</t>
  </si>
  <si>
    <t>RAMY DEYAA NAGIB</t>
  </si>
  <si>
    <t>MOHAMMAD ALAMGIR HOSSAIN</t>
  </si>
  <si>
    <t>SODRUL ISLAM MD ANA MIA</t>
  </si>
  <si>
    <t>SHAHDEB CHANDRA RAY</t>
  </si>
  <si>
    <t>VARINDER KUMAR TARLOK</t>
  </si>
  <si>
    <t>ALI MUTHANNA ABDULQAWI</t>
  </si>
  <si>
    <t>SHAFI ULLAH ABDUR RAHMAN</t>
  </si>
  <si>
    <t>AZAB MOHAMMAD ABDULLAH</t>
  </si>
  <si>
    <t>MOHAMMED ALI HOSSAIN</t>
  </si>
  <si>
    <t>HAMDAN AHMED HAFIZ</t>
  </si>
  <si>
    <t>MOSTAFA HAMADA MAHMOUD</t>
  </si>
  <si>
    <t>MOHAMED KHALAF ABBAS</t>
  </si>
  <si>
    <t>SAJITH CHANDRAN RAMACHANDRAN</t>
  </si>
  <si>
    <t>JUNAID NAEEM ABBASI</t>
  </si>
  <si>
    <t>TAMIMA YOUSIF</t>
  </si>
  <si>
    <t>SHAMIL VALOTH</t>
  </si>
  <si>
    <t>MADIHA RAZZAQ IMTIAZ</t>
  </si>
  <si>
    <t xml:space="preserve">ALI SHAN FIDA </t>
  </si>
  <si>
    <t>MOHAMMAD AZIM MEAH</t>
  </si>
  <si>
    <t>MUHAMMAD WAQAS MUHAMMAD</t>
  </si>
  <si>
    <t>ASHIK KAYAL BABLU</t>
  </si>
  <si>
    <t>NAZIR AHMAD HASSANZADA</t>
  </si>
  <si>
    <t>SALEM SAYED</t>
  </si>
  <si>
    <t>AHMED ADEL ABDELRAZEK</t>
  </si>
  <si>
    <t>IMRAN RAHMAN RAZZAK</t>
  </si>
  <si>
    <t>SIVANESAN SEKAR</t>
  </si>
  <si>
    <t>SAMI MOHAMMED MOHAMMED SENAN</t>
  </si>
  <si>
    <t>AHSARI ITTAMMAL</t>
  </si>
  <si>
    <t>ABDULLA ALI SAEED ALI</t>
  </si>
  <si>
    <t>TABISH ASHIQ ASHIQ</t>
  </si>
  <si>
    <t>MYDEEN ABDUL KADAR KADAR</t>
  </si>
  <si>
    <t>REMY GOMA</t>
  </si>
  <si>
    <t>DXB</t>
  </si>
  <si>
    <t>ABDALLA MOHAMED AHMED</t>
  </si>
  <si>
    <t>AJAYAN RAJU RAJU</t>
  </si>
  <si>
    <t>FAHEEMAHMAD KAMALLDDIN</t>
  </si>
  <si>
    <t>MOHAMED ABDELHAMEED MOHAMAD</t>
  </si>
  <si>
    <t>ADIL SHAHZAD MUMTAZ KHAN</t>
  </si>
  <si>
    <t>RUMAIZ KUNNUMAL MUJEEB</t>
  </si>
  <si>
    <t>RIZWAN AHMAD QAMR UDDIN</t>
  </si>
  <si>
    <t>HAMZA AKBAR GHULAM AKBAR</t>
  </si>
  <si>
    <t>ISBAKUL ALOM ABDUL SUKKUR</t>
  </si>
  <si>
    <t>8997103122059881166</t>
  </si>
  <si>
    <t>NOOR ALAM HIDAYAT RASOOL</t>
  </si>
  <si>
    <t>HEND NAHMOUD ABDELHAMED MOHAMED</t>
  </si>
  <si>
    <t>AKSHIKA INDUWARA KODAGODA</t>
  </si>
  <si>
    <t>MANGAL SING GURUNG</t>
  </si>
  <si>
    <t>ANAS THETTUMMAL MUHAMMED</t>
  </si>
  <si>
    <t>MUHAMMAD USMAN NAVEED</t>
  </si>
  <si>
    <t>ISLAM MOHAMED SAAD</t>
  </si>
  <si>
    <t>AMNAH MOHAMAD AHMED RASHED</t>
  </si>
  <si>
    <t>MUHAMMAD SAJID AKRAM</t>
  </si>
  <si>
    <t>MUHAMMAD ZARGHAM HUSSAIN</t>
  </si>
  <si>
    <t>MOHAMMAD AZMATULLAH KHAN</t>
  </si>
  <si>
    <t>ALTAF NIAZ AHMAD</t>
  </si>
  <si>
    <t>JUNAID AKHTAR MUHIB</t>
  </si>
  <si>
    <t>TOHEDUL ISLAM ASLAM</t>
  </si>
  <si>
    <t>MUFASSIR AHMED MOTIUR</t>
  </si>
  <si>
    <t>FBD</t>
  </si>
  <si>
    <t>september SBD</t>
  </si>
  <si>
    <t>FBD SEPTEMBER</t>
  </si>
  <si>
    <t>HASSAN</t>
  </si>
  <si>
    <t>USMAN</t>
  </si>
  <si>
    <t>cancelled/ clowback</t>
  </si>
  <si>
    <t>MUFASSIR AHMED MOTIUR RAHMAN</t>
  </si>
  <si>
    <t>MUHAMMAD SHEHZAD TALIB HUSSAIN</t>
  </si>
  <si>
    <t>HASSAN ANSAR ANSARI ANSAR</t>
  </si>
  <si>
    <t>MUHAMMAD ZOHAIB ARIF MUHAMMAD ARIF</t>
  </si>
  <si>
    <t>JOSEPH MUSANJE</t>
  </si>
  <si>
    <t>FRANCIS MENSAH</t>
  </si>
  <si>
    <t>HAZRAT BILAL ASAR KHAN</t>
  </si>
  <si>
    <t>ABU BAKKAR ABUL KALAM</t>
  </si>
  <si>
    <t>ALI KHAMIS KHAIRI KHAMIS</t>
  </si>
  <si>
    <t>KHURFKAN</t>
  </si>
  <si>
    <t>ABDALLA ABDELHAMEED MOHAMED</t>
  </si>
  <si>
    <t>CHARANDEEP SINGH BALWINDER</t>
  </si>
  <si>
    <t>JISHNU VATTAMPARAMBIL</t>
  </si>
  <si>
    <t>BASHIR ABDOUL SALAM</t>
  </si>
  <si>
    <t>SABAB AHMAD SITAR AHMAD</t>
  </si>
  <si>
    <t xml:space="preserve">MUHAMMAD NAWAZ MUHAMMAD </t>
  </si>
  <si>
    <t>ABDULSALAM AHMAD AL SHARIF</t>
  </si>
  <si>
    <t>KERON PAIK HASON</t>
  </si>
  <si>
    <t xml:space="preserve">JAFAR KALLAR MOHAMMAD </t>
  </si>
  <si>
    <t>AMANPREET SINGH</t>
  </si>
  <si>
    <t>NOMAN MONER ALHASSAN</t>
  </si>
  <si>
    <t>SHARJAH</t>
  </si>
  <si>
    <t>MOHAMMED JUNAIZ NALUPURA</t>
  </si>
  <si>
    <t>RKIA EL MAFTAH</t>
  </si>
  <si>
    <t>MOHAMMED NISRAN UMARDEEN</t>
  </si>
  <si>
    <t>MARIAM ISMAEEL MAHMOUD</t>
  </si>
  <si>
    <t>Documents with Fasal</t>
  </si>
  <si>
    <t>FEROZ HERNANDEZ AFRIDI</t>
  </si>
  <si>
    <t>SOFIAN DRICI</t>
  </si>
  <si>
    <t>JAIFAR ALI KAPPAN</t>
  </si>
  <si>
    <t>MELIKE AL</t>
  </si>
  <si>
    <t>MONALIZA FABILLAR MARA</t>
  </si>
  <si>
    <t>AKSHAY KRISHNA BALAKRISHNAN</t>
  </si>
  <si>
    <t>RAJESH KHANNA BINDADIN</t>
  </si>
  <si>
    <t>SHIBIN SULAIMAN SULAIMAN</t>
  </si>
  <si>
    <t>NAJOUA ZIROILI</t>
  </si>
  <si>
    <t>8997103122075307493</t>
  </si>
  <si>
    <t>ABDUL KHADIR AMZAT ALI</t>
  </si>
  <si>
    <t>SAJITH KALATHIPARAMBIL</t>
  </si>
  <si>
    <t>OBIAD SULTAN OBAID</t>
  </si>
  <si>
    <t>VINOTH THANGAVELU</t>
  </si>
  <si>
    <t>IMAN TEGUH YUNINDRA</t>
  </si>
  <si>
    <t xml:space="preserve">ZAYED MOHAMED ABBAS </t>
  </si>
  <si>
    <t>MALIHA</t>
  </si>
  <si>
    <t>MOHAMMED MUSTAFA  CHERRUM</t>
  </si>
  <si>
    <t>MOHAMED NASSER AHMAD ALI</t>
  </si>
  <si>
    <t xml:space="preserve">HINA IRUM MUHAMMAD </t>
  </si>
  <si>
    <t>BAHWANI SINGH NARPAT</t>
  </si>
  <si>
    <t>1.43894890</t>
  </si>
  <si>
    <t>SHOPAN SAMAM RAKHAL</t>
  </si>
  <si>
    <t>ALMAS KHAN AFROZ</t>
  </si>
  <si>
    <t>ZOHAIB  OMAR</t>
  </si>
  <si>
    <t>AMAL MHD ADEM AHMED</t>
  </si>
  <si>
    <t>MOHAMMED DIDARUL ALAM</t>
  </si>
  <si>
    <t>AHMED MARHABA</t>
  </si>
  <si>
    <t>ATEQ ACER</t>
  </si>
  <si>
    <t>RABIA TS</t>
  </si>
  <si>
    <t>EHSAN SAWA</t>
  </si>
  <si>
    <t>ClowBack</t>
  </si>
  <si>
    <t>AMAL MHD ADNAN ALWATTAR</t>
  </si>
  <si>
    <t>ISAM AHMED MOHAMMED</t>
  </si>
  <si>
    <t>SHOPAN SAMA RAKHAL SAMA</t>
  </si>
  <si>
    <t>1.50410460</t>
  </si>
  <si>
    <t>ZOHAIB OMAR AL TELLAWI</t>
  </si>
  <si>
    <t>MAGDA GHARIB ALY</t>
  </si>
  <si>
    <t>ALMAS KHAN AFROZ KHAN</t>
  </si>
  <si>
    <t>MOHAMED ALY MOHAMED</t>
  </si>
  <si>
    <t>THILEPAN KENNADY</t>
  </si>
  <si>
    <t>NOUFAL PUZHANGARAYILLATH</t>
  </si>
  <si>
    <t>HAROON UR RASHID</t>
  </si>
  <si>
    <t>KHAN NIAZI</t>
  </si>
  <si>
    <t>AKRAMUL HOQUE ABDUL</t>
  </si>
  <si>
    <t>RONY CHOWDHURY ANIL</t>
  </si>
  <si>
    <t>AHMED ABDELKARIM KHALIFA</t>
  </si>
  <si>
    <t>MAY KHALIFA AHMED</t>
  </si>
  <si>
    <t>MAJID ALI MUHAMAD YOUSAF</t>
  </si>
  <si>
    <t>FAROUK TANNA SSESANGA</t>
  </si>
  <si>
    <t xml:space="preserve">MOHAMMAD ALI ASADUL </t>
  </si>
  <si>
    <t>TAHIR ALI RAZA NAZIR</t>
  </si>
  <si>
    <t>ROMAN KHATTAK RASHID IQBAL</t>
  </si>
  <si>
    <t>MOHAMED ELSAYED MOANES</t>
  </si>
  <si>
    <t>MUJAFFAR SARKAR</t>
  </si>
  <si>
    <t xml:space="preserve">JESSA MAE </t>
  </si>
  <si>
    <t>ABDULRAHMAN SALEH</t>
  </si>
  <si>
    <t>NASER HUMAID SALEM KHALFAN</t>
  </si>
  <si>
    <t>SEED AHMED ABDULRAHMAN SEED</t>
  </si>
  <si>
    <t>MOHAMED GAMAL</t>
  </si>
  <si>
    <t>ISMAIL MOHAMAD ALZUBI</t>
  </si>
  <si>
    <t>MD KHBIR HOSSAIN</t>
  </si>
  <si>
    <t>MOHAMED JASHEER</t>
  </si>
  <si>
    <t>GOVIND MANOJ</t>
  </si>
  <si>
    <t>ABUBAKKER YOUSAF MUHAMMAD</t>
  </si>
  <si>
    <t>MD AHMED RAJ ALAM</t>
  </si>
  <si>
    <t>AHMED ALI YOUSAF</t>
  </si>
  <si>
    <t>RASHID IBRAHIM YOUSIF</t>
  </si>
  <si>
    <t>ALI HAIDER GHULAM</t>
  </si>
  <si>
    <t>1.49155551</t>
  </si>
  <si>
    <t>TAGHREED H M ALTHALATHINI</t>
  </si>
  <si>
    <t>MITHUN VENUGOPAL VENUGOPAL</t>
  </si>
  <si>
    <t>PENDING/CLOWBACK</t>
  </si>
  <si>
    <t>ClowBack/SBD</t>
  </si>
  <si>
    <t>Clowback/TBD</t>
  </si>
  <si>
    <t>JOHN BABU BUSI MOHAN</t>
  </si>
  <si>
    <t>MUHAMMAD JAVED MUSTAQEEM</t>
  </si>
  <si>
    <t>1.51300104</t>
  </si>
  <si>
    <t>NABIL NABIL</t>
  </si>
  <si>
    <t>MAGDY ABDELLAH MOHAMED ABOU</t>
  </si>
  <si>
    <t>ALMUEZZ MOHAMED AHMED ALI</t>
  </si>
  <si>
    <t>MUHEBULLAH DAWLAT KHAN</t>
  </si>
  <si>
    <t>OBAID ISHAQ ABDALLA</t>
  </si>
  <si>
    <t>DAWOOD ASIM ASIM</t>
  </si>
  <si>
    <t>AHMED MAGDY ABDELHAKIM</t>
  </si>
  <si>
    <t>TAHANI RASHID</t>
  </si>
  <si>
    <t>MOHAMMAD GHALIB MATAR GHALIB</t>
  </si>
  <si>
    <t>RACHELLE SORIANO</t>
  </si>
  <si>
    <t>RAFEE OKLA</t>
  </si>
  <si>
    <t>MOHAMMAD SHAKA KAMARA</t>
  </si>
  <si>
    <t>HASEEB AKBAR SHAHBAZ ALI</t>
  </si>
  <si>
    <t>MITHU MALAKAR NARAIN</t>
  </si>
  <si>
    <t>HASSAN BIN ABDUL AZIZ</t>
  </si>
  <si>
    <t>KIRUBAKARAN GNANAKKAN</t>
  </si>
  <si>
    <t>ALAA BAHA ELDIN MUSTAFA</t>
  </si>
  <si>
    <t>MD ARMAN EDRIS MIA</t>
  </si>
  <si>
    <t>NOURA ANSARI</t>
  </si>
  <si>
    <t>YOUSAF ALI AHMED SIKANDAR ALI</t>
  </si>
  <si>
    <t>LIGIN KURIAN</t>
  </si>
  <si>
    <t>AHMED RASHID MOOTTA PARAMBAN</t>
  </si>
  <si>
    <t>AMANULLA KARAT ALAM KUTTY</t>
  </si>
  <si>
    <t>NARJIS ALI HAMAD</t>
  </si>
  <si>
    <t>AYESHA NEAR DIN</t>
  </si>
  <si>
    <t>PILLAL SANGEETHA GOPINATH</t>
  </si>
  <si>
    <t>SHAZALL MOHAMMED PANOOR</t>
  </si>
  <si>
    <t>ABUBAKAR SAHAR ALI</t>
  </si>
  <si>
    <t>MD ZIAUR RAHMAN MD</t>
  </si>
  <si>
    <t>ABDELMAHMOUD MOHAMED ELBASHIR</t>
  </si>
  <si>
    <t>MAHMOUD ATEF MOHAMED HASSAN</t>
  </si>
  <si>
    <t>1.52111312</t>
  </si>
  <si>
    <t>RAZA MASHI RAFIQ</t>
  </si>
  <si>
    <t>HALEIMAH KHAMEIS AHMED</t>
  </si>
  <si>
    <t>ANS SAJJAD SAJJAD</t>
  </si>
  <si>
    <t>AMINUL ISLAM RAFIQUL ISLAM</t>
  </si>
  <si>
    <t>KAMEL SAYED MOAWAD</t>
  </si>
  <si>
    <t>SHOKOFEH AHMAD HATAMI</t>
  </si>
  <si>
    <t>MUHAMMAD SHAKIR MUHAMMAD</t>
  </si>
  <si>
    <t>NOAM JOSEPH DADOUN</t>
  </si>
  <si>
    <t>NILESH DNYANESHWAR</t>
  </si>
  <si>
    <t>DOAA HUSSIN ABDELFATTAH</t>
  </si>
  <si>
    <t>SYED NABI GUL</t>
  </si>
  <si>
    <t>MOHAMED ABDALLA SAEED</t>
  </si>
  <si>
    <t>FARID MIAH LOAT</t>
  </si>
  <si>
    <t>BAHRAM JASEM SERAJ</t>
  </si>
  <si>
    <t>NADIA ALI IBRAHIM</t>
  </si>
  <si>
    <t>ESHAGH NASSER</t>
  </si>
  <si>
    <t>EBRAHIM MATAR EBRAHIM</t>
  </si>
  <si>
    <t>MAHMOUD SEYED HASSAN</t>
  </si>
  <si>
    <t>AZEEM HAFEEZ MUNIR HUSSAIN</t>
  </si>
  <si>
    <t>KAZEM JANBABA KHORRAMI</t>
  </si>
  <si>
    <t>MOSTAFA MAATOUG</t>
  </si>
  <si>
    <t>YARA HUSSEINI KOTB EL SAYED</t>
  </si>
  <si>
    <t xml:space="preserve">DOHA </t>
  </si>
  <si>
    <t>-</t>
  </si>
  <si>
    <t>ajman</t>
  </si>
  <si>
    <t>active</t>
  </si>
  <si>
    <t>Ahmad FRL DXB</t>
  </si>
  <si>
    <t>YESS</t>
  </si>
  <si>
    <t>canncelled/clowback</t>
  </si>
  <si>
    <t>clowback/TB</t>
  </si>
  <si>
    <t>clowback/FB</t>
  </si>
  <si>
    <t xml:space="preserve"> Phone Number</t>
  </si>
  <si>
    <t>Plan199</t>
  </si>
  <si>
    <t>Custumer OM-ID</t>
  </si>
  <si>
    <t>MOHAMMAD ISMAIL ALI MOHAMED</t>
  </si>
  <si>
    <t>CM0001008421</t>
  </si>
  <si>
    <t>AVESH KUMAR MISHRA</t>
  </si>
  <si>
    <t>CM0001012562</t>
  </si>
  <si>
    <t>NISMAUDHEEN ATHOLI RASHEED</t>
  </si>
  <si>
    <t>CM0001009442</t>
  </si>
  <si>
    <t>HAIQING ZHANG</t>
  </si>
  <si>
    <t>CM0001015717</t>
  </si>
  <si>
    <t>MUHAMMAD AFNAS NASAR VAZHERI</t>
  </si>
  <si>
    <t>CM0001010317</t>
  </si>
  <si>
    <t>MAHMOUD AHMED ABDELWAHED</t>
  </si>
  <si>
    <t>CM0001018107</t>
  </si>
  <si>
    <t>MOHAMED FATHI ALI</t>
  </si>
  <si>
    <t>CM0001018639</t>
  </si>
  <si>
    <t>MOHAMMAD ALI JALANDARI</t>
  </si>
  <si>
    <t>CM0001022077</t>
  </si>
  <si>
    <t>MUHAMMAD WASEEM AKRAM</t>
  </si>
  <si>
    <t>CM0001026786</t>
  </si>
  <si>
    <t>SAWEELA IRFAN IRFAN</t>
  </si>
  <si>
    <t>CM0001027684</t>
  </si>
  <si>
    <t>TASAWAR HUSSAIN SALEH MUHAMMAD</t>
  </si>
  <si>
    <t>CM0001029218</t>
  </si>
  <si>
    <t>HALIMA SAEED OBAID ALSHEHHI</t>
  </si>
  <si>
    <t>CM0001032519</t>
  </si>
  <si>
    <t>DOAA HAMMAD ZAKI AHMED</t>
  </si>
  <si>
    <t>CM0001034228</t>
  </si>
  <si>
    <t>SHAHANSHA HANEEFA AMBA</t>
  </si>
  <si>
    <t>CM0001040807</t>
  </si>
  <si>
    <t>KHALID KHAMIS ALI ALBEDAIWI</t>
  </si>
  <si>
    <t>CM0001043680</t>
  </si>
  <si>
    <t>MOIDEEN PULIKKOOR MOOLA</t>
  </si>
  <si>
    <t>AHMAD SALEH THAHER</t>
  </si>
  <si>
    <t>SHABEEBA MEETHALE VANIBHA</t>
  </si>
  <si>
    <t>CM0001052630</t>
  </si>
  <si>
    <t>AVINASH RAOSAHEB</t>
  </si>
  <si>
    <t>MOHAMMAD ABU TAHER</t>
  </si>
  <si>
    <t>1-425119636519</t>
  </si>
  <si>
    <t>LVER JAMES BUNOL CABARACA</t>
  </si>
  <si>
    <t>CM0001055716</t>
  </si>
  <si>
    <t>MARTINA</t>
  </si>
  <si>
    <t>299 FNE</t>
  </si>
  <si>
    <t>SHAIMAA MOHAMED ELSAID BARAKAT</t>
  </si>
  <si>
    <t>CM0001057970</t>
  </si>
  <si>
    <t>MOHAMED AHMED NOUBY</t>
  </si>
  <si>
    <t>CM0001057990</t>
  </si>
  <si>
    <t>MOHAMMED SALIM MIAH MOHAMMED</t>
  </si>
  <si>
    <t>CM0001062093</t>
  </si>
  <si>
    <t>FARZANA FAZAL QADOOS</t>
  </si>
  <si>
    <t>CM0001063187</t>
  </si>
  <si>
    <t>ZEESHAN SATTAR ABDUL SATTAR</t>
  </si>
  <si>
    <t>CM0001065828</t>
  </si>
  <si>
    <t>ANNEMOL SHIBU MATHEW</t>
  </si>
  <si>
    <t>MARTIN MARIE BRUNO</t>
  </si>
  <si>
    <t>1-428493151968</t>
  </si>
  <si>
    <t>CNOMAN AHMED ABDUL AZIZ</t>
  </si>
  <si>
    <t>SHJ</t>
  </si>
  <si>
    <t>CM0001066762</t>
  </si>
  <si>
    <t>ADIYATTIL AYYOOB MAMMALI</t>
  </si>
  <si>
    <t>CM0001080108</t>
  </si>
  <si>
    <t>HASHAN IAKSHITHA ARIYARATNE</t>
  </si>
  <si>
    <t>CM0001080926</t>
  </si>
  <si>
    <t>TAMER TAHA SALEH MOHAMED NEGM</t>
  </si>
  <si>
    <t>CM0001082211</t>
  </si>
  <si>
    <t>MOSSA KHAN ANWAR KHAN</t>
  </si>
  <si>
    <t>CM0001082563</t>
  </si>
  <si>
    <t>ROSEMARIE IGNACIO MARTINEZ</t>
  </si>
  <si>
    <t>CM0001083013</t>
  </si>
  <si>
    <t>ALI RASHED ALI ALMATHKOOR ALNUAIMI</t>
  </si>
  <si>
    <t>CM0001083017</t>
  </si>
  <si>
    <t>SHIJIN KAPPACHIKANDY VIJAYAN KAPPACHIKANDY</t>
  </si>
  <si>
    <t>CM0001083104</t>
  </si>
  <si>
    <t>ZAINAB MA HASHEM</t>
  </si>
  <si>
    <t>CM0001083141</t>
  </si>
  <si>
    <t>ABUBAKAR ALI IBRAHIM SALIH</t>
  </si>
  <si>
    <t>CM0001083814</t>
  </si>
  <si>
    <t>MUHAMMAD NADEEM HUMAYUN</t>
  </si>
  <si>
    <t>CM0001083895</t>
  </si>
  <si>
    <t>CM0001084923</t>
  </si>
  <si>
    <t>SHAYMA ABDULLA MOHAMMED MALOUH</t>
  </si>
  <si>
    <t>CM0001085393</t>
  </si>
  <si>
    <t>CM0001086671</t>
  </si>
  <si>
    <t>KAMAL YOUSAF NASIF MORKOS</t>
  </si>
  <si>
    <t>CM0001086682</t>
  </si>
  <si>
    <t>SYED MUHAMMAD OWAIS HAIDER NAQVI</t>
  </si>
  <si>
    <t>CM0001087267</t>
  </si>
  <si>
    <t>SHAMS UL HADI SHER GULAM</t>
  </si>
  <si>
    <t>CM0001087808</t>
  </si>
  <si>
    <t>HUSSAN GHANI FAZAL KHALIQ</t>
  </si>
  <si>
    <t>CM0001093832</t>
  </si>
  <si>
    <t>MARYAM KHALIFA KASHAN BAKHIT</t>
  </si>
  <si>
    <t>CM0001095160</t>
  </si>
  <si>
    <t>MUNEEB AHMAD HAZIR MUHAMMAD</t>
  </si>
  <si>
    <t>CM0001095457</t>
  </si>
  <si>
    <t>MOHAMMAD DAOUD HAJI NADER</t>
  </si>
  <si>
    <t>CM0001095778</t>
  </si>
  <si>
    <t>HUWAIDA FAHD MOHAMMED SALEM</t>
  </si>
  <si>
    <t>CM0001096201</t>
  </si>
  <si>
    <t>CM0001097835</t>
  </si>
  <si>
    <t>TAREK SHEHATA AMIN</t>
  </si>
  <si>
    <t>LINTO THOMAS THOMAS</t>
  </si>
  <si>
    <t>CM0001098665</t>
  </si>
  <si>
    <t>JOHN MARK AMALIA</t>
  </si>
  <si>
    <t>CM0001098707</t>
  </si>
  <si>
    <t>MAHER YAHIA OTHMAN</t>
  </si>
  <si>
    <t>CM0001103413</t>
  </si>
  <si>
    <t>ULAGANATHAN GANAPATHY</t>
  </si>
  <si>
    <t>CM0001103439</t>
  </si>
  <si>
    <t>MUHAMMED SHEKEEB ABBAS KANNIYALAN</t>
  </si>
  <si>
    <t>ASFAQ AHAMED LAFEER</t>
  </si>
  <si>
    <t>CM0001065898</t>
  </si>
  <si>
    <t>ROOPANA THIYAGARAJAN</t>
  </si>
  <si>
    <t>CM0001070496</t>
  </si>
  <si>
    <t>ZAHID ALI MEHAR ALI</t>
  </si>
  <si>
    <t>CM0001074954</t>
  </si>
  <si>
    <t>ALAA MOHAMED GAD</t>
  </si>
  <si>
    <t>CM0001076048</t>
  </si>
  <si>
    <t>CM0001080319</t>
  </si>
  <si>
    <t>ESMAEIL NASER AHMADPOOR</t>
  </si>
  <si>
    <t>SIVAGURU NAGARAJAN</t>
  </si>
  <si>
    <t>BARAA SALEEM AHMAD</t>
  </si>
  <si>
    <t>CM0001088093</t>
  </si>
  <si>
    <t>MD TARAK HOSSAIN MD</t>
  </si>
  <si>
    <t>ABDUL NASER</t>
  </si>
  <si>
    <t>ANWAR MOHAMED</t>
  </si>
  <si>
    <t xml:space="preserve">ULAGANATHAN GANAPATHY </t>
  </si>
  <si>
    <t>AJM</t>
  </si>
  <si>
    <t>NASEER AHMED DADALLA</t>
  </si>
  <si>
    <t>CM0001104251</t>
  </si>
  <si>
    <t>CRISTINA CORPIN</t>
  </si>
  <si>
    <t>CM0001104857</t>
  </si>
  <si>
    <t>KASSIB ALI AHMED MOHAMED ALHMOUDI</t>
  </si>
  <si>
    <t>CM0001105053</t>
  </si>
  <si>
    <t>FATEMA AKTER MD</t>
  </si>
  <si>
    <t>CM0001106908</t>
  </si>
  <si>
    <t>RASHED NASEEB AL</t>
  </si>
  <si>
    <t>CM0001107436</t>
  </si>
  <si>
    <t>HASSAN MOHAMED ALI KHAMEIS</t>
  </si>
  <si>
    <t>CM0001107865</t>
  </si>
  <si>
    <t>ESRAA MAHMOUD YOUSAF</t>
  </si>
  <si>
    <t xml:space="preserve">MUHAMMAD USMAN </t>
  </si>
  <si>
    <t>SHYAM MOHAN MOHANAN</t>
  </si>
  <si>
    <t>CM0001119200</t>
  </si>
  <si>
    <t>MURAT AIKHAOV</t>
  </si>
  <si>
    <t>CM0001123121</t>
  </si>
  <si>
    <t>BUSHRA KHALID KHALID</t>
  </si>
  <si>
    <t>MOHAMED ALY</t>
  </si>
  <si>
    <t>CM0001128068</t>
  </si>
  <si>
    <t>058 610 6783</t>
  </si>
  <si>
    <t>WALEK AMIR JAN</t>
  </si>
  <si>
    <t>CM0001129670</t>
  </si>
  <si>
    <t>ALTAF NIAZ NIAZ</t>
  </si>
  <si>
    <t>SANJO</t>
  </si>
  <si>
    <t>WALIH SALEH</t>
  </si>
  <si>
    <t>MOHAMMAD ILYAS</t>
  </si>
  <si>
    <t>CM0001130400</t>
  </si>
  <si>
    <t>CM0001132786</t>
  </si>
  <si>
    <t>KHURRAM SAEED</t>
  </si>
  <si>
    <t>CM0001134695</t>
  </si>
  <si>
    <t>MUHAMMAD MUBASHIR SAMI</t>
  </si>
  <si>
    <t>CM0001134927</t>
  </si>
  <si>
    <t>+</t>
  </si>
  <si>
    <t>FARIDHA JAFFER ABDUL SALAM</t>
  </si>
  <si>
    <t>1-440882447951</t>
  </si>
  <si>
    <t>CM0001139068</t>
  </si>
  <si>
    <t>OMAR EISA MOHAMED</t>
  </si>
  <si>
    <t>CM0001139725</t>
  </si>
  <si>
    <t>KAMALUDDIN SEKHANDARI</t>
  </si>
  <si>
    <t>CM0001143229</t>
  </si>
  <si>
    <t>MOHAMED ELSADIG</t>
  </si>
  <si>
    <t>CM0001143378</t>
  </si>
  <si>
    <t>MAJID MOHAMED MUHANNA</t>
  </si>
  <si>
    <t>AHMAD MOHAMMAD IBRAHIM</t>
  </si>
  <si>
    <t>CM0001146738</t>
  </si>
  <si>
    <t>MOHAMMED H M TAWEEL</t>
  </si>
  <si>
    <t>CM0001155530</t>
  </si>
  <si>
    <t>RIEMEN DESMOND ERHABOR</t>
  </si>
  <si>
    <t>CM0001108711</t>
  </si>
  <si>
    <t>MUHAMMAD DANIYAL SHAFIQ AHMED</t>
  </si>
  <si>
    <t>MOIDHEEN KODANATH ALI</t>
  </si>
  <si>
    <t>NICKIL KAMINI</t>
  </si>
  <si>
    <t>FASIL PANANGOT</t>
  </si>
  <si>
    <t>MITHUN KUNNAMPILLY</t>
  </si>
  <si>
    <t>CM0001148381</t>
  </si>
  <si>
    <t>MD ASHIQ ALAHI MD</t>
  </si>
  <si>
    <t>MUHASIN ARAKKAVEETTIL SIRAJUDHEEN</t>
  </si>
  <si>
    <t>GLENDA BERNALES</t>
  </si>
  <si>
    <t>SAIF SALMAN LATEED ALAWI</t>
  </si>
  <si>
    <t>ABDUL HAMEED MOIDEEN</t>
  </si>
  <si>
    <t>EVELYN MENSHAN</t>
  </si>
  <si>
    <t>ABDENBAI ELSAYED ABDELAAL</t>
  </si>
  <si>
    <t>SULEMAN AHMAD MUHAMMAD</t>
  </si>
  <si>
    <t>abudhabi</t>
  </si>
  <si>
    <t>ROBIN JACOB PANACHA</t>
  </si>
  <si>
    <t>SAID ANTOUN HOBEIKA</t>
  </si>
  <si>
    <t>dubai</t>
  </si>
  <si>
    <t>MUHAMMAD ILYAS ASLAM</t>
  </si>
  <si>
    <t>BERNARD HORSFIELD</t>
  </si>
  <si>
    <t>KAILASH VERMA MANGU</t>
  </si>
  <si>
    <t>GHOSOON IBRAHIM SALEH</t>
  </si>
  <si>
    <t>sharjha</t>
  </si>
  <si>
    <t>MEENU VENUGOPALAN NAIR</t>
  </si>
  <si>
    <t>NAFEES AHMAD WASI ULLAH</t>
  </si>
  <si>
    <t>ABDULLA RASHED MOHAMED BIN</t>
  </si>
  <si>
    <t>MOHAMMED ELSAYED SABER</t>
  </si>
  <si>
    <t>FRANCISCA AZAKPE ASSAH</t>
  </si>
  <si>
    <t>YOUSIF ABDELRAHMAN YOUSIF</t>
  </si>
  <si>
    <t>CM0000991918</t>
  </si>
  <si>
    <t xml:space="preserve">YULIIA SAMOILENKO </t>
  </si>
  <si>
    <t>CM0000993316</t>
  </si>
  <si>
    <t>CM0000995694</t>
  </si>
  <si>
    <t>RONIT SHARMA</t>
  </si>
  <si>
    <t>SYED MUNAVIR SYED</t>
  </si>
  <si>
    <t>CM0000997173</t>
  </si>
  <si>
    <t>SHANTI TAMANG</t>
  </si>
  <si>
    <t>CM0000998599</t>
  </si>
  <si>
    <t>BAIJU MUNDAKKATH</t>
  </si>
  <si>
    <t>CM0000998630</t>
  </si>
  <si>
    <t>MOHAMED ALI MOHAMED ALI</t>
  </si>
  <si>
    <t>CM0001002260</t>
  </si>
  <si>
    <t>ABDUL JALIL ERUMBADA</t>
  </si>
  <si>
    <t>CM0001006604</t>
  </si>
  <si>
    <t>MYSUN NOORULDEEN HOSSAIN</t>
  </si>
  <si>
    <t>CM0001007711</t>
  </si>
  <si>
    <t xml:space="preserve">ABDULWAHAB </t>
  </si>
  <si>
    <t>CM0001011132</t>
  </si>
  <si>
    <t xml:space="preserve">AMMAR BARRAK </t>
  </si>
  <si>
    <t xml:space="preserve">AMMAR_ALBARAK@HOTMAIL.COM </t>
  </si>
  <si>
    <t>REJECTED</t>
  </si>
  <si>
    <t>ORDER_READY</t>
  </si>
  <si>
    <t>Returned</t>
  </si>
  <si>
    <t>Rejected By customer - Customer Changed his/her mind</t>
  </si>
  <si>
    <t>CM0001009464</t>
  </si>
  <si>
    <t xml:space="preserve">MOHAMMED MEHNAN </t>
  </si>
  <si>
    <t xml:space="preserve">MEHANA123@GMAIL.COM </t>
  </si>
  <si>
    <t>Order Ready</t>
  </si>
  <si>
    <t>CM0001009065</t>
  </si>
  <si>
    <t xml:space="preserve">NOORZAMAN </t>
  </si>
  <si>
    <t xml:space="preserve">MIRSADPHOTOS@YAHOO.COM </t>
  </si>
  <si>
    <t>Reschedule - Wants to Reschedule</t>
  </si>
  <si>
    <t>CM0001012801</t>
  </si>
  <si>
    <t xml:space="preserve">SAWEELA IRFA </t>
  </si>
  <si>
    <t xml:space="preserve">RA578306895@GMAIL.COM </t>
  </si>
  <si>
    <t>CM0001013356</t>
  </si>
  <si>
    <t xml:space="preserve">MILDRED LEON </t>
  </si>
  <si>
    <t>MILDDREDLEOCN@YAHOO.COM</t>
  </si>
  <si>
    <t>Technical Issue - Merchant app</t>
  </si>
  <si>
    <t>CM0001017964</t>
  </si>
  <si>
    <t xml:space="preserve">NISAMUDEEN RASHEED </t>
  </si>
  <si>
    <t xml:space="preserve">NISAMUDEENAR99@GMAIL.COM </t>
  </si>
  <si>
    <t>Delivered</t>
  </si>
  <si>
    <t>Cant reach the Customer - Invalid Number</t>
  </si>
  <si>
    <t xml:space="preserve">AVDESH MISHRA </t>
  </si>
  <si>
    <t xml:space="preserve">MISHRAVDESH179@GMAIL.COM </t>
  </si>
  <si>
    <t>ACTIVATED</t>
  </si>
  <si>
    <t>CM0001014180</t>
  </si>
  <si>
    <t xml:space="preserve">HAIQING </t>
  </si>
  <si>
    <t xml:space="preserve">BABYQUUEN@EVEGCM.COM </t>
  </si>
  <si>
    <t>ABDUL JALIL ERUMBADA KANDY MOIN</t>
  </si>
  <si>
    <t>JALILOMI@HOTMAIL.COM</t>
  </si>
  <si>
    <t xml:space="preserve">MAHMOUD AHMED </t>
  </si>
  <si>
    <t xml:space="preserve">MAHMOUD.ELTAHWY1992@GMAIL.COM </t>
  </si>
  <si>
    <t>Cant reach the Customer - No Answer</t>
  </si>
  <si>
    <t>CM0001021204</t>
  </si>
  <si>
    <t>MOHAMED FATHIL ALI WLSHAHAWY</t>
  </si>
  <si>
    <t>MOHAMEDELSHAHWY14@GMAIL.COM</t>
  </si>
  <si>
    <t>CM0001021210</t>
  </si>
  <si>
    <t>MAHMOUD AHMED ABDELWAHED ABDELAZIZ</t>
  </si>
  <si>
    <t>MAHMOUD.ELTAHWY1992@GMAIL.COM</t>
  </si>
  <si>
    <t>MOHAMED FATHI ALI ELSHAHAWAY</t>
  </si>
  <si>
    <t>MOHAMEDELSHAHAWY14@YAHOO.COM</t>
  </si>
  <si>
    <t>CM0001022999</t>
  </si>
  <si>
    <t>MUDHAFAR SALEH MOHAMMED BIN HAMOUDESH ALHADRAMI</t>
  </si>
  <si>
    <t>ALBURKAAN999@HOTMAIL.COM</t>
  </si>
  <si>
    <t xml:space="preserve">CANT REACH CM </t>
  </si>
  <si>
    <t xml:space="preserve">MOHAMMED ALI JALANDRI </t>
  </si>
  <si>
    <t xml:space="preserve">NOMAIL@GMAIL.COM </t>
  </si>
  <si>
    <t>CM0001022214</t>
  </si>
  <si>
    <t xml:space="preserve">UMER HABIB </t>
  </si>
  <si>
    <t xml:space="preserve">REJECTED BY CM </t>
  </si>
  <si>
    <t>CM0001026452</t>
  </si>
  <si>
    <t>AN ROSETTE</t>
  </si>
  <si>
    <t>CHFA786@GMAIL.COM</t>
  </si>
  <si>
    <t>SAWEELA IRFAN IRFAN ULLAH KHAN</t>
  </si>
  <si>
    <t>RA5783060895@GMAIL.COM</t>
  </si>
  <si>
    <t>TASAWAR.HUSSAIN0178@GMAIL.COM</t>
  </si>
  <si>
    <t>CM0001029433</t>
  </si>
  <si>
    <t>AMINA ZEYNU ABDELA</t>
  </si>
  <si>
    <t>AMINAZAYNU@GMAIL.COM</t>
  </si>
  <si>
    <t xml:space="preserve">OUT FOR DELIVERY </t>
  </si>
  <si>
    <t>CM0001031212</t>
  </si>
  <si>
    <t>KHURAM SHADAD MUHAMMAD ARIF RAFI</t>
  </si>
  <si>
    <t>SHADADKHURRAM@GMAIL.COM</t>
  </si>
  <si>
    <t>Address - Customer changed location</t>
  </si>
  <si>
    <t>HALIMA SAEED OBAID ALSHEHHI ALGHAFRI</t>
  </si>
  <si>
    <t>HALIMASAEED40800@GMAIL.COM</t>
  </si>
  <si>
    <t>HAMADA.TARIKBAT@GMAIL.COM</t>
  </si>
  <si>
    <t>CM0001037859</t>
  </si>
  <si>
    <t xml:space="preserve">SIVARIYANTHAM RAYAPPAN </t>
  </si>
  <si>
    <t xml:space="preserve">RAPRAN005@GMAIL.COM </t>
  </si>
  <si>
    <t xml:space="preserve">rejected by cm </t>
  </si>
  <si>
    <t>CM0001036333</t>
  </si>
  <si>
    <t>MARICEL ROSAL ABDI</t>
  </si>
  <si>
    <t>MARYSAMROSAL786@GMAIL.COM</t>
  </si>
  <si>
    <t xml:space="preserve">TECHNICAL ISSUE </t>
  </si>
  <si>
    <t>CM0001037063</t>
  </si>
  <si>
    <t>DAN MICHAEL CAPUYAN DE LEON</t>
  </si>
  <si>
    <t>MILDREDCDELEON@YAHOO.COM</t>
  </si>
  <si>
    <t xml:space="preserve">RESCHEDULE </t>
  </si>
  <si>
    <t xml:space="preserve">SHAHANSHA HANEEFA AMBA </t>
  </si>
  <si>
    <t xml:space="preserve">2AUTO.SHINE@GMAIL.COM </t>
  </si>
  <si>
    <t>KHALID KHAMIS ALI ALBDALWI ALNAWBI</t>
  </si>
  <si>
    <t>K.AL.BEDIWI@HOTMAIL.COM</t>
  </si>
  <si>
    <t>CM0001043687</t>
  </si>
  <si>
    <t>ADIYATTIL AYYOOB MAMMALI ADIYATTIL</t>
  </si>
  <si>
    <t>WWWAYYOOBSAFA786@GMAIL.COM</t>
  </si>
  <si>
    <t>Rejected By customer - Customer did not share a reason</t>
  </si>
  <si>
    <t>MOIDEEN PULIKKOOR MOOLA ABDULKHADER</t>
  </si>
  <si>
    <t>MOIDUMOIDU997@GMAIL.COM</t>
  </si>
  <si>
    <t>CM0001047194</t>
  </si>
  <si>
    <t>MOHAMMED SALIM MIAH MOHANMMED EDRIS ALI</t>
  </si>
  <si>
    <t>MOHAMMEDSALIM1990@GMAIL.COM</t>
  </si>
  <si>
    <t xml:space="preserve">CM WANTS TO RESCHEDULE </t>
  </si>
  <si>
    <t>Received By Sorting Hub</t>
  </si>
  <si>
    <t>SHABEEBA MEETHALE VANIBHA PEEDIKAYIL</t>
  </si>
  <si>
    <t>SHEBISHAFEEQ100@GMAIL.COM</t>
  </si>
  <si>
    <t xml:space="preserve">AHMED SALEH </t>
  </si>
  <si>
    <t xml:space="preserve">QASER.ALJOORI.UAE@GMAIL.COM </t>
  </si>
  <si>
    <t xml:space="preserve">PENDING </t>
  </si>
  <si>
    <t>IVER JAMES BUNOL CABARACA</t>
  </si>
  <si>
    <t>OBITANIAKHRISTINI@GMAIL.COM</t>
  </si>
  <si>
    <t>MOHAMED AHMED NOUBY SADEK</t>
  </si>
  <si>
    <t>MOHAMED1986@GMAIL.COM</t>
  </si>
  <si>
    <t>Date</t>
  </si>
  <si>
    <t xml:space="preserve">AQSA STATUS </t>
  </si>
  <si>
    <t>HUMAID MOHAMED ABDALLA</t>
  </si>
  <si>
    <t>30/05/2023</t>
  </si>
  <si>
    <t>CM0001155613</t>
  </si>
  <si>
    <t>MUSTAFA HAYDER SHAKIR AL BAIDHANI</t>
  </si>
  <si>
    <t>MAIRAJ ALI ARSHAD ABBASI</t>
  </si>
  <si>
    <t>CM0001159870</t>
  </si>
  <si>
    <t>KHADKA BAHADUR SUNAR</t>
  </si>
  <si>
    <t>CM0001160117</t>
  </si>
  <si>
    <t>AVINASH BALU LONDHE</t>
  </si>
  <si>
    <t>ARJUN DILIP THORAT DILIP</t>
  </si>
  <si>
    <t>MHD MUHI EDDIN</t>
  </si>
  <si>
    <t>CM0001163169</t>
  </si>
  <si>
    <t>HARESH KUMAR RAMESH</t>
  </si>
  <si>
    <t>CM0001163455</t>
  </si>
  <si>
    <t>TEDIAB GEMECHU</t>
  </si>
  <si>
    <t>CM0001163769</t>
  </si>
  <si>
    <t>SUNIL KUMAR LOKWANI</t>
  </si>
  <si>
    <t>CM0001166420</t>
  </si>
  <si>
    <t>SALIM JUMA SAEED</t>
  </si>
  <si>
    <t>CM0001165030</t>
  </si>
  <si>
    <t>AMANI HAFIZ HAYATI ALSHAKHSHIR</t>
  </si>
  <si>
    <t>CM0001165243</t>
  </si>
  <si>
    <t>CM0001169864</t>
  </si>
  <si>
    <t xml:space="preserve">NITHIN GULAB VISHWAKARMA </t>
  </si>
  <si>
    <t>UMAL-QUEEN</t>
  </si>
  <si>
    <t>SHARE REF NUMBER</t>
  </si>
  <si>
    <t>IRENE MAMUSU BOB</t>
  </si>
  <si>
    <t>CM0001169809</t>
  </si>
  <si>
    <t>SAMEER MOHAMAD ZAHIR</t>
  </si>
  <si>
    <t xml:space="preserve">NO ACCOUNT FOUND </t>
  </si>
  <si>
    <t>CM0001149842</t>
  </si>
  <si>
    <t>058 247 6852</t>
  </si>
  <si>
    <t>IBRAHIM SAEED MOHAMED</t>
  </si>
  <si>
    <t>CM0001173089</t>
  </si>
  <si>
    <t>SAMEER ASRAT ALI</t>
  </si>
  <si>
    <t>CM0001174533</t>
  </si>
  <si>
    <t>IHTISHAM KHAN ROZ</t>
  </si>
  <si>
    <t>CM0001184102</t>
  </si>
  <si>
    <t>DINA ABDULLAH ALAMIN</t>
  </si>
  <si>
    <t>CM0001176028</t>
  </si>
  <si>
    <t>RAJA BABU JAHUR MO</t>
  </si>
  <si>
    <t>CM0001176271</t>
  </si>
  <si>
    <t>YASSER ALI RADWAN ATTITALLA</t>
  </si>
  <si>
    <t xml:space="preserve">MOHAMED ELSAID </t>
  </si>
  <si>
    <t>CM0001179254</t>
  </si>
  <si>
    <t xml:space="preserve">SHAZIA ANWAR ANWAR </t>
  </si>
  <si>
    <t>15/06/2023</t>
  </si>
  <si>
    <t>CM0001184694</t>
  </si>
  <si>
    <t>MUHAMMAD IMRAN MUHAMMAD</t>
  </si>
  <si>
    <t>CM0001185466</t>
  </si>
  <si>
    <t>NUSHAD VAIDYAR KANDY</t>
  </si>
  <si>
    <t>16/6/2023</t>
  </si>
  <si>
    <t>ZEESHAN SALEEM MUHAMMAD</t>
  </si>
  <si>
    <t>25/06/2023</t>
  </si>
  <si>
    <t>SHAHUL KHAN NASIR</t>
  </si>
  <si>
    <t>26/06/2023</t>
  </si>
  <si>
    <t>MOHAMMAD BABUL</t>
  </si>
  <si>
    <t>CM0001204072</t>
  </si>
  <si>
    <t>CHARITRA SINGH</t>
  </si>
  <si>
    <t>27/06/2023</t>
  </si>
  <si>
    <t>CM0001205246</t>
  </si>
  <si>
    <t>LOKESH KUMAR HIRA</t>
  </si>
  <si>
    <t>28/06/2023</t>
  </si>
  <si>
    <t>CM0001194154</t>
  </si>
  <si>
    <t>NASHI SAEED</t>
  </si>
  <si>
    <t>CM0001196023</t>
  </si>
  <si>
    <t>ABDUL KADIR</t>
  </si>
  <si>
    <t>CM0001190856</t>
  </si>
  <si>
    <t>SR NUMBER</t>
  </si>
  <si>
    <t xml:space="preserve">AGENT NAME </t>
  </si>
  <si>
    <t xml:space="preserve">DATE </t>
  </si>
  <si>
    <t xml:space="preserve">ORDER NUMBER </t>
  </si>
  <si>
    <t xml:space="preserve">ACCOUNT NUMBER </t>
  </si>
  <si>
    <t xml:space="preserve">CUSTOMER NAME </t>
  </si>
  <si>
    <t xml:space="preserve">CONTACT NUMBER </t>
  </si>
  <si>
    <t xml:space="preserve">EMAIL </t>
  </si>
  <si>
    <t xml:space="preserve">MRC AS PER DSR </t>
  </si>
  <si>
    <t xml:space="preserve">PROCESSING TYPE </t>
  </si>
  <si>
    <t xml:space="preserve">STATUS </t>
  </si>
  <si>
    <t xml:space="preserve">ac date </t>
  </si>
  <si>
    <t xml:space="preserve">CANCELLATION </t>
  </si>
  <si>
    <t xml:space="preserve">story status </t>
  </si>
  <si>
    <t xml:space="preserve">REMARKS </t>
  </si>
  <si>
    <t xml:space="preserve">REJECTION REASON </t>
  </si>
  <si>
    <t>ABDULWAHAB</t>
  </si>
  <si>
    <t>CM0001264131</t>
  </si>
  <si>
    <t>ABDALLA HAMAD SALIM AHMED ALKARBI</t>
  </si>
  <si>
    <t>501554145@GMAIL.COM</t>
  </si>
  <si>
    <t>MANUAL</t>
  </si>
  <si>
    <t>CM0001261184</t>
  </si>
  <si>
    <t>MOHAMED ABDELRAHMAN TAHA TOLBA IBRAHIM</t>
  </si>
  <si>
    <t>MOHAMEDTOLBAIBRAHIM0@GMAIL.COM</t>
  </si>
  <si>
    <t>CM0001262480</t>
  </si>
  <si>
    <t>MOHAMED METWALLY MOHAMED AHMED ELMALLAH</t>
  </si>
  <si>
    <t>ENGMETWALLY2005@YAHOO.COM</t>
  </si>
  <si>
    <t>CM0001264659</t>
  </si>
  <si>
    <t>IHAB ABBAS ELSHERBINI MAHMOUD</t>
  </si>
  <si>
    <t>IHABA617@GMAIL.COM</t>
  </si>
  <si>
    <t>Order Rejected by Customer</t>
  </si>
  <si>
    <t>CM0001266061</t>
  </si>
  <si>
    <t>SREEBALU PASUPALAN PASUPALAN SREEBHAVAN</t>
  </si>
  <si>
    <t>582502965@GMAIL.COM</t>
  </si>
  <si>
    <t>CM0001268062</t>
  </si>
  <si>
    <t>MOHAMMED RIZWAN MOHAMMED ABDUL HAMEED</t>
  </si>
  <si>
    <t>MDRIZWAN_MDRIZWAN@YAHOO.COM</t>
  </si>
  <si>
    <t>CM0001269322</t>
  </si>
  <si>
    <t xml:space="preserve">SHAHANAWAZ SHAKIR ALI </t>
  </si>
  <si>
    <t>SHANAWAJBOY330@GMAIL.COM</t>
  </si>
  <si>
    <t>CM0001269586</t>
  </si>
  <si>
    <t xml:space="preserve">HUSHAM AHMED FARAGALLA MOHAMED </t>
  </si>
  <si>
    <t>ABUALTIMAN2000@GMAIL.COM</t>
  </si>
  <si>
    <t>CM0001272781</t>
  </si>
  <si>
    <t xml:space="preserve">SABIR MOHAMMED ABACODU </t>
  </si>
  <si>
    <t>SABIRMOHAMMED064@GMAIL.COM</t>
  </si>
  <si>
    <t>CM0001274992</t>
  </si>
  <si>
    <t xml:space="preserve">MAHER KABL ALKHASARA </t>
  </si>
  <si>
    <t>SALAH1994GZ@GMAIL.COM</t>
  </si>
  <si>
    <t>CM0001275072</t>
  </si>
  <si>
    <t xml:space="preserve">RAKIBUL HASSAN NURUL ABSAR </t>
  </si>
  <si>
    <t>527686420@GMAIL.COM</t>
  </si>
  <si>
    <t xml:space="preserve">MANUAL </t>
  </si>
  <si>
    <t>CM0001276367</t>
  </si>
  <si>
    <t>AFTAB ZOUQ ZOUQ AKHTAR</t>
  </si>
  <si>
    <t>557429880@GMAIL.COM</t>
  </si>
  <si>
    <t>Change of Mind</t>
  </si>
  <si>
    <t>CM0001277315</t>
  </si>
  <si>
    <t>GEETIKA AMLANI VED PRAKASH</t>
  </si>
  <si>
    <t>0557560557@GMAIL.COM</t>
  </si>
  <si>
    <t>CM0001277868</t>
  </si>
  <si>
    <t>PEDRO HENRIQUE MIRANDA MORAIS DE SILVA</t>
  </si>
  <si>
    <t>PEDRO.PH09@HOTMAIL.COM</t>
  </si>
  <si>
    <t>delivery_assigned</t>
  </si>
  <si>
    <t>CM0001279625</t>
  </si>
  <si>
    <t xml:space="preserve">SEBA FATHIMA SHANAVAS CHILLAKKUNNEL HUSSAIN RAWTHER </t>
  </si>
  <si>
    <t>524267729@GMAIL.COM</t>
  </si>
  <si>
    <t>CM0001280564</t>
  </si>
  <si>
    <t xml:space="preserve">ABDUL MUNEER KATTADI ABDULLA KOLAVAYAL </t>
  </si>
  <si>
    <t>0553780707@GMAIL.COM</t>
  </si>
  <si>
    <t>CM0001282272</t>
  </si>
  <si>
    <t>JAMAL AHMED CHOWDHURY</t>
  </si>
  <si>
    <t>0505758749@GMAIL.COM</t>
  </si>
  <si>
    <t>EID or biometric not reading</t>
  </si>
  <si>
    <t>CM0001282971</t>
  </si>
  <si>
    <t xml:space="preserve">SALEH OTHMAN MOHAMMED </t>
  </si>
  <si>
    <t xml:space="preserve">SALEHOM@LIVE.COM </t>
  </si>
  <si>
    <t>CM0001285848</t>
  </si>
  <si>
    <t>MD UMOR FARUK ABDUL GONI</t>
  </si>
  <si>
    <t>CM0001286781</t>
  </si>
  <si>
    <t>DEEPU BHABAGRAHI BEHERA</t>
  </si>
  <si>
    <t>0501031530@GMAIL.COM</t>
  </si>
  <si>
    <t>CM0001290109</t>
  </si>
  <si>
    <t>ESLAM MOHAMED AHMED FARID ELMORSI</t>
  </si>
  <si>
    <t>FARIDESLAM85@GMAIL.COM</t>
  </si>
  <si>
    <t>Customer Rescheduled</t>
  </si>
  <si>
    <t>CM0001290216</t>
  </si>
  <si>
    <t>MUHAMMAD TAHIR RIAZ HUSSAIN</t>
  </si>
  <si>
    <t>MOHDNASERSAEED@GMAIL.COM</t>
  </si>
  <si>
    <t>order_delivered_successfully</t>
  </si>
  <si>
    <t>CM0001295657</t>
  </si>
  <si>
    <t xml:space="preserve">GEETIKA AMLANI VED PARKASH </t>
  </si>
  <si>
    <t>CM0001296350</t>
  </si>
  <si>
    <t>NASSER ALI NASSER MOHAMMED ALSHAMSI</t>
  </si>
  <si>
    <t>0508629666@GMAIL.COM</t>
  </si>
  <si>
    <t>CM0001297549</t>
  </si>
  <si>
    <t>MOHAMED KAMEL ABDELATY ELSAYED ELDEEB</t>
  </si>
  <si>
    <t>MUAE026@GMAIL.COM</t>
  </si>
  <si>
    <t xml:space="preserve">customer is blacklisted from du </t>
  </si>
  <si>
    <t>CM0001298964</t>
  </si>
  <si>
    <t>SABRIN OMAR ALYAAKUOB</t>
  </si>
  <si>
    <t>REEMAHMADSAPREN@GMAIL.COM</t>
  </si>
  <si>
    <t>CM0001299645</t>
  </si>
  <si>
    <t>TALIB HUSSAIN BASHIR AHMAD</t>
  </si>
  <si>
    <t>0553228942@GMAIL.COM</t>
  </si>
  <si>
    <t>CM0001307333</t>
  </si>
  <si>
    <t xml:space="preserve">ASIF REHMAN </t>
  </si>
  <si>
    <t>out_for_delivery</t>
  </si>
  <si>
    <t>CM0001307526</t>
  </si>
  <si>
    <t>reschedule</t>
  </si>
  <si>
    <t>CM0001305013</t>
  </si>
  <si>
    <t>MOHAMMED MUSTAFA</t>
  </si>
  <si>
    <t>JETRINE1425@GMAIL.COM '</t>
  </si>
  <si>
    <t>CM0001305174</t>
  </si>
  <si>
    <t xml:space="preserve">HOUSIEN ALI HAMDAN </t>
  </si>
  <si>
    <t>HOUSIEN.HMDAN424@GMAIL.COM '</t>
  </si>
  <si>
    <t>CM0001305335</t>
  </si>
  <si>
    <t xml:space="preserve">FARMAN ULLAH </t>
  </si>
  <si>
    <t xml:space="preserve">NOMAIL@GMMAIL.COM </t>
  </si>
  <si>
    <t>CM0001305800</t>
  </si>
  <si>
    <t xml:space="preserve">DIPEESHRAJ RAJAN </t>
  </si>
  <si>
    <t xml:space="preserve">DIPESHRAJ@GMAIL.COM </t>
  </si>
  <si>
    <t>CM0001305938</t>
  </si>
  <si>
    <t xml:space="preserve">JUNAIS MAMMIKKANAKTH BABBU </t>
  </si>
  <si>
    <t>588D4A824</t>
  </si>
  <si>
    <t xml:space="preserve">UNSTAINUR3@GMAIL.COM </t>
  </si>
  <si>
    <t>CM0001306144</t>
  </si>
  <si>
    <t xml:space="preserve">IQBAL HUSEN </t>
  </si>
  <si>
    <t>CM0001301627</t>
  </si>
  <si>
    <t xml:space="preserve">DHAVAL KUMAR BAJRANG RATHORE </t>
  </si>
  <si>
    <t>0552411932@GMAIL.COM</t>
  </si>
  <si>
    <t>CM0001310895</t>
  </si>
  <si>
    <t xml:space="preserve">ZAR ALI ABDUR RAUF KHAN </t>
  </si>
  <si>
    <t>0564814828@GMAIL.COM</t>
  </si>
  <si>
    <t>CM0001311659</t>
  </si>
  <si>
    <t>JULIE BALLERA  TEDIONG</t>
  </si>
  <si>
    <t xml:space="preserve">NOEMAIL@GMAIL.COM </t>
  </si>
  <si>
    <t>CM0001312011</t>
  </si>
  <si>
    <t>KOFFIVI KOULEWOSSI</t>
  </si>
  <si>
    <t>CM0001312087</t>
  </si>
  <si>
    <t xml:space="preserve">JAHANZAIB  MUHAMMAD  GHULAM  YASIN </t>
  </si>
  <si>
    <t>CM0001313469</t>
  </si>
  <si>
    <t>JUNAIS MAMMIKKANAKATH BAPPU</t>
  </si>
  <si>
    <t>NOMAIL@GMAIL.COM</t>
  </si>
  <si>
    <t>Plan</t>
  </si>
  <si>
    <t>MOHAMMED SAEED SAIF KERAIDA ALSHAMSI</t>
  </si>
  <si>
    <t xml:space="preserve">NESMA HUSSEIN MOHAMED ABOUELSOUD </t>
  </si>
  <si>
    <t>CM0001211785</t>
  </si>
  <si>
    <t xml:space="preserve">MOHAMED IDRISS ABBAS KORSHI </t>
  </si>
  <si>
    <t>CM0001213094</t>
  </si>
  <si>
    <t>ATIF MEHAMOOD HUSSAIN</t>
  </si>
  <si>
    <t>LESLI</t>
  </si>
  <si>
    <t xml:space="preserve">FAZILA ASLAM MUHAMMAD ASLAM </t>
  </si>
  <si>
    <t>MOHAMAD MUSTAFA SHIKH MOHAMAD</t>
  </si>
  <si>
    <t>MOHAMED ABDALAZEEM AHMED BABIKER</t>
  </si>
  <si>
    <t>muhammad rashid allah bakhsh</t>
  </si>
  <si>
    <t>SRAVAN PARAPRATH VALAPPILAKANDY PEETHAMBARAN ADIYARA</t>
  </si>
  <si>
    <t>MOHAMMAD SAHIN ALI SARDAR MOHAMMAD MOJAMMAL HAQUE</t>
  </si>
  <si>
    <t>MSHARI NAHAR ALNAIF</t>
  </si>
  <si>
    <t>SHAZAF FAROOQ MUHAMMAD ARIF</t>
  </si>
  <si>
    <t>FUJIRAH</t>
  </si>
  <si>
    <t xml:space="preserve">JUNAED MIAH ABDUL HAMID </t>
  </si>
  <si>
    <t>CM0001235752</t>
  </si>
  <si>
    <t xml:space="preserve">AHMED JASEM ABDULLA </t>
  </si>
  <si>
    <t>RAHBA GHAZI YOUSIF HASSAN</t>
  </si>
  <si>
    <t>CM0001241083</t>
  </si>
  <si>
    <t>RANA MADIAN MOHAMED ELHADI MOHAMED SHABANA</t>
  </si>
  <si>
    <t>CM0001252810</t>
  </si>
  <si>
    <t>NANA MOHAMMAD AL MOKDAD</t>
  </si>
  <si>
    <t>CM0001256953</t>
  </si>
  <si>
    <t>VERENDER SINGH GURMEET SINGH</t>
  </si>
  <si>
    <t>CM0001258694</t>
  </si>
  <si>
    <t>FAYE MARIANNE BALITE</t>
  </si>
  <si>
    <t>MOHSIN SALES</t>
  </si>
  <si>
    <t>ET TAHRA CHEBBAAI</t>
  </si>
  <si>
    <t>CM0001168797</t>
  </si>
  <si>
    <t>HUSSAIN SHAKIR</t>
  </si>
  <si>
    <t>CM0001208509</t>
  </si>
  <si>
    <t>ALLAN MPAALA</t>
  </si>
  <si>
    <t>CM0001171263</t>
  </si>
  <si>
    <t xml:space="preserve">AC-NO </t>
  </si>
  <si>
    <t xml:space="preserve">ORDER NO </t>
  </si>
  <si>
    <t xml:space="preserve">AC-DATE </t>
  </si>
  <si>
    <t>CM0001317762</t>
  </si>
  <si>
    <t>SAFARASH ALI MUHAMMAD ALI</t>
  </si>
  <si>
    <t>CM0001318650</t>
  </si>
  <si>
    <t>YOUSEF ALI MALEKI</t>
  </si>
  <si>
    <t>CM0001319345</t>
  </si>
  <si>
    <t>ZEESHAN ALI SAFARISH ALI</t>
  </si>
  <si>
    <t>CM0001320802</t>
  </si>
  <si>
    <t xml:space="preserve">MUHAMMAD   AWAIS  FARGOO MUHAMMAD KHALID  FAROOQ  BHUTTA </t>
  </si>
  <si>
    <t>CM0001322197</t>
  </si>
  <si>
    <t xml:space="preserve">BELAL HOSSAIN LATE  MOFIZ ULLAH </t>
  </si>
  <si>
    <t>CM0001322208</t>
  </si>
  <si>
    <t xml:space="preserve">ABDULRAHMAN HAYEL ABDULRAHMAN HAYEL SAEED </t>
  </si>
  <si>
    <t>ABDULRAHMAN@MOKHANOTMOCHA.COM</t>
  </si>
  <si>
    <t>CM0001322402</t>
  </si>
  <si>
    <t xml:space="preserve">MUHAMMAD AWAIS FARGOO MUHAMMAD KHALID FAROOQ BHUTTA </t>
  </si>
  <si>
    <t xml:space="preserve">wrong orderv </t>
  </si>
  <si>
    <t>CM0001327257</t>
  </si>
  <si>
    <t>AMAL SAUD SAIF SAEED ALAHMADI</t>
  </si>
  <si>
    <t>AMAL40603@GMAIL.COM</t>
  </si>
  <si>
    <t>WRONG ORDER</t>
  </si>
  <si>
    <t>CM0001328686</t>
  </si>
  <si>
    <t>MEKDES NIGUSE WORKU</t>
  </si>
  <si>
    <t>CM0001330227</t>
  </si>
  <si>
    <t xml:space="preserve">ALOUNOUD MOHAMED HASSAN RAMADAN ALMARZOOQI </t>
  </si>
  <si>
    <t xml:space="preserve">ALANOUD.SALMAN@GMAIL.COM </t>
  </si>
  <si>
    <t>CM0001330237</t>
  </si>
  <si>
    <t>MARZIEH MOOSA JAHANGIRI</t>
  </si>
  <si>
    <t>CM0001330235</t>
  </si>
  <si>
    <t xml:space="preserve">AHAMMED ZAMAN KORMATH ABDUL SATHAR KORMATH </t>
  </si>
  <si>
    <t xml:space="preserve">ZAMEDJD@GMAIL.COM </t>
  </si>
  <si>
    <t>CM0001331499</t>
  </si>
  <si>
    <t xml:space="preserve">MOHAMMAD  BABUL MIA HASSAN MIA </t>
  </si>
  <si>
    <t>BMGRASSDUBAI@GMAIL.COM</t>
  </si>
  <si>
    <t>CM0001331522</t>
  </si>
  <si>
    <t>JASEM JOMEH MALEKI</t>
  </si>
  <si>
    <t xml:space="preserve">JASSIMMALEKI@GMAIL.COM </t>
  </si>
  <si>
    <t>CM0001333242</t>
  </si>
  <si>
    <t xml:space="preserve">FADIL ALI AHMED ALQADI ALHAMMADI </t>
  </si>
  <si>
    <t xml:space="preserve">AL-ASSL88@HOTMAIL.COM </t>
  </si>
  <si>
    <t>CM0001334739</t>
  </si>
  <si>
    <t xml:space="preserve">AMAL SAUD SAIF SAEED ALAHMADI </t>
  </si>
  <si>
    <t>CM0001335037</t>
  </si>
  <si>
    <t xml:space="preserve">GHASSAN MOUSSA HAJ MOUSSA </t>
  </si>
  <si>
    <t>CM0001336449</t>
  </si>
  <si>
    <t xml:space="preserve">AHMAED AYMAN </t>
  </si>
  <si>
    <t>CM0001335630</t>
  </si>
  <si>
    <t xml:space="preserve">FADIL AHMED </t>
  </si>
  <si>
    <t xml:space="preserve">ASSL88@HOTMAIL.COM </t>
  </si>
  <si>
    <t>CM0001336414</t>
  </si>
  <si>
    <t xml:space="preserve">MIAH MD RAFIQUL ISLAM </t>
  </si>
  <si>
    <t>CM0001336482</t>
  </si>
  <si>
    <t xml:space="preserve">KHALIFA HASSAN </t>
  </si>
  <si>
    <t>CM0001337075</t>
  </si>
  <si>
    <t xml:space="preserve">MUHAMMAD ABDULLAH ALLABBAD </t>
  </si>
  <si>
    <t>CM0001337455</t>
  </si>
  <si>
    <t xml:space="preserve">JABRAN RASHEED ABDUL RASHEED </t>
  </si>
  <si>
    <t>Payment Due</t>
  </si>
  <si>
    <t>CM0001337854</t>
  </si>
  <si>
    <t>HARIS SAEED AHMED</t>
  </si>
  <si>
    <t>NOAIL@GMAIL.COM</t>
  </si>
  <si>
    <t>CM0001340648</t>
  </si>
  <si>
    <t xml:space="preserve">SHARMEEN ZIA  FARRUKH SEYDEIN </t>
  </si>
  <si>
    <t>FARRUKHSYEDIEN@GMAIL.COM</t>
  </si>
  <si>
    <t>CM0001352527</t>
  </si>
  <si>
    <t xml:space="preserve">HARIS SAEED  AHMED </t>
  </si>
  <si>
    <t>CM0001355202</t>
  </si>
  <si>
    <t>OMAR HDAWE ALNAWAF</t>
  </si>
  <si>
    <t>CM0001356777</t>
  </si>
  <si>
    <t>AHMED SAAD MOHAMED ALI AHMED ELNASHAR</t>
  </si>
  <si>
    <t>AHMEDSAAD25071997@GMAIL.COM</t>
  </si>
  <si>
    <t>Customer Not Available</t>
  </si>
  <si>
    <t>CM0001352635</t>
  </si>
  <si>
    <t>CM0001367592</t>
  </si>
  <si>
    <t>MUHAMMAD SAJID AKRAM MUHAMMAD AKRAM</t>
  </si>
  <si>
    <t>CM0001369850</t>
  </si>
  <si>
    <t>GHAZI MOHAMED HASAN MOHAMED ALROWAIEL</t>
  </si>
  <si>
    <t>CM0001373762</t>
  </si>
  <si>
    <t>BELAL HOSSAIN LALE MOFIZ ULLAH</t>
  </si>
  <si>
    <t>CM0001374156</t>
  </si>
  <si>
    <t>LAKHVIR SINGH</t>
  </si>
  <si>
    <t>CM0001375152</t>
  </si>
  <si>
    <t>WESAM MOHAMD</t>
  </si>
  <si>
    <t xml:space="preserve">AC NO </t>
  </si>
  <si>
    <t xml:space="preserve">ADV-CANCELLATION </t>
  </si>
  <si>
    <t xml:space="preserve">AC -DATE </t>
  </si>
  <si>
    <t>CM0001381400</t>
  </si>
  <si>
    <t xml:space="preserve">SHAHIN MIA HOSSAIN MIA </t>
  </si>
  <si>
    <t>CM0001394002</t>
  </si>
  <si>
    <t>PRIYA KRISHNA PILLAI</t>
  </si>
  <si>
    <t>CM0001394265</t>
  </si>
  <si>
    <t>JOHN MARK AMALIA LIRAZAN</t>
  </si>
  <si>
    <t>CM0001395063</t>
  </si>
  <si>
    <t>SHAHIN MIA HOSSAIN MIA</t>
  </si>
  <si>
    <t>CM0001396257</t>
  </si>
  <si>
    <t>UPESH UPENDRAN KARIPODY UPENDRAN KARIPODY VELLUGAN</t>
  </si>
  <si>
    <t>CM0001396315</t>
  </si>
  <si>
    <t>ADEEL AHMED MUHAMMAD YOUSUF</t>
  </si>
  <si>
    <t>CM0001398248</t>
  </si>
  <si>
    <t xml:space="preserve">AHMED SALEM ALI SAEED  ALSHAMSI </t>
  </si>
  <si>
    <t>CM0001412773</t>
  </si>
  <si>
    <t>ZHIHUA CAO</t>
  </si>
  <si>
    <t>CM0001412976</t>
  </si>
  <si>
    <t>THURAIYA DARWISH AHMED MOHAMED ALSHIZAWI</t>
  </si>
  <si>
    <t>CM0001414767</t>
  </si>
  <si>
    <t>SHAMMA KHAMIS KHAIRI KHAMIS ALHAMMADI</t>
  </si>
  <si>
    <t>CM0001423456</t>
  </si>
  <si>
    <t>NITESH KUMAR RAMBRIKSH</t>
  </si>
  <si>
    <t>CM0001427384</t>
  </si>
  <si>
    <t>MD RAKIB MIAH AJID ALI</t>
  </si>
  <si>
    <t>CM0001428607</t>
  </si>
  <si>
    <t>DHEERENDRA SINGH RAM KYAS SINGH</t>
  </si>
  <si>
    <t>CM0001429502</t>
  </si>
  <si>
    <t>GURJANT SINGH SUKHDEV SINGH</t>
  </si>
  <si>
    <t>Inclement weather</t>
  </si>
  <si>
    <t>CM0001435958</t>
  </si>
  <si>
    <t>HAMZA BASSAM ALMOSSA</t>
  </si>
  <si>
    <t>CM0001437868</t>
  </si>
  <si>
    <t>SUKHMANI SINGH BIKKAR SINGH</t>
  </si>
  <si>
    <t>CM0001438200</t>
  </si>
  <si>
    <t>MOHAMED ABDELATY MONAZY MOHAMED</t>
  </si>
  <si>
    <t>CM0001438620</t>
  </si>
  <si>
    <t>SUMSUL ALAM SIDDIQ HOSSAIN</t>
  </si>
  <si>
    <t>CM0001439760</t>
  </si>
  <si>
    <t>ABDULELAH SALEH ABDALLAH SALEH</t>
  </si>
  <si>
    <t>CM0001439777</t>
  </si>
  <si>
    <t>CHARBEL ADIB AL HAMAWI</t>
  </si>
  <si>
    <t>CM0001440117</t>
  </si>
  <si>
    <t>MD NAZIM UDDIN HABIBUR RAHMAN</t>
  </si>
  <si>
    <t>CM0001440155</t>
  </si>
  <si>
    <t>ABDELREHMAN KAMAL ABDELRAHMAN MOHAMED</t>
  </si>
  <si>
    <t>CM0001440157</t>
  </si>
  <si>
    <t>ARIFUL ISALM SYED AHMED</t>
  </si>
  <si>
    <t>Customer Not Answering</t>
  </si>
  <si>
    <t>CM0001442630</t>
  </si>
  <si>
    <t>PRIYANKA MISTRY ARVIND RAMCHAND MISTRY</t>
  </si>
  <si>
    <t>DELIVERED</t>
  </si>
  <si>
    <t>ACTIVATED IN NOVEMBER</t>
  </si>
  <si>
    <t>CM0001442814</t>
  </si>
  <si>
    <t>Duplicate Order</t>
  </si>
  <si>
    <t>CM0001443105</t>
  </si>
  <si>
    <t>NORSIDA ADIYAN BALUAN</t>
  </si>
  <si>
    <t>CM0001443846</t>
  </si>
  <si>
    <t>AMIRAADEL OSMAN ROUCHDY SELEM</t>
  </si>
  <si>
    <t>CM0001444034</t>
  </si>
  <si>
    <t>HASHAM ABDULMAJID</t>
  </si>
  <si>
    <t>CM0001444769</t>
  </si>
  <si>
    <t>YEASIN MIAH AORMUJ MIAH</t>
  </si>
  <si>
    <t xml:space="preserve">AC NUMBER </t>
  </si>
  <si>
    <t>STATUS</t>
  </si>
  <si>
    <t xml:space="preserve">ACT -DATE </t>
  </si>
  <si>
    <t>CM0001449765</t>
  </si>
  <si>
    <t>MUHAMMAD NAVEED KHATRI MUHAMMAD RAFIQ KHATRI</t>
  </si>
  <si>
    <t>CM0001451940</t>
  </si>
  <si>
    <t>NOMAN AHMED ABDUL AZIZ</t>
  </si>
  <si>
    <t>CM0001453096</t>
  </si>
  <si>
    <t>MD ASRAFUL HOQUE MD JAMIR SK</t>
  </si>
  <si>
    <t>CM0001453866</t>
  </si>
  <si>
    <t>SADAM HUSSAIN SARDAR HUSSAIN</t>
  </si>
  <si>
    <t>CM0001455967</t>
  </si>
  <si>
    <t>CM0001459878</t>
  </si>
  <si>
    <t>ELENA MANCAO HERAGA</t>
  </si>
  <si>
    <t>CM0001462378</t>
  </si>
  <si>
    <t>HADEER METWALY MANSOR MOHAMED HASEN</t>
  </si>
  <si>
    <t>CM0001469178</t>
  </si>
  <si>
    <t>BAHGIRATHA SI NARAYAN SI</t>
  </si>
  <si>
    <t>2 CONNECTION-199</t>
  </si>
  <si>
    <t>CM0001469181</t>
  </si>
  <si>
    <t>CM0001474870</t>
  </si>
  <si>
    <t>MUHAMMAD MISBAH</t>
  </si>
  <si>
    <t>CM0001478498</t>
  </si>
  <si>
    <t xml:space="preserve">SHILPA NAR SINGH </t>
  </si>
  <si>
    <t>CM0001478776</t>
  </si>
  <si>
    <t xml:space="preserve">YEASIN MIAH AORMUJ MIA </t>
  </si>
  <si>
    <t>CM0001486805</t>
  </si>
  <si>
    <t>NOUSHAD MULLASAM</t>
  </si>
  <si>
    <t>CM0001487630</t>
  </si>
  <si>
    <t>SHILPA NAR</t>
  </si>
  <si>
    <t>CM0001487639</t>
  </si>
  <si>
    <t>ELENA MANCAO</t>
  </si>
  <si>
    <t>CM0001487823</t>
  </si>
  <si>
    <t>AHMED MOHAMED</t>
  </si>
  <si>
    <t>CM0001488179</t>
  </si>
  <si>
    <t>ANJANA ERANGA</t>
  </si>
  <si>
    <t>CM0001489515</t>
  </si>
  <si>
    <t>KHALED KADH</t>
  </si>
  <si>
    <t>CM0001491148</t>
  </si>
  <si>
    <t>YOUSRA</t>
  </si>
  <si>
    <t>CM0001492741</t>
  </si>
  <si>
    <t xml:space="preserve">RABIA TABASSUM FAWAD FAWAD AHMED </t>
  </si>
  <si>
    <t>CM0001495766</t>
  </si>
  <si>
    <t>MOHAMED SALEH SHIFA IDRIS IBRAHIM</t>
  </si>
  <si>
    <t>CM0001496458</t>
  </si>
  <si>
    <t>ALMAS KHAN</t>
  </si>
  <si>
    <t>CM0001497775</t>
  </si>
  <si>
    <t>AHMED NABIL</t>
  </si>
  <si>
    <t>CM0001498686</t>
  </si>
  <si>
    <t>AHMED MOHAMED KAMEL MOUSTAFA MOHAMED ELALAILY</t>
  </si>
  <si>
    <t>CM0001502861</t>
  </si>
  <si>
    <t>MURUGAN SIVAN</t>
  </si>
  <si>
    <t>CM0001503507</t>
  </si>
  <si>
    <t>ALI MOHAMMED</t>
  </si>
  <si>
    <t>CM0001503624</t>
  </si>
  <si>
    <t>Amir Shafi Muhammad Shafi Muhammad</t>
  </si>
  <si>
    <t>CM0001505435</t>
  </si>
  <si>
    <t>MUTHUKUMAR SUBRAMANIYAN</t>
  </si>
  <si>
    <t>CM0001507018</t>
  </si>
  <si>
    <t>Ahmed ali</t>
  </si>
  <si>
    <t>CM0001507752</t>
  </si>
  <si>
    <t>Youssef Bakry Mohammed Atwa</t>
  </si>
  <si>
    <t>CM0001508551</t>
  </si>
  <si>
    <t>ABDELMONIM TARQ ABDELMONIM</t>
  </si>
  <si>
    <t>CM0001509440</t>
  </si>
  <si>
    <t>ADEEL AHMED MUHAMMAD</t>
  </si>
  <si>
    <t>ADV CANCELLATIOM</t>
  </si>
  <si>
    <t>CM0001515706</t>
  </si>
  <si>
    <t>SOUMYA GEORGE</t>
  </si>
  <si>
    <t>CM0001518995</t>
  </si>
  <si>
    <t xml:space="preserve">UMESH KUAMR SHARMA </t>
  </si>
  <si>
    <t>CM0001520450</t>
  </si>
  <si>
    <t>MUHAMMED BILAL PALLILKUNNUNMAL</t>
  </si>
  <si>
    <t>CM0001521949</t>
  </si>
  <si>
    <t xml:space="preserve">ABHISHEK  SHARMA </t>
  </si>
  <si>
    <t>CM0001524538</t>
  </si>
  <si>
    <t>ABHISHEK SHARMA</t>
  </si>
  <si>
    <t xml:space="preserve">CM CANCELLED </t>
  </si>
  <si>
    <t>CM0001526291</t>
  </si>
  <si>
    <t xml:space="preserve">ASAD TAG </t>
  </si>
  <si>
    <t>CM0001527823</t>
  </si>
  <si>
    <t>PUNEETH BANDYA</t>
  </si>
  <si>
    <t>CM0001528708</t>
  </si>
  <si>
    <t>PARVEZ KHAN</t>
  </si>
  <si>
    <t>CM0001531552</t>
  </si>
  <si>
    <t>CM0001531627</t>
  </si>
  <si>
    <t>SALHA ABDALLA</t>
  </si>
  <si>
    <t>CM0001535146</t>
  </si>
  <si>
    <t>MUZAMIL NAZIR</t>
  </si>
  <si>
    <t>CM0001546269</t>
  </si>
  <si>
    <t>ANGHAM NABIL MOSTAFA</t>
  </si>
  <si>
    <t>CM0001546586</t>
  </si>
  <si>
    <t xml:space="preserve">YASER MOHAMED </t>
  </si>
  <si>
    <t>CM0001547037</t>
  </si>
  <si>
    <t>MUHAMMAD EHSAN</t>
  </si>
  <si>
    <t>Customer not ordered</t>
  </si>
  <si>
    <t>CM0001547372</t>
  </si>
  <si>
    <t>IMRAN MINHAS</t>
  </si>
  <si>
    <t>CM0001547414</t>
  </si>
  <si>
    <t>IBTISAM MOHAMED</t>
  </si>
  <si>
    <t>CM0001549408</t>
  </si>
  <si>
    <t>MUHAMMED SHUHAIL</t>
  </si>
  <si>
    <t>CM0001550669</t>
  </si>
  <si>
    <t>RASHID VELLATTUVALAPPIL</t>
  </si>
  <si>
    <t>CM0001551510</t>
  </si>
  <si>
    <t>ROHITH NAYANAR KUNNATHU</t>
  </si>
  <si>
    <t>CM0001551601</t>
  </si>
  <si>
    <t>MOHAMMAD FAKHRUDDIN</t>
  </si>
  <si>
    <t>CM0001552381</t>
  </si>
  <si>
    <t xml:space="preserve">MEHRAN NOOROLLAH </t>
  </si>
  <si>
    <t>CM0001556223</t>
  </si>
  <si>
    <t xml:space="preserve">MUHAMMAD TANVEER </t>
  </si>
  <si>
    <t>CM0001557722</t>
  </si>
  <si>
    <t xml:space="preserve">MANOHAR CHONGLA </t>
  </si>
  <si>
    <t>CM0001557744</t>
  </si>
  <si>
    <t>CM0001557986</t>
  </si>
  <si>
    <t xml:space="preserve">MOHAMMAD IRFAN </t>
  </si>
  <si>
    <t>CM0001558605</t>
  </si>
  <si>
    <t>PATRIC SELVARAJ VINCENT ROZARIO VINCENT ROZARIO</t>
  </si>
  <si>
    <t>Customer Fail to Provide Location</t>
  </si>
  <si>
    <t>CM0001560202</t>
  </si>
  <si>
    <t xml:space="preserve">FAHIM KHAN </t>
  </si>
  <si>
    <t>CM0001560276</t>
  </si>
  <si>
    <t xml:space="preserve">REJECTED </t>
  </si>
  <si>
    <t>CM0001562050</t>
  </si>
  <si>
    <t xml:space="preserve">AHMAD MAHMOUD </t>
  </si>
  <si>
    <t>CM0001563155</t>
  </si>
  <si>
    <t xml:space="preserve">MOHAMMED MINHAZ MOHAMMED </t>
  </si>
  <si>
    <t>CM0001563422</t>
  </si>
  <si>
    <t>BABIKER ELTAHIR</t>
  </si>
  <si>
    <t>CM0001564763</t>
  </si>
  <si>
    <t>GANGA DHAR</t>
  </si>
  <si>
    <t>CM0001566765</t>
  </si>
  <si>
    <t>GANAG S=DHAR SUBEDI</t>
  </si>
  <si>
    <t>CM0001567400</t>
  </si>
  <si>
    <t>ZEIDA BAAZAOUI</t>
  </si>
  <si>
    <t>CM0001567415</t>
  </si>
  <si>
    <t>SHAN VIJAYAN</t>
  </si>
  <si>
    <t>CM0001567690</t>
  </si>
  <si>
    <t>MUJAHID ALI</t>
  </si>
  <si>
    <t>CM0001567703</t>
  </si>
  <si>
    <t>ALI MOTUZA</t>
  </si>
  <si>
    <t>CM0001569212</t>
  </si>
  <si>
    <t>OSAMAH M S ALYUHAH</t>
  </si>
  <si>
    <t>CM0001570593</t>
  </si>
  <si>
    <t>MOHAMED IBRAHIM IBRAHIM ELLWA</t>
  </si>
  <si>
    <t>CM0001573373</t>
  </si>
  <si>
    <t>AHAMMED RAHOOF</t>
  </si>
  <si>
    <t>CM0001573603</t>
  </si>
  <si>
    <t xml:space="preserve">SALEEM PERINCHERY </t>
  </si>
  <si>
    <t xml:space="preserve">WAHAB </t>
  </si>
  <si>
    <t>28-12-2023</t>
  </si>
  <si>
    <t>CM0001575297</t>
  </si>
  <si>
    <t xml:space="preserve">GANESHKUMAR RAMASAMI RAMASAMI </t>
  </si>
  <si>
    <t>29-12-2023</t>
  </si>
  <si>
    <t>CM0001579070</t>
  </si>
  <si>
    <t>SAJITH ASHOKAN ASHOKAN</t>
  </si>
  <si>
    <t>CM0001579403</t>
  </si>
  <si>
    <t xml:space="preserve">NAMBI RAJA </t>
  </si>
  <si>
    <t>30-12-2023</t>
  </si>
  <si>
    <t>CM0001580976</t>
  </si>
  <si>
    <t>MOROUJ SHAMSAIDEN</t>
  </si>
  <si>
    <t>CM0001581096</t>
  </si>
  <si>
    <t xml:space="preserve">AKBARALI HAMZA HAMZA </t>
  </si>
  <si>
    <t>CM0001581201</t>
  </si>
  <si>
    <t>MD SHIPU MD MUBARAK MIAH</t>
  </si>
  <si>
    <t>CM0001582037</t>
  </si>
  <si>
    <t xml:space="preserve">ISMAIL AHMAD </t>
  </si>
  <si>
    <t>CM0001582371</t>
  </si>
  <si>
    <t>HAMDAN TAHNOUN</t>
  </si>
  <si>
    <t>CM0001582486</t>
  </si>
  <si>
    <t>VISHNU ANIL KUMAR ANIL</t>
  </si>
  <si>
    <t>CM0001582800</t>
  </si>
  <si>
    <t>ASMA SALEH</t>
  </si>
  <si>
    <t>31-12-2023</t>
  </si>
  <si>
    <t>CM0001583856</t>
  </si>
  <si>
    <t xml:space="preserve">MOHAMMED EYADA </t>
  </si>
  <si>
    <t>CM0001584419</t>
  </si>
  <si>
    <t xml:space="preserve">MOHAMED RISHAB </t>
  </si>
  <si>
    <t>Order Activated in jan cf case</t>
  </si>
  <si>
    <t>CM0001502164</t>
  </si>
  <si>
    <t>TAISIR NASR ELDIN ABDELGAUOM MOHAMEDSALIM</t>
  </si>
  <si>
    <t>CM0001512002</t>
  </si>
  <si>
    <t>BINU KURIAKOSE</t>
  </si>
  <si>
    <t>CM0001512017</t>
  </si>
  <si>
    <t>JAFER PONNAN</t>
  </si>
  <si>
    <t>CM0001512324</t>
  </si>
  <si>
    <t>DILSHAN DAMITH PREMARATHNA WELLAWATHTHAGE</t>
  </si>
  <si>
    <t>CM0001512348</t>
  </si>
  <si>
    <t>MOHAMED ILIAS</t>
  </si>
  <si>
    <t>CM0001512632</t>
  </si>
  <si>
    <t>NASEEM AHMED SHAH ATTA MUHAMMAD HASHMI</t>
  </si>
  <si>
    <t>CM0001513976</t>
  </si>
  <si>
    <t>ASARU HYDRU</t>
  </si>
  <si>
    <t>CM0001514536</t>
  </si>
  <si>
    <t>ABDELRAHMAN MOHAMED</t>
  </si>
  <si>
    <t>CM0001515206</t>
  </si>
  <si>
    <t>KHALED OBAID</t>
  </si>
  <si>
    <t>CM0001515758</t>
  </si>
  <si>
    <t>ALEXANDRA LAGAO BERNARDO</t>
  </si>
  <si>
    <t>CM0001515909</t>
  </si>
  <si>
    <t>TAHSIN ABDELFATAH</t>
  </si>
  <si>
    <t>CM0001516279</t>
  </si>
  <si>
    <t>MAROUANE ZOUIRI</t>
  </si>
  <si>
    <t>CM0001516292</t>
  </si>
  <si>
    <t>RAJAKUMAR PAULDURAI PAULDURAI</t>
  </si>
  <si>
    <t>CM0001516763</t>
  </si>
  <si>
    <t>KAWTAR LAABID</t>
  </si>
  <si>
    <t>CM0001518157</t>
  </si>
  <si>
    <t>NASEERA BAGUM</t>
  </si>
  <si>
    <t>CM0001518716</t>
  </si>
  <si>
    <t>ROBER PHILIOMAN</t>
  </si>
  <si>
    <t>CM0001525605</t>
  </si>
  <si>
    <t xml:space="preserve">MUHAMMED JASIM </t>
  </si>
  <si>
    <t>CM0001528510</t>
  </si>
  <si>
    <t>BARANIDHARAN PADMA NATHAN PADMANATHAN</t>
  </si>
  <si>
    <t>CM0001529251</t>
  </si>
  <si>
    <t>OSAMA MOHAMED</t>
  </si>
  <si>
    <t>CM0001530040</t>
  </si>
  <si>
    <t>MD AMRAN KHAN IQBAL KHAN</t>
  </si>
  <si>
    <t>CM0001531418</t>
  </si>
  <si>
    <t>MOHAMMAD RIAJ UDDIN</t>
  </si>
  <si>
    <t>CM0001531999</t>
  </si>
  <si>
    <t>ARUNNATH GOPINATHAN</t>
  </si>
  <si>
    <t>CM0001533666</t>
  </si>
  <si>
    <t>FRED MAKUBUYA</t>
  </si>
  <si>
    <t>CM0001533873</t>
  </si>
  <si>
    <t>CM0001533965</t>
  </si>
  <si>
    <t>CM0001534494</t>
  </si>
  <si>
    <t>ABDDELHALIM HASSAN MOHAMED AL</t>
  </si>
  <si>
    <t>CM0001536925</t>
  </si>
  <si>
    <t>POLINE NAMUTABI</t>
  </si>
  <si>
    <t>CM0001537165</t>
  </si>
  <si>
    <t>LAHIRU CHARITH</t>
  </si>
  <si>
    <t>CM0001539755</t>
  </si>
  <si>
    <t>HOSSAM ABDULATIF</t>
  </si>
  <si>
    <t>CM0001539763</t>
  </si>
  <si>
    <t>HOUDA TOUIL</t>
  </si>
  <si>
    <t>CM0001543897</t>
  </si>
  <si>
    <t>JENNIFER PALAS ELOD</t>
  </si>
  <si>
    <t>CM0001545753</t>
  </si>
  <si>
    <t>MUHAMMAD ANEES</t>
  </si>
  <si>
    <t>CM0001547257</t>
  </si>
  <si>
    <t>RADWAN KASSEM</t>
  </si>
  <si>
    <t>CM0001548362</t>
  </si>
  <si>
    <t>ALMACHIUS DOMINICK</t>
  </si>
  <si>
    <t>CM0001557116</t>
  </si>
  <si>
    <t xml:space="preserve">MUHAMMAD ARSLAN </t>
  </si>
  <si>
    <t>CM0001557766</t>
  </si>
  <si>
    <t xml:space="preserve">MUHAMMAD ALI </t>
  </si>
  <si>
    <t>CM0001560953</t>
  </si>
  <si>
    <t>CHAMU SUNDARAN CHAMU PHZANDY</t>
  </si>
  <si>
    <t>CM0001561988</t>
  </si>
  <si>
    <t>MOHAMED YOUSSEF</t>
  </si>
  <si>
    <t>CM0001565829</t>
  </si>
  <si>
    <t>NATHANIL JEAN</t>
  </si>
  <si>
    <t>CM0001566463</t>
  </si>
  <si>
    <t>MUHAMMAD FAROOQ YOUSAF</t>
  </si>
  <si>
    <t>CM0001569013</t>
  </si>
  <si>
    <t>MUHAMMAD ASLAM MUHAMMAD RIAZ</t>
  </si>
  <si>
    <t>CM0001572544</t>
  </si>
  <si>
    <t>MARIA LUZ</t>
  </si>
  <si>
    <t>CM0001572900</t>
  </si>
  <si>
    <t xml:space="preserve">SUKUMARAN AJITH </t>
  </si>
  <si>
    <t>CM0001573899</t>
  </si>
  <si>
    <t xml:space="preserve">SM KAYSAR HAMED </t>
  </si>
  <si>
    <t>CM0001574086</t>
  </si>
  <si>
    <t xml:space="preserve">REDA KHAIRY AHMED ISMAIL AHMED SALLAM </t>
  </si>
  <si>
    <t xml:space="preserve">SULMAN </t>
  </si>
  <si>
    <t>CM0001575892</t>
  </si>
  <si>
    <t xml:space="preserve">SREELAL MUNJINATTUTHARAYIL </t>
  </si>
  <si>
    <t>CM0001576393</t>
  </si>
  <si>
    <t xml:space="preserve">JITHIN MATHEW MATHEW JOHN </t>
  </si>
  <si>
    <t>CM0001576441</t>
  </si>
  <si>
    <t xml:space="preserve">ARUNNATH GOPINATHAN SHEELA GOPINATHAN </t>
  </si>
  <si>
    <t>CM0001576524</t>
  </si>
  <si>
    <t xml:space="preserve">BADAWY HARON </t>
  </si>
  <si>
    <t>CM0001576682</t>
  </si>
  <si>
    <t xml:space="preserve">RAMAR MARI </t>
  </si>
  <si>
    <t>CM0001576942</t>
  </si>
  <si>
    <t xml:space="preserve">MOUSTAFA AMIN </t>
  </si>
  <si>
    <t>CM0001578276</t>
  </si>
  <si>
    <t>GUL NAZ RIZVI</t>
  </si>
  <si>
    <t>CM0001579398</t>
  </si>
  <si>
    <t>MAHESH ARAWINDA PUNCHI HEWAGE</t>
  </si>
  <si>
    <t>CM0001581451</t>
  </si>
  <si>
    <t>NAMAL PRIYADARSHANA MININ KUMBURE GEDARA</t>
  </si>
  <si>
    <t>AC-NO</t>
  </si>
  <si>
    <t>CM0001588125</t>
  </si>
  <si>
    <t>MOHIT AGGARWAL</t>
  </si>
  <si>
    <t xml:space="preserve">ACTIVATED </t>
  </si>
  <si>
    <t>CM0001597237</t>
  </si>
  <si>
    <t>WAHEEB SHAKOOR SHAKOOR</t>
  </si>
  <si>
    <t>CM0001600206</t>
  </si>
  <si>
    <t>MOSTAFA BARI</t>
  </si>
  <si>
    <t>CM0001600681</t>
  </si>
  <si>
    <t>ALAA HASAN</t>
  </si>
  <si>
    <t>CM0001599929</t>
  </si>
  <si>
    <t>ASHITHA KOCHUKIZHAKKETHIL BASHEER</t>
  </si>
  <si>
    <t>CM0001602080</t>
  </si>
  <si>
    <t>RENJITH MALAYIL</t>
  </si>
  <si>
    <t xml:space="preserve">Cancelled </t>
  </si>
  <si>
    <t>CM0001601946</t>
  </si>
  <si>
    <t>ANTONIO ORE ARIOLA</t>
  </si>
  <si>
    <t>CM0001603740</t>
  </si>
  <si>
    <t>ASPHIN UGINE UGINE</t>
  </si>
  <si>
    <t>CM0001604873</t>
  </si>
  <si>
    <t>RAYHANA KHORJA</t>
  </si>
  <si>
    <t>CM0001605824</t>
  </si>
  <si>
    <t>OSAMAH TALEB</t>
  </si>
  <si>
    <t>CM0001607259</t>
  </si>
  <si>
    <t>ARUN KUMAR</t>
  </si>
  <si>
    <t>CM0001611775</t>
  </si>
  <si>
    <t xml:space="preserve">ALI HAIDER </t>
  </si>
  <si>
    <t>CM0001613926</t>
  </si>
  <si>
    <t>MUDDATHIR SALFALISLAM</t>
  </si>
  <si>
    <t>CM0001615242</t>
  </si>
  <si>
    <t>NIZAM UDDIN</t>
  </si>
  <si>
    <t>CM0001616330</t>
  </si>
  <si>
    <t>VIJAYAKUMAR THANKAPPAN NAIR</t>
  </si>
  <si>
    <t>CM0001617302</t>
  </si>
  <si>
    <t>MOHAMMED AZHARUL HOQUE MOHAMMED</t>
  </si>
  <si>
    <t>CM0001628055</t>
  </si>
  <si>
    <t>MOHAMMAD GIAS</t>
  </si>
  <si>
    <t>CM0001630571</t>
  </si>
  <si>
    <t>FARUK HOSSAIN LATE</t>
  </si>
  <si>
    <t>CM0001633282</t>
  </si>
  <si>
    <t>SEBGHATULLAH NASRULLAH</t>
  </si>
  <si>
    <t>CM0001633565</t>
  </si>
  <si>
    <t>PARIMALA PREMKUMAR</t>
  </si>
  <si>
    <t>CM0001638377</t>
  </si>
  <si>
    <t xml:space="preserve">GHULAM MUSTAFA </t>
  </si>
  <si>
    <t>CM0001640941</t>
  </si>
  <si>
    <t xml:space="preserve">AISHA MOHAMED </t>
  </si>
  <si>
    <t>CM0001641623</t>
  </si>
  <si>
    <t>MUHAMMAD ALI</t>
  </si>
  <si>
    <t>CM0001642584</t>
  </si>
  <si>
    <t xml:space="preserve">JOYIS JOSE </t>
  </si>
  <si>
    <t>CM0001644225</t>
  </si>
  <si>
    <t>MOHAMMAD SALIM ULLAH MOHAMMED ENAMUL HOQUE</t>
  </si>
  <si>
    <t xml:space="preserve">Delivered </t>
  </si>
  <si>
    <t>CM0001645207</t>
  </si>
  <si>
    <t xml:space="preserve">BIKASH GIRI BAL BAHADUR </t>
  </si>
  <si>
    <t>CM0001645414</t>
  </si>
  <si>
    <t xml:space="preserve">KAZIM ABBAS </t>
  </si>
  <si>
    <t>CM0001646072</t>
  </si>
  <si>
    <t>SAMI ULLAH KHAN ABU</t>
  </si>
  <si>
    <t>CM0001647667</t>
  </si>
  <si>
    <t>MUHAMMED SAJID</t>
  </si>
  <si>
    <t>CM0001650509</t>
  </si>
  <si>
    <t>ALI KAZBOUR</t>
  </si>
  <si>
    <t>CM0001651841</t>
  </si>
  <si>
    <t xml:space="preserve">SHAHNAWAZ ALI NAUSHAD </t>
  </si>
  <si>
    <t>CM0001585550</t>
  </si>
  <si>
    <t>MOHAMMAD ABU SAYED</t>
  </si>
  <si>
    <t>CM0001585811</t>
  </si>
  <si>
    <t>LY THI LINH</t>
  </si>
  <si>
    <t>CM0001586163</t>
  </si>
  <si>
    <t>ABDELRAHMAN MOUSTAFA ALY</t>
  </si>
  <si>
    <t>CM0001587342</t>
  </si>
  <si>
    <t>SEROR NATIQ MUNEAM</t>
  </si>
  <si>
    <t>CM0001587735</t>
  </si>
  <si>
    <t>HAMDY MAHMOUD ELAGAMY</t>
  </si>
  <si>
    <t>CM0001591356</t>
  </si>
  <si>
    <t>RAMESH KUMAR</t>
  </si>
  <si>
    <t>CM0001592567</t>
  </si>
  <si>
    <t>WASSIM JAMAL</t>
  </si>
  <si>
    <t>CM0001594112</t>
  </si>
  <si>
    <t>SANAN SAINULABDEEN</t>
  </si>
  <si>
    <t>CM0001596125</t>
  </si>
  <si>
    <t>RAJIN KUMAR</t>
  </si>
  <si>
    <t>CM0001596572</t>
  </si>
  <si>
    <t>CM0001598197</t>
  </si>
  <si>
    <t>CM0001599180</t>
  </si>
  <si>
    <t xml:space="preserve">RAJAN SHATILAL </t>
  </si>
  <si>
    <t>CM0001598697</t>
  </si>
  <si>
    <t xml:space="preserve">MUHAMMAD FAIZAN </t>
  </si>
  <si>
    <t>CM0001601969</t>
  </si>
  <si>
    <t>SHERWIN AZIZI</t>
  </si>
  <si>
    <t>CM0001603805</t>
  </si>
  <si>
    <t>GOWRI VIJU</t>
  </si>
  <si>
    <t>CM0001606061</t>
  </si>
  <si>
    <t>SONIA GOBIND</t>
  </si>
  <si>
    <t>CM0001607036</t>
  </si>
  <si>
    <t>NOOR MAROUF ALHAMOOK</t>
  </si>
  <si>
    <t>CM0001608429</t>
  </si>
  <si>
    <t>MOHAMMAD ADIL MOHAMMAD AFRIDI</t>
  </si>
  <si>
    <t>CM0001608746</t>
  </si>
  <si>
    <t>KUSHAN LAKSHITHA</t>
  </si>
  <si>
    <t>CM0001611554</t>
  </si>
  <si>
    <t>LAOINE MANGABAT DAYAG</t>
  </si>
  <si>
    <t>CM0001612711</t>
  </si>
  <si>
    <t xml:space="preserve">FATHI ABDELAHMEED HUSSEIN SHALABI </t>
  </si>
  <si>
    <t>CM0001613095</t>
  </si>
  <si>
    <t>MOHAMMED SAMI</t>
  </si>
  <si>
    <t>CM0001616318</t>
  </si>
  <si>
    <t>MOHAMMED RASID EQUBAL</t>
  </si>
  <si>
    <t>CM0001616685</t>
  </si>
  <si>
    <t>SHINOJ PREMARAJAN</t>
  </si>
  <si>
    <t>CM0001618581</t>
  </si>
  <si>
    <t>HAMIDA MOHAMAD</t>
  </si>
  <si>
    <t>CM0001619193</t>
  </si>
  <si>
    <t>AHMAD FARID</t>
  </si>
  <si>
    <t>CM0001626615</t>
  </si>
  <si>
    <t xml:space="preserve">JAFAR SHERIF </t>
  </si>
  <si>
    <t>CM0001629277</t>
  </si>
  <si>
    <t>MD AHMED RAJ</t>
  </si>
  <si>
    <t>CM0001629416</t>
  </si>
  <si>
    <t>KRISHNA KUMAR</t>
  </si>
  <si>
    <t>CM0001630635</t>
  </si>
  <si>
    <t>SHINOJ PREMARAJAN KAZHUTHOLAN</t>
  </si>
  <si>
    <t>CM0001636455</t>
  </si>
  <si>
    <t>MD MOSHARAF HOSSAIN</t>
  </si>
  <si>
    <t>CM0001636727</t>
  </si>
  <si>
    <t>MUHAMMAD USMAN</t>
  </si>
  <si>
    <t>CM0001638291</t>
  </si>
  <si>
    <t xml:space="preserve">DHAHA MOHAMED </t>
  </si>
  <si>
    <t>CM0001638302</t>
  </si>
  <si>
    <t>UNNIKRISHNAN ARIKKATTE</t>
  </si>
  <si>
    <t>CM0001639089</t>
  </si>
  <si>
    <t>HUSSAIN SHAH</t>
  </si>
  <si>
    <t>CM0001639638</t>
  </si>
  <si>
    <t>JOHN ELEKE</t>
  </si>
  <si>
    <t>CM0001639704</t>
  </si>
  <si>
    <t>NEETHU JOHN</t>
  </si>
  <si>
    <t>CM0001639905</t>
  </si>
  <si>
    <t>JASIM ABDALLA IBRAHIM</t>
  </si>
  <si>
    <t>CM0001640721</t>
  </si>
  <si>
    <t>DHIRAJ MAHADEV</t>
  </si>
  <si>
    <t>CM0001640998</t>
  </si>
  <si>
    <t>FATIMA IBRAHIM</t>
  </si>
  <si>
    <t>CM0001642292</t>
  </si>
  <si>
    <t>MINA NADER</t>
  </si>
  <si>
    <t>CM0001644542</t>
  </si>
  <si>
    <t>BASSAM FARAG</t>
  </si>
  <si>
    <t>CM0001645374</t>
  </si>
  <si>
    <t>MUHAMMEDALI KARUVANKANDY</t>
  </si>
  <si>
    <t>CM0001645827</t>
  </si>
  <si>
    <t xml:space="preserve">RASHID KHALIL </t>
  </si>
  <si>
    <t>CM0001646108</t>
  </si>
  <si>
    <t>ASAD SHAHID SHAHID</t>
  </si>
  <si>
    <t>CM0001647024</t>
  </si>
  <si>
    <t>SELVARAJ KALIMUTHU</t>
  </si>
  <si>
    <t>CM0001648171</t>
  </si>
  <si>
    <t>SAJITHA PULIKKANATT</t>
  </si>
  <si>
    <t>CM0001650282</t>
  </si>
  <si>
    <t>VINODH POTTAYIL</t>
  </si>
  <si>
    <t>CM0001652380</t>
  </si>
  <si>
    <t>ADEEB SAEED SALIM</t>
  </si>
  <si>
    <t>CM0001643354</t>
  </si>
  <si>
    <t>BURTU ABAJIHAD ABADIDU</t>
  </si>
  <si>
    <t>CM0001648874</t>
  </si>
  <si>
    <t>ASPAK ALI BASHA CHAPPARBAND BASHA</t>
  </si>
  <si>
    <t>RC -DED</t>
  </si>
  <si>
    <t>CM0001653198</t>
  </si>
  <si>
    <t xml:space="preserve">AMEER KHAN </t>
  </si>
  <si>
    <t>Order Activated</t>
  </si>
  <si>
    <t>CM0001653349</t>
  </si>
  <si>
    <t xml:space="preserve">SALEEM MELAKULAM </t>
  </si>
  <si>
    <t>Wrong Order</t>
  </si>
  <si>
    <t>CM0001653644</t>
  </si>
  <si>
    <t>ABIR HUSNI HASAN</t>
  </si>
  <si>
    <t>CM0001655260</t>
  </si>
  <si>
    <t xml:space="preserve">MUHAMMED RASHID </t>
  </si>
  <si>
    <t>CM0001657396</t>
  </si>
  <si>
    <t>GHASSAM NAJM</t>
  </si>
  <si>
    <t>CM0001658215</t>
  </si>
  <si>
    <t>WALAA MARWAN</t>
  </si>
  <si>
    <t>CM0001658814</t>
  </si>
  <si>
    <t>THUSIYANTHAN PALASINKAM</t>
  </si>
  <si>
    <t>CM0001659044</t>
  </si>
  <si>
    <t>YASHIN KHADER KHADER</t>
  </si>
  <si>
    <t>CM0001659318</t>
  </si>
  <si>
    <t xml:space="preserve">ALI HASSAN JAMEEL </t>
  </si>
  <si>
    <t>CM0001659721</t>
  </si>
  <si>
    <t xml:space="preserve">JULIUS RANIAGA </t>
  </si>
  <si>
    <t>CM0001665183</t>
  </si>
  <si>
    <t>AYA ELMISBAH</t>
  </si>
  <si>
    <t>CM0001665611</t>
  </si>
  <si>
    <t xml:space="preserve">MOHAMED HASAN MOHAMED </t>
  </si>
  <si>
    <t>CM0001665617</t>
  </si>
  <si>
    <t xml:space="preserve">HUSSAM AHMAD FOUAD HALLAK </t>
  </si>
  <si>
    <t>CM0001666106</t>
  </si>
  <si>
    <t xml:space="preserve">GUEYTH BEN </t>
  </si>
  <si>
    <t>CM0001666498</t>
  </si>
  <si>
    <t>GUL ZAMAN KHAN GULZAR</t>
  </si>
  <si>
    <t>CM0001666711</t>
  </si>
  <si>
    <t>MARIYAM MAHAMMAD FEIDAR</t>
  </si>
  <si>
    <t>CM0001668186</t>
  </si>
  <si>
    <t xml:space="preserve">BILAL AHMAD MUHAMMAD </t>
  </si>
  <si>
    <t>CM0001668246</t>
  </si>
  <si>
    <t>FARIS BARAKAT FARIS</t>
  </si>
  <si>
    <t>CM0001669007</t>
  </si>
  <si>
    <t>MOHAMED ISMAIL</t>
  </si>
  <si>
    <t>CM0001669162</t>
  </si>
  <si>
    <t>RIYAJIDDIN MURTAJA</t>
  </si>
  <si>
    <t>CM0001669776</t>
  </si>
  <si>
    <t xml:space="preserve">RAJKUMAR SELVARAJAN </t>
  </si>
  <si>
    <t>CM0001669882</t>
  </si>
  <si>
    <t xml:space="preserve">JOSEPH MANUEL MENEZES CARIDADE </t>
  </si>
  <si>
    <t>incorrect_order</t>
  </si>
  <si>
    <t>CM0001669989</t>
  </si>
  <si>
    <t xml:space="preserve">ABUBAKER </t>
  </si>
  <si>
    <t>CM0001671673</t>
  </si>
  <si>
    <t xml:space="preserve">HOSSAM SALAMA  ABDELSALAM </t>
  </si>
  <si>
    <t>CM0001673551</t>
  </si>
  <si>
    <t>ARJUN KALATHIL</t>
  </si>
  <si>
    <t>CM0001673758</t>
  </si>
  <si>
    <t>RAZAN MAHMOUD</t>
  </si>
  <si>
    <t>CM0001673953</t>
  </si>
  <si>
    <t>MOHAMED MAHMOUD</t>
  </si>
  <si>
    <t>CM0001674462</t>
  </si>
  <si>
    <t xml:space="preserve">YASIN MIAH </t>
  </si>
  <si>
    <t>CM0001676148</t>
  </si>
  <si>
    <t>KERRION LEE</t>
  </si>
  <si>
    <t>CM0001676818</t>
  </si>
  <si>
    <t>MOSTAFA SHAMANDY</t>
  </si>
  <si>
    <t>CM0001678114</t>
  </si>
  <si>
    <t>SADAF IQBAL</t>
  </si>
  <si>
    <t>CM0001680293</t>
  </si>
  <si>
    <t>ROSE NAMUNGOMA</t>
  </si>
  <si>
    <t>CM0001682191</t>
  </si>
  <si>
    <t>GREESHMA BINISH</t>
  </si>
  <si>
    <t>CM0001682388</t>
  </si>
  <si>
    <t>MOHAMMAD RASHED</t>
  </si>
  <si>
    <t>CM0001683322</t>
  </si>
  <si>
    <t>FARAH UMAR</t>
  </si>
  <si>
    <t>CM0001683953</t>
  </si>
  <si>
    <t xml:space="preserve">THAYALARUBAN JESUTHASAN </t>
  </si>
  <si>
    <t>CM0001684987</t>
  </si>
  <si>
    <t xml:space="preserve">IMRANE SAMIR </t>
  </si>
  <si>
    <t>CM0001685025</t>
  </si>
  <si>
    <t>CM0001687521</t>
  </si>
  <si>
    <t xml:space="preserve">LINI VIJAYAMMA </t>
  </si>
  <si>
    <t>CM0001687762</t>
  </si>
  <si>
    <t xml:space="preserve">NASEER AHMED </t>
  </si>
  <si>
    <t>CM0001688496</t>
  </si>
  <si>
    <t xml:space="preserve">AJIT SWALIYA </t>
  </si>
  <si>
    <t>CM0001688610</t>
  </si>
  <si>
    <t xml:space="preserve">SOHAIL JAVED </t>
  </si>
  <si>
    <t>CM0001688702</t>
  </si>
  <si>
    <t xml:space="preserve">KHALED MOHAMED AHMED </t>
  </si>
  <si>
    <t>CM0001688872</t>
  </si>
  <si>
    <t xml:space="preserve">ANAS MANSOUR </t>
  </si>
  <si>
    <t>CM0001688902</t>
  </si>
  <si>
    <t xml:space="preserve">ARPIT TANDON </t>
  </si>
  <si>
    <t>CM0001689912</t>
  </si>
  <si>
    <t xml:space="preserve">ALI JUMAA MOHAMAD </t>
  </si>
  <si>
    <t>CM0001691889</t>
  </si>
  <si>
    <t xml:space="preserve">SHIBIN PUTHIYA </t>
  </si>
  <si>
    <t>CM0001692951</t>
  </si>
  <si>
    <t xml:space="preserve">MOHAMMED IZAZ ARZOO </t>
  </si>
  <si>
    <t>CM0001693237</t>
  </si>
  <si>
    <t xml:space="preserve">NASEEMA MAHEEN </t>
  </si>
  <si>
    <t>CM0001693394</t>
  </si>
  <si>
    <t xml:space="preserve">HAMDAN TAHNOUN </t>
  </si>
  <si>
    <t>CM0001693902</t>
  </si>
  <si>
    <t xml:space="preserve">UDDIKA ERANDI PERIS </t>
  </si>
  <si>
    <t>CM0001694396</t>
  </si>
  <si>
    <t xml:space="preserve">SHAFEEQ CHENGHALATHODUVIL </t>
  </si>
  <si>
    <t>CM0001694400</t>
  </si>
  <si>
    <t xml:space="preserve">SAFI JEMAL </t>
  </si>
  <si>
    <t>CM0001694436</t>
  </si>
  <si>
    <t xml:space="preserve">AMIN ULLAH MUHAMMAD ISHAQ </t>
  </si>
  <si>
    <t>CM0001695313</t>
  </si>
  <si>
    <t>BASIT ALI</t>
  </si>
  <si>
    <t>Agent Name</t>
  </si>
  <si>
    <t>contact number</t>
  </si>
  <si>
    <t>OrderID</t>
  </si>
  <si>
    <t>Customer Name</t>
  </si>
  <si>
    <t xml:space="preserve">MRC </t>
  </si>
  <si>
    <t>RC-DED</t>
  </si>
  <si>
    <t>CM0001699375</t>
  </si>
  <si>
    <t>SAMEERA KOROTH</t>
  </si>
  <si>
    <t>CM0001701815</t>
  </si>
  <si>
    <t>ARCHANA SHYAMRAN</t>
  </si>
  <si>
    <t>CM0001702440</t>
  </si>
  <si>
    <t>SAKKEER CHAKKIYAMPARAMBIL</t>
  </si>
  <si>
    <t>CM0001702564</t>
  </si>
  <si>
    <t>SHEFEEK MUHAMMED</t>
  </si>
  <si>
    <t>CM0001702802</t>
  </si>
  <si>
    <t>ROWIDA MOSBAH</t>
  </si>
  <si>
    <t>CM0001705851</t>
  </si>
  <si>
    <t>BINOYRAJ VEETUKATTIL</t>
  </si>
  <si>
    <t>CM0001707337</t>
  </si>
  <si>
    <t>JANE WANGARE</t>
  </si>
  <si>
    <t>CM0001707559</t>
  </si>
  <si>
    <t>MARWAN MOHAMED</t>
  </si>
  <si>
    <t>CM0001708914</t>
  </si>
  <si>
    <t>NIRMAL MOHNAN</t>
  </si>
  <si>
    <t>CM0001710259</t>
  </si>
  <si>
    <t>MHD RIAD NASER</t>
  </si>
  <si>
    <t>CM0001710266</t>
  </si>
  <si>
    <t>JAYADEEPKUMAR RATNAKAR</t>
  </si>
  <si>
    <t>CM0001710316</t>
  </si>
  <si>
    <t>ZOHRA AMIN</t>
  </si>
  <si>
    <t>CM0001712635</t>
  </si>
  <si>
    <t>MOHAMED HUSSAIN</t>
  </si>
  <si>
    <t>CM0001714108</t>
  </si>
  <si>
    <t>MD JASHIM UDDIN</t>
  </si>
  <si>
    <t>CM0001715917</t>
  </si>
  <si>
    <t>ALAAELDEEN SULIMAN</t>
  </si>
  <si>
    <t>CM0001716439</t>
  </si>
  <si>
    <t xml:space="preserve">MOHAMED HASAN </t>
  </si>
  <si>
    <t>CM0001716940</t>
  </si>
  <si>
    <t>TONY THOMAS</t>
  </si>
  <si>
    <t>CM0001717831</t>
  </si>
  <si>
    <t xml:space="preserve">ABDUL RAHMAN </t>
  </si>
  <si>
    <t>CM0001717964</t>
  </si>
  <si>
    <t xml:space="preserve">GUL ZAMAN </t>
  </si>
  <si>
    <t>CM0001717986</t>
  </si>
  <si>
    <t xml:space="preserve">RAYD AHMED </t>
  </si>
  <si>
    <t>CM0001718239</t>
  </si>
  <si>
    <t xml:space="preserve">AHMED MOHAMED </t>
  </si>
  <si>
    <t>CM0001719904</t>
  </si>
  <si>
    <t>SABBIR RAHMAN</t>
  </si>
  <si>
    <t>CM0001720154</t>
  </si>
  <si>
    <t xml:space="preserve">PARUVINGAL MOHAMED </t>
  </si>
  <si>
    <t>CM0001722841</t>
  </si>
  <si>
    <t xml:space="preserve">ARIF HOSSAIN </t>
  </si>
  <si>
    <t>CM0001723360</t>
  </si>
  <si>
    <t xml:space="preserve">ESHRAGA DAFA </t>
  </si>
  <si>
    <t>CM0001726139</t>
  </si>
  <si>
    <t xml:space="preserve">ABUBAKR SIDAHMED </t>
  </si>
  <si>
    <t>CM0001727454</t>
  </si>
  <si>
    <t>ABOUDRAMANE JUNIOR</t>
  </si>
  <si>
    <t>CM0001728208</t>
  </si>
  <si>
    <t>HOURIA BOUJNANE</t>
  </si>
  <si>
    <t>CM0001729783</t>
  </si>
  <si>
    <t>KHALED MOHMED</t>
  </si>
  <si>
    <t>CM0001731409</t>
  </si>
  <si>
    <t xml:space="preserve">MOHAMEDELMUTASIM ADIL </t>
  </si>
  <si>
    <t>CM0001733897</t>
  </si>
  <si>
    <t>HASSAN KHAN</t>
  </si>
  <si>
    <t>CM0001734142</t>
  </si>
  <si>
    <t>WAJDY ABDALBAQI</t>
  </si>
  <si>
    <t>CM0001734909</t>
  </si>
  <si>
    <t>RIYAS KODUVAN</t>
  </si>
  <si>
    <t>CM0001735444</t>
  </si>
  <si>
    <t>MOHAMED ELREFAEI</t>
  </si>
  <si>
    <t>CM0001736386</t>
  </si>
  <si>
    <t>NITHIN KANDIRUTHIL</t>
  </si>
  <si>
    <t xml:space="preserve">ACTIVATED IN APRIL </t>
  </si>
  <si>
    <t>CM0001736214</t>
  </si>
  <si>
    <t>ASHRAF ALI ERUMBAN</t>
  </si>
  <si>
    <t>CM0001736430</t>
  </si>
  <si>
    <t>SINAJ KULATHINGAL</t>
  </si>
  <si>
    <t>CM0001739031</t>
  </si>
  <si>
    <t>HAITHAM JUHAD</t>
  </si>
  <si>
    <t>CM0001739986</t>
  </si>
  <si>
    <t>TAHA YASSER</t>
  </si>
  <si>
    <t>CM0001740156</t>
  </si>
  <si>
    <t>SAURABH KRIPA</t>
  </si>
  <si>
    <t>CM0001740215</t>
  </si>
  <si>
    <t>DANIEL BABU</t>
  </si>
  <si>
    <t>CM0001741673</t>
  </si>
  <si>
    <t>MAHMOUD BA AHMED</t>
  </si>
  <si>
    <t>CM0001741663</t>
  </si>
  <si>
    <t>MENAKA RAMDAS</t>
  </si>
  <si>
    <t>CM0001742252</t>
  </si>
  <si>
    <t>SUMAYA ABDUL</t>
  </si>
  <si>
    <t xml:space="preserve">PLAN </t>
  </si>
  <si>
    <t>CM0001742638</t>
  </si>
  <si>
    <t>SYED MUHAMMAD</t>
  </si>
  <si>
    <t>CM0001742995</t>
  </si>
  <si>
    <t>UMER KHAN</t>
  </si>
  <si>
    <t>CM0001744024</t>
  </si>
  <si>
    <t>CM0001746142</t>
  </si>
  <si>
    <t xml:space="preserve">DEBILAL BK </t>
  </si>
  <si>
    <t>CM0001746792</t>
  </si>
  <si>
    <t xml:space="preserve">ALI ASKAR </t>
  </si>
  <si>
    <t>CM0001749725</t>
  </si>
  <si>
    <t xml:space="preserve">SALMAN JAFFAR </t>
  </si>
  <si>
    <t>CM0001751236</t>
  </si>
  <si>
    <t>RICHARD BAKKIANATHAN</t>
  </si>
  <si>
    <t>CM0001752929</t>
  </si>
  <si>
    <t>ABID ALI</t>
  </si>
  <si>
    <t>CM0001752942</t>
  </si>
  <si>
    <t>SHARIFA ABDULRAHMAN</t>
  </si>
  <si>
    <t>CM0001753001</t>
  </si>
  <si>
    <t>SARA ATTAR</t>
  </si>
  <si>
    <t>CM0001753012</t>
  </si>
  <si>
    <t>LATIFA KHALOUL</t>
  </si>
  <si>
    <t>CM0001755286</t>
  </si>
  <si>
    <t>PANDURANGA NAIK</t>
  </si>
  <si>
    <t>CM0001757482</t>
  </si>
  <si>
    <t>FABRICE NKENFOR</t>
  </si>
  <si>
    <t>13-04-2024</t>
  </si>
  <si>
    <t>CM0001758558</t>
  </si>
  <si>
    <t>ABULLAH SALAH</t>
  </si>
  <si>
    <t>CM0001758708</t>
  </si>
  <si>
    <t xml:space="preserve">HAMZA ASGAR </t>
  </si>
  <si>
    <t>14-04-2024</t>
  </si>
  <si>
    <t>CM0001759574</t>
  </si>
  <si>
    <t xml:space="preserve">LE NGOC PHI </t>
  </si>
  <si>
    <t>15-04-2024</t>
  </si>
  <si>
    <t>CM0001760468</t>
  </si>
  <si>
    <t>HASSAN HABIB</t>
  </si>
  <si>
    <t>17-04-2024</t>
  </si>
  <si>
    <t>CM0001762695</t>
  </si>
  <si>
    <t>18-04-2024</t>
  </si>
  <si>
    <t>CM0001764124</t>
  </si>
  <si>
    <t>IMRAN KHAN</t>
  </si>
  <si>
    <t>CM0001764313</t>
  </si>
  <si>
    <t>BINU KOSHY</t>
  </si>
  <si>
    <t>CM0001764543</t>
  </si>
  <si>
    <t>SMITH BALRAJ</t>
  </si>
  <si>
    <t>CM0001764583</t>
  </si>
  <si>
    <t>SHAHUL HAMEED</t>
  </si>
  <si>
    <t>19-04-2024</t>
  </si>
  <si>
    <t>CM0001765163</t>
  </si>
  <si>
    <t>HAMID KAJRO</t>
  </si>
  <si>
    <t>CM0001765173</t>
  </si>
  <si>
    <t>FIFI IBRAHIM</t>
  </si>
  <si>
    <t>CM0001765734</t>
  </si>
  <si>
    <t>MD HASAN ABDUL</t>
  </si>
  <si>
    <t>Customer not Answering</t>
  </si>
  <si>
    <t>20-04-2024</t>
  </si>
  <si>
    <t>CM0001766680</t>
  </si>
  <si>
    <t>VIPIN KUMAR</t>
  </si>
  <si>
    <t>22-04-2024</t>
  </si>
  <si>
    <t>CM0001768747</t>
  </si>
  <si>
    <t>MO TAIYAB MO ALI</t>
  </si>
  <si>
    <t>23-04-2024</t>
  </si>
  <si>
    <t>CM0001770572</t>
  </si>
  <si>
    <t>MOHAMED OSAMA</t>
  </si>
  <si>
    <t>25-04-2024</t>
  </si>
  <si>
    <t>CM0001773153</t>
  </si>
  <si>
    <t>SRINIVAS BODA</t>
  </si>
  <si>
    <t>CM0001775727</t>
  </si>
  <si>
    <t>YOUSOF ABDULLAH</t>
  </si>
  <si>
    <t>CM0001777175</t>
  </si>
  <si>
    <t>IBRAHIM YR ABURISH</t>
  </si>
  <si>
    <t>29-04-2024</t>
  </si>
  <si>
    <t>CM0001779294</t>
  </si>
  <si>
    <t xml:space="preserve">RINCY MALIYEKKAL </t>
  </si>
  <si>
    <t>CM0001779621</t>
  </si>
  <si>
    <t xml:space="preserve">SYED MOHAMMAD </t>
  </si>
  <si>
    <t>CM0001779880</t>
  </si>
  <si>
    <t>RAHUL VADAKKE</t>
  </si>
  <si>
    <t>activated</t>
  </si>
  <si>
    <t>CM0001781167</t>
  </si>
  <si>
    <t>PRALAD PRASAD</t>
  </si>
  <si>
    <t>5month</t>
  </si>
  <si>
    <t>23sec</t>
  </si>
  <si>
    <t>walidnot</t>
  </si>
  <si>
    <t>1min</t>
  </si>
  <si>
    <t>RC DED</t>
  </si>
  <si>
    <t xml:space="preserve">ACTVATION DATE </t>
  </si>
  <si>
    <t>WAHAB-TEAM</t>
  </si>
  <si>
    <t>CM0001782362</t>
  </si>
  <si>
    <t>MOHAMED HASSAN</t>
  </si>
  <si>
    <t>CM0001782579</t>
  </si>
  <si>
    <t>DOUR MOHAMMAD</t>
  </si>
  <si>
    <t>CM0001782584</t>
  </si>
  <si>
    <t>HEMATOLLAH NASER</t>
  </si>
  <si>
    <t>CM0001782715</t>
  </si>
  <si>
    <t>KALESH JAGANADHAN</t>
  </si>
  <si>
    <t>CM0001782733</t>
  </si>
  <si>
    <t>NAYEM UDDIN</t>
  </si>
  <si>
    <t>CM0001785921</t>
  </si>
  <si>
    <t xml:space="preserve">ABDULLAH AL JABER </t>
  </si>
  <si>
    <t>CM0001786073</t>
  </si>
  <si>
    <t xml:space="preserve">SALINI CHULLIPARAMBIL </t>
  </si>
  <si>
    <t>CM0001787409</t>
  </si>
  <si>
    <t xml:space="preserve">MOHAMMAD ABDUL </t>
  </si>
  <si>
    <t>CM0001788084</t>
  </si>
  <si>
    <t xml:space="preserve">MOHAMEDALI MUKKRA </t>
  </si>
  <si>
    <t>CM0001788223</t>
  </si>
  <si>
    <t xml:space="preserve">MOHAMMAD LIMON </t>
  </si>
  <si>
    <t>CM0001789594</t>
  </si>
  <si>
    <t>AYAT AWAD</t>
  </si>
  <si>
    <t>CM0001790723</t>
  </si>
  <si>
    <t>YASMIN MOHAMEDELHASSAN</t>
  </si>
  <si>
    <t>CM0001791879</t>
  </si>
  <si>
    <t xml:space="preserve">HAYAT ELGUIMA </t>
  </si>
  <si>
    <t>CM0001797256</t>
  </si>
  <si>
    <t xml:space="preserve">AWATIF ZYANI </t>
  </si>
  <si>
    <t>CM0001797415</t>
  </si>
  <si>
    <t xml:space="preserve">MD NIZAM UDDIN </t>
  </si>
  <si>
    <t>CM0001797431</t>
  </si>
  <si>
    <t xml:space="preserve">NADEEM JAN </t>
  </si>
  <si>
    <t>CM0001798210</t>
  </si>
  <si>
    <t xml:space="preserve">MOHAMMED ANWOR </t>
  </si>
  <si>
    <t>CM0001801973</t>
  </si>
  <si>
    <t xml:space="preserve">NOUR ADNAN </t>
  </si>
  <si>
    <t>CM0001802804</t>
  </si>
  <si>
    <t xml:space="preserve">TUTUL DAS </t>
  </si>
  <si>
    <t>CM0001802821</t>
  </si>
  <si>
    <t xml:space="preserve">HELAL AHMAD </t>
  </si>
  <si>
    <t>CM0001803716</t>
  </si>
  <si>
    <t xml:space="preserve">ALEX BABY </t>
  </si>
  <si>
    <t>CM0001805487</t>
  </si>
  <si>
    <t xml:space="preserve">FAHAD KHALID </t>
  </si>
  <si>
    <t>CM0001805698</t>
  </si>
  <si>
    <t>ARMAN HORMOZ</t>
  </si>
  <si>
    <t>CM0001806427</t>
  </si>
  <si>
    <t>MOHAMMAD TASLIM</t>
  </si>
  <si>
    <t>CM0001807755</t>
  </si>
  <si>
    <t>WAEL IBRAHIM</t>
  </si>
  <si>
    <t>CM0001808158</t>
  </si>
  <si>
    <t>CM0001809143</t>
  </si>
  <si>
    <t>PUNNAKKAL PALI ZAINUDHIN</t>
  </si>
  <si>
    <t>CM0001811684</t>
  </si>
  <si>
    <t>TAHZEEM AKBAR</t>
  </si>
  <si>
    <t>CM0001813589</t>
  </si>
  <si>
    <t>HAIMING LYU</t>
  </si>
  <si>
    <t>CM0001813909</t>
  </si>
  <si>
    <t>RAILA ASMATULLLAH</t>
  </si>
  <si>
    <t>CM0001814201</t>
  </si>
  <si>
    <t xml:space="preserve">MUZAFAR HUSSAIN </t>
  </si>
  <si>
    <t>CM0001817133</t>
  </si>
  <si>
    <t xml:space="preserve">MUHAMMAD SHABAN </t>
  </si>
  <si>
    <t>CM0001817169</t>
  </si>
  <si>
    <t xml:space="preserve">MAHER AHMAD </t>
  </si>
  <si>
    <t>CM0001817227</t>
  </si>
  <si>
    <t xml:space="preserve">KHURRAM SHAHZAD </t>
  </si>
  <si>
    <t>CM0001819149</t>
  </si>
  <si>
    <t>SWATHIKA JAYAKUMAR</t>
  </si>
  <si>
    <t>CM0001819574</t>
  </si>
  <si>
    <t>ENTISAR ABDALLAH</t>
  </si>
  <si>
    <t>CM0001819638</t>
  </si>
  <si>
    <t>TAYMOOR UL HASSAN</t>
  </si>
  <si>
    <t>CM0001821677</t>
  </si>
  <si>
    <t xml:space="preserve">MANASEH LESHAN </t>
  </si>
  <si>
    <t xml:space="preserve">RC DEDUCTION </t>
  </si>
  <si>
    <t>CM0001822242</t>
  </si>
  <si>
    <t>ABDALLAH OMAR</t>
  </si>
  <si>
    <t>CM0001822324</t>
  </si>
  <si>
    <t>AZIZA ABDELMAGID</t>
  </si>
  <si>
    <t>CM0001822404</t>
  </si>
  <si>
    <t>OMAR KHALED</t>
  </si>
  <si>
    <t>CM0001822444</t>
  </si>
  <si>
    <t>SAHEESH KAVIL</t>
  </si>
  <si>
    <t>CM0001823238</t>
  </si>
  <si>
    <t>MOHAMED ABDELRAHMAN</t>
  </si>
  <si>
    <t>CM0001824122</t>
  </si>
  <si>
    <t>MUZAFAR KHALID</t>
  </si>
  <si>
    <t>UY777</t>
  </si>
  <si>
    <t xml:space="preserve">AC -NO </t>
  </si>
  <si>
    <t xml:space="preserve">CM NAME </t>
  </si>
  <si>
    <t>PLAN</t>
  </si>
  <si>
    <t xml:space="preserve">RC -DEDUCTION </t>
  </si>
  <si>
    <t>CM0001825990</t>
  </si>
  <si>
    <t xml:space="preserve">MUHAMMED ALI </t>
  </si>
  <si>
    <t>CM0001826604</t>
  </si>
  <si>
    <t>ALI HAMZA GHAFOOR HUSSAIN</t>
  </si>
  <si>
    <t>CM0001828383</t>
  </si>
  <si>
    <t>SURESH KUMAR</t>
  </si>
  <si>
    <t>CM0001828451</t>
  </si>
  <si>
    <t>AJU VARGHESE</t>
  </si>
  <si>
    <t>CM0001829431</t>
  </si>
  <si>
    <t>DINA SALAH</t>
  </si>
  <si>
    <t>CM0001830052</t>
  </si>
  <si>
    <t>ASIF MOHAMMAD</t>
  </si>
  <si>
    <t>CM0001831125</t>
  </si>
  <si>
    <t>ABDUL MAJID</t>
  </si>
  <si>
    <t>CM0001831700</t>
  </si>
  <si>
    <t>ABDALLA MOHAMED</t>
  </si>
  <si>
    <t>CM0001831822</t>
  </si>
  <si>
    <t>PUZHIKUNNAN MOHSIN</t>
  </si>
  <si>
    <t>CM0001831991</t>
  </si>
  <si>
    <t xml:space="preserve">ASHRAF MAHMOUD </t>
  </si>
  <si>
    <t>CM0001834492</t>
  </si>
  <si>
    <t>MOHAMED SAAD</t>
  </si>
  <si>
    <t>CM0001836555</t>
  </si>
  <si>
    <t>SOUKAINA SAMYH</t>
  </si>
  <si>
    <t>CM0001837299</t>
  </si>
  <si>
    <t>SARAH SAIFELDIN</t>
  </si>
  <si>
    <t>CM0001838625</t>
  </si>
  <si>
    <t>BIBIN TOM</t>
  </si>
  <si>
    <t>RC_5G_Plus</t>
  </si>
  <si>
    <t>CM0001839442</t>
  </si>
  <si>
    <t>BAKR OMAR</t>
  </si>
  <si>
    <t>CM0001839666</t>
  </si>
  <si>
    <t>SUMAYA KHAMIS</t>
  </si>
  <si>
    <t>CM0001844521</t>
  </si>
  <si>
    <t xml:space="preserve">AHMAD HAMDAN </t>
  </si>
  <si>
    <t>CM0001844783</t>
  </si>
  <si>
    <t>AFAQ UR RAHMAN</t>
  </si>
  <si>
    <t>CM0001845632</t>
  </si>
  <si>
    <t xml:space="preserve">USMAN HANIF </t>
  </si>
  <si>
    <t>CM0001850320</t>
  </si>
  <si>
    <t>ISMAEEL OWOLABI</t>
  </si>
  <si>
    <t>CM0001854844</t>
  </si>
  <si>
    <t xml:space="preserve">BRUNO EKAI </t>
  </si>
  <si>
    <t>CM0001855278</t>
  </si>
  <si>
    <t>MERYEM EL BACHARI</t>
  </si>
  <si>
    <t>CM0001855899</t>
  </si>
  <si>
    <t xml:space="preserve">SUHIB YOUSEF </t>
  </si>
  <si>
    <t>CM0001856163</t>
  </si>
  <si>
    <t xml:space="preserve">AKASH SUBBA </t>
  </si>
  <si>
    <t>CM0001858372</t>
  </si>
  <si>
    <t>DIPU THAPA</t>
  </si>
  <si>
    <t>CM0001859442</t>
  </si>
  <si>
    <t>FAKHAR ZAMAN</t>
  </si>
  <si>
    <t>CM0001860609</t>
  </si>
  <si>
    <t>CHANDHU JAYAN</t>
  </si>
  <si>
    <t>CM0001861456</t>
  </si>
  <si>
    <t>MOHAMMED FAHAS</t>
  </si>
  <si>
    <t>CM0001864677</t>
  </si>
  <si>
    <t>ABID JUNAID</t>
  </si>
  <si>
    <t>CM0001865688</t>
  </si>
  <si>
    <t>FARID MUSA</t>
  </si>
  <si>
    <t>CM0001866177</t>
  </si>
  <si>
    <t>SAKARIYA KANNANTHODI</t>
  </si>
  <si>
    <t>CM0001866349</t>
  </si>
  <si>
    <t>NAVAS CHAPPAYIL</t>
  </si>
  <si>
    <t xml:space="preserve">ACTIVATED IN JULY </t>
  </si>
  <si>
    <t xml:space="preserve">he cancelled 6 month before </t>
  </si>
  <si>
    <t>AYMAN ABDELRAHIM MOHAMED</t>
  </si>
  <si>
    <t>CM0001842719</t>
  </si>
  <si>
    <t>MISSING IN REPORT</t>
  </si>
  <si>
    <t>CM0001868068</t>
  </si>
  <si>
    <t>SAJID KHAN</t>
  </si>
  <si>
    <t>CM0001867274</t>
  </si>
  <si>
    <t>ASHIQ VETTILAYIL</t>
  </si>
  <si>
    <t>CM0001867335</t>
  </si>
  <si>
    <t>AHMED SAID</t>
  </si>
  <si>
    <t>CM0001869697</t>
  </si>
  <si>
    <t>SHAHEED IMAM ALI</t>
  </si>
  <si>
    <t>CM0001870491</t>
  </si>
  <si>
    <t>ALEX THUNDIYATHU</t>
  </si>
  <si>
    <t>CM0001870547</t>
  </si>
  <si>
    <t>SHAHEED IMAM</t>
  </si>
  <si>
    <t>CM0001871835</t>
  </si>
  <si>
    <t>ANDREW SCOTT</t>
  </si>
  <si>
    <t>CM0001872236</t>
  </si>
  <si>
    <t>MOHAMMED HUSSAIN</t>
  </si>
  <si>
    <t>CM0001874060</t>
  </si>
  <si>
    <t>MIZANN UR RAHMAN</t>
  </si>
  <si>
    <t>CM0001877412</t>
  </si>
  <si>
    <t>ABDUL REHMAN</t>
  </si>
  <si>
    <t>CM0001879125</t>
  </si>
  <si>
    <t>JANNATUL NUR</t>
  </si>
  <si>
    <t>CM0001879797</t>
  </si>
  <si>
    <t>NEERUKETTY KUNJAMAN</t>
  </si>
  <si>
    <t>CM0001880198</t>
  </si>
  <si>
    <t>SUNDER RAJ</t>
  </si>
  <si>
    <t>CM0001880249</t>
  </si>
  <si>
    <t>NADEEB KODENCHERY</t>
  </si>
  <si>
    <t>CM0001880732</t>
  </si>
  <si>
    <t>WIWIK HENDRI</t>
  </si>
  <si>
    <t>CM0001881457</t>
  </si>
  <si>
    <t>YAGOUB ALI</t>
  </si>
  <si>
    <t>CM0001883279</t>
  </si>
  <si>
    <t>MOHAMMED NISHAD</t>
  </si>
  <si>
    <t>CM0001883446</t>
  </si>
  <si>
    <t>NAFEEZ NILAM</t>
  </si>
  <si>
    <t>CM0001883631</t>
  </si>
  <si>
    <t>ABDUL HAFEEZ ABDUL</t>
  </si>
  <si>
    <t>CM0001884376</t>
  </si>
  <si>
    <t>MAJD EDDIN</t>
  </si>
  <si>
    <t>CM0001884674</t>
  </si>
  <si>
    <t>SHRUTI RAKESH</t>
  </si>
  <si>
    <t>CM0001884764</t>
  </si>
  <si>
    <t>CM0001884857</t>
  </si>
  <si>
    <t>EHLAM ELSADIG</t>
  </si>
  <si>
    <t>CM0001886485</t>
  </si>
  <si>
    <t>WIJAYALATHA KUMARI</t>
  </si>
  <si>
    <t>CM0001886503</t>
  </si>
  <si>
    <t>HABIB MOHI HASHEM</t>
  </si>
  <si>
    <t>CM0001889685</t>
  </si>
  <si>
    <t>JAGTAR SINGH</t>
  </si>
  <si>
    <t>CM0001890178</t>
  </si>
  <si>
    <t>MANOJ PARMOD</t>
  </si>
  <si>
    <t>CM0001890376</t>
  </si>
  <si>
    <t>ABDUR RAHIM</t>
  </si>
  <si>
    <t>CM0001891172</t>
  </si>
  <si>
    <t>TURKI JAHED</t>
  </si>
  <si>
    <t>CM0001891344</t>
  </si>
  <si>
    <t>MUHAMMAD WAQAR</t>
  </si>
  <si>
    <t>CM0001894765</t>
  </si>
  <si>
    <t>MUHAMMAD KHALID</t>
  </si>
  <si>
    <t>CM0001894964</t>
  </si>
  <si>
    <t>MUHAMMAD RASHID</t>
  </si>
  <si>
    <t>CM0001897266</t>
  </si>
  <si>
    <t>AMGD ELSAYED</t>
  </si>
  <si>
    <t>CM0001902190</t>
  </si>
  <si>
    <t>YOUNS ABOOBACKER</t>
  </si>
  <si>
    <t>27-07-2024</t>
  </si>
  <si>
    <t>CM0001902685</t>
  </si>
  <si>
    <t>OLA MONZER</t>
  </si>
  <si>
    <t>CM0001906292</t>
  </si>
  <si>
    <t>MAHMOUD REDAEG</t>
  </si>
  <si>
    <t>CM0001908630</t>
  </si>
  <si>
    <t>BASSEM SAIBI</t>
  </si>
  <si>
    <t>CM0001909013</t>
  </si>
  <si>
    <t>MUHAMMAD ZUBAIR</t>
  </si>
  <si>
    <t>CM0001909039</t>
  </si>
  <si>
    <t>NAFISA RAFIQ</t>
  </si>
  <si>
    <t>CM0001909452</t>
  </si>
  <si>
    <t>MUHAMMAD SABIR</t>
  </si>
  <si>
    <t>CM0001909459</t>
  </si>
  <si>
    <t>RAMEEZ AHMAD</t>
  </si>
  <si>
    <t>CM0001909582</t>
  </si>
  <si>
    <t>HADEEL ALAMIN</t>
  </si>
  <si>
    <t>CM0001905056</t>
  </si>
  <si>
    <t>SADHU HUSSAIN HUSSAIN</t>
  </si>
  <si>
    <t>missing</t>
  </si>
  <si>
    <t>CM0001914124</t>
  </si>
  <si>
    <t>WAEL MAGDY</t>
  </si>
  <si>
    <t>CM0001914675</t>
  </si>
  <si>
    <t>SYED NAJAM</t>
  </si>
  <si>
    <t>CM0001915450</t>
  </si>
  <si>
    <t>ELBAGIR NASRELDIN</t>
  </si>
  <si>
    <t>CM0001916349</t>
  </si>
  <si>
    <t>NAFISA MOHAMED</t>
  </si>
  <si>
    <t>CM0001919134</t>
  </si>
  <si>
    <t>SULAIMAN SARHAN</t>
  </si>
  <si>
    <t>CM0001926885</t>
  </si>
  <si>
    <t>MUHAMMAD YAWAR</t>
  </si>
  <si>
    <t>CM0001928755</t>
  </si>
  <si>
    <t>MUHAMMEDALI THUNDHAKACHI</t>
  </si>
  <si>
    <t>CM0001929824</t>
  </si>
  <si>
    <t>DERICK NJENGUH</t>
  </si>
  <si>
    <t>Rejected</t>
  </si>
  <si>
    <t>CM0001930088</t>
  </si>
  <si>
    <t>MIZANNUR RAHMAN</t>
  </si>
  <si>
    <t>CM0001930647</t>
  </si>
  <si>
    <t>NAZNIN AZEEZ</t>
  </si>
  <si>
    <t>CM0001932584</t>
  </si>
  <si>
    <t>SRIDHAR KARROLA</t>
  </si>
  <si>
    <t>CM0001933921</t>
  </si>
  <si>
    <t>OSAMA MM ABUSABHA</t>
  </si>
  <si>
    <t>CM0001937655</t>
  </si>
  <si>
    <t>ANNY BRIJET</t>
  </si>
  <si>
    <t>CM0001937772</t>
  </si>
  <si>
    <t>ABDUL SAMAD</t>
  </si>
  <si>
    <t>CM0001938048</t>
  </si>
  <si>
    <t>MST HASNA HANA MD</t>
  </si>
  <si>
    <t>21-08-24</t>
  </si>
  <si>
    <t>CM0001938640</t>
  </si>
  <si>
    <t>ABBEY LOUISE</t>
  </si>
  <si>
    <t xml:space="preserve">validated </t>
  </si>
  <si>
    <t>CM0001938733</t>
  </si>
  <si>
    <t>SAJITH CHANDRAVILASAM</t>
  </si>
  <si>
    <t>22-08-24</t>
  </si>
  <si>
    <t>CM0001940170</t>
  </si>
  <si>
    <t>AHMED ALI</t>
  </si>
  <si>
    <t>CM0001940764</t>
  </si>
  <si>
    <t>ANAS MUHAMED</t>
  </si>
  <si>
    <t>23-08-24</t>
  </si>
  <si>
    <t>CM0001941296</t>
  </si>
  <si>
    <t>VISHAK SANJEEV</t>
  </si>
  <si>
    <t>CM0001941813</t>
  </si>
  <si>
    <t>NIBAL BASHAR</t>
  </si>
  <si>
    <t>CM0001942222</t>
  </si>
  <si>
    <t>AFSAL NAZRUDEEN</t>
  </si>
  <si>
    <t>25-08-24</t>
  </si>
  <si>
    <t>CM0001944152</t>
  </si>
  <si>
    <t>AFSAL NAZARUDEEN</t>
  </si>
  <si>
    <t xml:space="preserve">Reprocess </t>
  </si>
  <si>
    <t>CM0001944377</t>
  </si>
  <si>
    <t>ASIA KAUSAR</t>
  </si>
  <si>
    <t>26-08-24</t>
  </si>
  <si>
    <t>CM0001945170</t>
  </si>
  <si>
    <t>MOHAMMED ABDELLATEEF</t>
  </si>
  <si>
    <t>CM0001945358</t>
  </si>
  <si>
    <t>CHAMATH SADHEERA</t>
  </si>
  <si>
    <t>CM0001946140</t>
  </si>
  <si>
    <t>HESHAM MOHAMMAD</t>
  </si>
  <si>
    <t>CM0001946222</t>
  </si>
  <si>
    <t>27-08-24</t>
  </si>
  <si>
    <t>CM0001947031</t>
  </si>
  <si>
    <t>MOIDEEN ARSHAD</t>
  </si>
  <si>
    <t>CM0001947033</t>
  </si>
  <si>
    <t>CM0001947931</t>
  </si>
  <si>
    <t>POURNAMI RADHAKRISHNAN</t>
  </si>
  <si>
    <t>29-08-24</t>
  </si>
  <si>
    <t>CM0001950951</t>
  </si>
  <si>
    <t>AHMAD DEEB</t>
  </si>
  <si>
    <t>31-08-24</t>
  </si>
  <si>
    <t>CM0001953318</t>
  </si>
  <si>
    <t>VICTOR CHERNYSHOV</t>
  </si>
  <si>
    <t>CM0001953509</t>
  </si>
  <si>
    <t>VANESSA MAE</t>
  </si>
  <si>
    <t>CM0001953575</t>
  </si>
  <si>
    <t>AQIF ALI</t>
  </si>
  <si>
    <t>CM0001953846</t>
  </si>
  <si>
    <t>HOSSAM SOULAIMAN</t>
  </si>
  <si>
    <t>RC</t>
  </si>
  <si>
    <t>CM0001954876</t>
  </si>
  <si>
    <t>MOHAMMAD JAKIR</t>
  </si>
  <si>
    <t>CM0001956299</t>
  </si>
  <si>
    <t>MHD ZUHAIR NAZIR</t>
  </si>
  <si>
    <t>CM0001958971</t>
  </si>
  <si>
    <t>SHIJOMON SHAJI</t>
  </si>
  <si>
    <t>CM0001958974</t>
  </si>
  <si>
    <t>MOHAMED HASAN</t>
  </si>
  <si>
    <t>CM0001960027</t>
  </si>
  <si>
    <t>ABDUL RAZACK</t>
  </si>
  <si>
    <t>CM0001960178</t>
  </si>
  <si>
    <t>CM0001961183</t>
  </si>
  <si>
    <t>TANZIL ISHAQ</t>
  </si>
  <si>
    <t>CM0001961771</t>
  </si>
  <si>
    <t>SAEED AHMED</t>
  </si>
  <si>
    <t>CM0001961810</t>
  </si>
  <si>
    <t>CM0001963059</t>
  </si>
  <si>
    <t>MD MONIRUL ISLAM</t>
  </si>
  <si>
    <t>CM0001965838</t>
  </si>
  <si>
    <t>JASEM NAVAZOLLAH</t>
  </si>
  <si>
    <t>CM0001968497</t>
  </si>
  <si>
    <t>CM0001968508</t>
  </si>
  <si>
    <t>SADIQULTAH FAEBDIN ALAHYAR</t>
  </si>
  <si>
    <t>CM0001968543</t>
  </si>
  <si>
    <t>JITHU OOMMEN GEORGE GEORGEKUTTY OOMMEN</t>
  </si>
  <si>
    <t>CM0001969803</t>
  </si>
  <si>
    <t>CM0001971431</t>
  </si>
  <si>
    <t>ASAD IQBAL</t>
  </si>
  <si>
    <t>13-09-2024</t>
  </si>
  <si>
    <t>CM0001973249</t>
  </si>
  <si>
    <t>SAQIB ALI</t>
  </si>
  <si>
    <t>CM0001973307</t>
  </si>
  <si>
    <t>MUHAMMAD WAQAS</t>
  </si>
  <si>
    <t>CM0001974802</t>
  </si>
  <si>
    <t>MOZIBUR RASHID</t>
  </si>
  <si>
    <t>CM0001974810</t>
  </si>
  <si>
    <t>GAMAL SAAD</t>
  </si>
  <si>
    <t>14-09-2024</t>
  </si>
  <si>
    <t>CM0001977787</t>
  </si>
  <si>
    <t>SADAQAT AZEEM</t>
  </si>
  <si>
    <t>16-09-2024</t>
  </si>
  <si>
    <t>CM0001982595</t>
  </si>
  <si>
    <t>SAJID ALI</t>
  </si>
  <si>
    <t>CM0001982749</t>
  </si>
  <si>
    <t>RAKESH KUMAR</t>
  </si>
  <si>
    <t>17-09-2024</t>
  </si>
  <si>
    <t>CM0001984461</t>
  </si>
  <si>
    <t>MUHAMMAD SAALIH</t>
  </si>
  <si>
    <t>CM0001987103</t>
  </si>
  <si>
    <t>CM0001987299</t>
  </si>
  <si>
    <t>ASNA THARAVATTATH</t>
  </si>
  <si>
    <t>19-09-2024</t>
  </si>
  <si>
    <t>CM0001988160</t>
  </si>
  <si>
    <t>AHMED MUHAMMAD</t>
  </si>
  <si>
    <t>CM0001989275</t>
  </si>
  <si>
    <t>SARBJIT KAUR</t>
  </si>
  <si>
    <t>20-09-2024</t>
  </si>
  <si>
    <t>CM0001991155</t>
  </si>
  <si>
    <t>PHILIP DAPILAH</t>
  </si>
  <si>
    <t>CM0001991708</t>
  </si>
  <si>
    <t>SUDARSHAN NEPAL</t>
  </si>
  <si>
    <t>22-09-2024</t>
  </si>
  <si>
    <t>CM0001994886</t>
  </si>
  <si>
    <t>WASEEM AKRAM</t>
  </si>
  <si>
    <t>CM0001995181</t>
  </si>
  <si>
    <t>DEEPA VENUGOPALAN</t>
  </si>
  <si>
    <t>CM0001995697</t>
  </si>
  <si>
    <t>SUDHARSHAN NEPAL</t>
  </si>
  <si>
    <t>23-09-2024</t>
  </si>
  <si>
    <t>CM0001996323</t>
  </si>
  <si>
    <t>EZATULLAH HAJI</t>
  </si>
  <si>
    <t>24-09-2024</t>
  </si>
  <si>
    <t>CM0001999412</t>
  </si>
  <si>
    <t>SULEMAN YAW</t>
  </si>
  <si>
    <t>26-09-2024</t>
  </si>
  <si>
    <t>CM0002004755</t>
  </si>
  <si>
    <t>SHAMSUDDEEN KANIYANTAVIDA</t>
  </si>
  <si>
    <t>CM0002006122</t>
  </si>
  <si>
    <t>RAJKUMAR PARAMESWAR</t>
  </si>
  <si>
    <t>27-09-2024</t>
  </si>
  <si>
    <t>CM0002008228</t>
  </si>
  <si>
    <t>ABDULLAH MUNIR</t>
  </si>
  <si>
    <t>CM0002008469</t>
  </si>
  <si>
    <t>CM0002008615</t>
  </si>
  <si>
    <t>SAMUEL NAVILLE</t>
  </si>
  <si>
    <t>28-09-2024</t>
  </si>
  <si>
    <t>CM0002009624</t>
  </si>
  <si>
    <t>NIROJAN MURUGAPILLAI</t>
  </si>
  <si>
    <t>CM0002009867</t>
  </si>
  <si>
    <t>FAWZI ADEL</t>
  </si>
  <si>
    <t>CM0002010275</t>
  </si>
  <si>
    <t>DANA MOHAMMED</t>
  </si>
  <si>
    <t>CM0002010930</t>
  </si>
  <si>
    <t>YASSIR ABDELGADIR</t>
  </si>
  <si>
    <t>29-09-2024</t>
  </si>
  <si>
    <t>CM0002013300</t>
  </si>
  <si>
    <t>CM0002013700</t>
  </si>
  <si>
    <t>HAFIZ WAJID</t>
  </si>
  <si>
    <t>CM0002013973</t>
  </si>
  <si>
    <t>DENNY DAVIS</t>
  </si>
  <si>
    <t>30-09-2024</t>
  </si>
  <si>
    <t>CM0002014876</t>
  </si>
  <si>
    <t>MOHAMMED MOINUDDIN</t>
  </si>
  <si>
    <t>CM0002015169</t>
  </si>
  <si>
    <t>CM0002016137</t>
  </si>
  <si>
    <t>ABDULLAH REDWAN</t>
  </si>
  <si>
    <t>wrong oder number</t>
  </si>
  <si>
    <t>september</t>
  </si>
  <si>
    <t>wrong mention</t>
  </si>
  <si>
    <t>augest</t>
  </si>
  <si>
    <t xml:space="preserve">agent name </t>
  </si>
  <si>
    <t>DIGITAL REPORT REMAKS</t>
  </si>
  <si>
    <t>CM0002034625</t>
  </si>
  <si>
    <t>HADIR YOUSRY</t>
  </si>
  <si>
    <t>CM0002017529</t>
  </si>
  <si>
    <t>MOHAMMED FAOZI</t>
  </si>
  <si>
    <t>CM0002020036</t>
  </si>
  <si>
    <t>NITHIN AILENI</t>
  </si>
  <si>
    <t>CM0002020052</t>
  </si>
  <si>
    <t>CM0002020172</t>
  </si>
  <si>
    <t>ERSHAD KOROTH</t>
  </si>
  <si>
    <t>RC DEDUCTION</t>
  </si>
  <si>
    <t>CM0002020455</t>
  </si>
  <si>
    <t>CM0002021230</t>
  </si>
  <si>
    <t>REHAM MAHMOUD</t>
  </si>
  <si>
    <t>CM0002022032</t>
  </si>
  <si>
    <t>KHALED SAOUD</t>
  </si>
  <si>
    <t>CM0002022510</t>
  </si>
  <si>
    <t>CM0002023819</t>
  </si>
  <si>
    <t>CM0002025137</t>
  </si>
  <si>
    <t>ROSALINDA BALORAN</t>
  </si>
  <si>
    <t>CM0002028951</t>
  </si>
  <si>
    <t>MAYA VIJAYAN</t>
  </si>
  <si>
    <t>CM0002029299</t>
  </si>
  <si>
    <t>CM0002032882</t>
  </si>
  <si>
    <t>BATOUL FOUAD</t>
  </si>
  <si>
    <t>CM0002046379</t>
  </si>
  <si>
    <t>SANGITA ANANDA</t>
  </si>
  <si>
    <t>CM0002048856</t>
  </si>
  <si>
    <t>CM0002052702</t>
  </si>
  <si>
    <t>SYEDA SUMBUL</t>
  </si>
  <si>
    <t>CM0002058235</t>
  </si>
  <si>
    <t>SHAH FAISAL</t>
  </si>
  <si>
    <t>CM0002059643</t>
  </si>
  <si>
    <t>MANJULA HARSHA</t>
  </si>
  <si>
    <t>CM0002061353</t>
  </si>
  <si>
    <t>NAMDAR ALI</t>
  </si>
  <si>
    <t>CM0002064151</t>
  </si>
  <si>
    <t>MAHMOUD MOHAMED</t>
  </si>
  <si>
    <t>CM0002065347</t>
  </si>
  <si>
    <t>SAYNAB ABDIKARIM</t>
  </si>
  <si>
    <t>CM0002065607</t>
  </si>
  <si>
    <t>MOHAMMED ILIAS</t>
  </si>
  <si>
    <t>contact njumber</t>
  </si>
  <si>
    <t>sameh badr altair</t>
  </si>
  <si>
    <t>contact nbumber</t>
  </si>
  <si>
    <t>c0ntact number</t>
  </si>
  <si>
    <t>muhammad shafi</t>
  </si>
  <si>
    <t>name</t>
  </si>
  <si>
    <t>habeeba basha</t>
  </si>
  <si>
    <t>marwan mustufa</t>
  </si>
  <si>
    <t>aref ahmad</t>
  </si>
  <si>
    <t>md nasir miahjashm uddin</t>
  </si>
  <si>
    <t>NO</t>
  </si>
  <si>
    <t>TEAM</t>
  </si>
  <si>
    <t>DATE</t>
  </si>
  <si>
    <t>CUSTOMER NAME</t>
  </si>
  <si>
    <t>Nationality</t>
  </si>
  <si>
    <t>EID Number</t>
  </si>
  <si>
    <t>CM NO</t>
  </si>
  <si>
    <t>Order ID</t>
  </si>
  <si>
    <t>MRC</t>
  </si>
  <si>
    <t>A/C NO</t>
  </si>
  <si>
    <t>ACTIVATION Date</t>
  </si>
  <si>
    <t>Rotational Churn</t>
  </si>
  <si>
    <t>DEACTIVATED</t>
  </si>
  <si>
    <t>Deactivation Date</t>
  </si>
  <si>
    <t>WAHAB TEAM</t>
  </si>
  <si>
    <t>MOHAMMAD TAREQ</t>
  </si>
  <si>
    <t>BANGLADESH</t>
  </si>
  <si>
    <t>CM0002116927</t>
  </si>
  <si>
    <t>MOHAMMAD SAID</t>
  </si>
  <si>
    <t>SYRIAN ARAB</t>
  </si>
  <si>
    <t>CM0002117634</t>
  </si>
  <si>
    <t>CM0002118073</t>
  </si>
  <si>
    <t>CANCELED</t>
  </si>
  <si>
    <t>DUPLICATE ORDER</t>
  </si>
  <si>
    <t>IRFAN ALI</t>
  </si>
  <si>
    <t>PAKISTAN</t>
  </si>
  <si>
    <t>CM0002120835</t>
  </si>
  <si>
    <t>ACTIVATED-RC</t>
  </si>
  <si>
    <t>RENOY FERNANDEZ</t>
  </si>
  <si>
    <t>INDIA</t>
  </si>
  <si>
    <t>CM0002123489</t>
  </si>
  <si>
    <t>ELKAZAFI FAWI</t>
  </si>
  <si>
    <t>CM0002124356</t>
  </si>
  <si>
    <t>JULIETA MAMADO</t>
  </si>
  <si>
    <t>PHILIPPINES</t>
  </si>
  <si>
    <t>CM0002126178</t>
  </si>
  <si>
    <t>JUSTINE CAMACAMO</t>
  </si>
  <si>
    <t>CM0002127456</t>
  </si>
  <si>
    <t>CM0002132515</t>
  </si>
  <si>
    <t>MUHAMMAD ASIF</t>
  </si>
  <si>
    <t>CM0002134153</t>
  </si>
  <si>
    <t>SAFYA MAHOMED</t>
  </si>
  <si>
    <t>CM0002137719</t>
  </si>
  <si>
    <t>MOUNUL ISLAM ABDULLA</t>
  </si>
  <si>
    <t>CM0002138440</t>
  </si>
  <si>
    <t>CM0002139156</t>
  </si>
  <si>
    <t>MOHD RASHID</t>
  </si>
  <si>
    <t>CM0002139252</t>
  </si>
  <si>
    <t>WASIF SOLIMAN</t>
  </si>
  <si>
    <t>CM0002140492</t>
  </si>
  <si>
    <t>JAZNY SALAM RANI</t>
  </si>
  <si>
    <t>CM0002156278</t>
  </si>
  <si>
    <t>ASADULLAH ARSALAH</t>
  </si>
  <si>
    <t>CM0002159407</t>
  </si>
  <si>
    <t>Muhammad Said Haytham</t>
  </si>
  <si>
    <t>Syria</t>
  </si>
  <si>
    <t>CM0002119741</t>
  </si>
  <si>
    <t>Rahmat Ullah Bakhtiar</t>
  </si>
  <si>
    <t>Pakistan</t>
  </si>
  <si>
    <t>CM0002121093</t>
  </si>
  <si>
    <t xml:space="preserve">Validated </t>
  </si>
  <si>
    <t>Donna Mae Pinohermoso</t>
  </si>
  <si>
    <t>CM0002120882</t>
  </si>
  <si>
    <t>Semira Gobena</t>
  </si>
  <si>
    <t>ETHIOPIA</t>
  </si>
  <si>
    <t>CM0002125974</t>
  </si>
  <si>
    <t>Shamna Banu Ahammed</t>
  </si>
  <si>
    <t>India</t>
  </si>
  <si>
    <t>CM0002129902</t>
  </si>
  <si>
    <t>Koodathingal Rajan</t>
  </si>
  <si>
    <t>CM0002129677</t>
  </si>
  <si>
    <t>Mursid Alam Sekh</t>
  </si>
  <si>
    <t>CM0002132820</t>
  </si>
  <si>
    <t>Validated</t>
  </si>
  <si>
    <t>Furqan Akram Muhammad</t>
  </si>
  <si>
    <t>CM0002132588</t>
  </si>
  <si>
    <t>Moataz Elsayed Mohamed</t>
  </si>
  <si>
    <t>EGYPT</t>
  </si>
  <si>
    <t>CM0002138992</t>
  </si>
  <si>
    <t>whatsapp confirmation</t>
  </si>
  <si>
    <t>Ajeesh Puliyani Rappai</t>
  </si>
  <si>
    <t>CM0002140870</t>
  </si>
  <si>
    <t>Husam Elrabie Hassan</t>
  </si>
  <si>
    <t>SUDAN</t>
  </si>
  <si>
    <t>CM0002147479</t>
  </si>
  <si>
    <t>MUHAMMAD ANAS</t>
  </si>
  <si>
    <t>CM0002029985</t>
  </si>
  <si>
    <t>ACTIVATED - RC</t>
  </si>
  <si>
    <t>ANIL SAHADEVAN</t>
  </si>
  <si>
    <t>CM0002030323</t>
  </si>
  <si>
    <t xml:space="preserve">HADIR YOUSRY </t>
  </si>
  <si>
    <t>CM0002034695</t>
  </si>
  <si>
    <t>CORALYN ABUAN</t>
  </si>
  <si>
    <t>CM0002034966</t>
  </si>
  <si>
    <t>UNNIKRISHNAN ADUKKATHI</t>
  </si>
  <si>
    <t>CM0002039846</t>
  </si>
  <si>
    <t>ABDUL HALIM</t>
  </si>
  <si>
    <t>CM0002040633</t>
  </si>
  <si>
    <t xml:space="preserve">JASIM NAZRUT </t>
  </si>
  <si>
    <t>CM0002040790</t>
  </si>
  <si>
    <t>NAVEENKUMAR EDAYILLAM</t>
  </si>
  <si>
    <t>CM0002048696</t>
  </si>
  <si>
    <t>RICEL ALOJADO</t>
  </si>
  <si>
    <t>CM0002054308</t>
  </si>
  <si>
    <t>MOHD MUJIBUL</t>
  </si>
  <si>
    <t>CM0002059858</t>
  </si>
  <si>
    <t>KHALED RAMADAN</t>
  </si>
  <si>
    <t>CM0002061346</t>
  </si>
  <si>
    <t>ASMA GANNOUNI</t>
  </si>
  <si>
    <t>CM0002062209</t>
  </si>
  <si>
    <t>NAUSHAD CHATHOTH</t>
  </si>
  <si>
    <t>CM0002062343</t>
  </si>
  <si>
    <t>PURUSHOTTAM RAJARAN</t>
  </si>
  <si>
    <t>CM0002074116</t>
  </si>
  <si>
    <t>payment due</t>
  </si>
  <si>
    <t>MAJID AKHTAR</t>
  </si>
  <si>
    <t>CM0002079889</t>
  </si>
  <si>
    <t>SANDEEP CHADHA</t>
  </si>
  <si>
    <t>CM0002084414</t>
  </si>
  <si>
    <t>SHARMIN NUSRAT</t>
  </si>
  <si>
    <t>CM0002084425</t>
  </si>
  <si>
    <t>JOSEPH VINOD</t>
  </si>
  <si>
    <t>CM0002084468</t>
  </si>
  <si>
    <t>SHAJU ERUMAKATTUPARAMBIL</t>
  </si>
  <si>
    <t>CM0002084889</t>
  </si>
  <si>
    <t>MAHER ASSEM</t>
  </si>
  <si>
    <t>CM0002084971</t>
  </si>
  <si>
    <t>NABEELA AJMAL</t>
  </si>
  <si>
    <t>CM0002084321</t>
  </si>
  <si>
    <t>AHMAD QAIS</t>
  </si>
  <si>
    <t>CM0002085919</t>
  </si>
  <si>
    <t>AFGHANISTAN</t>
  </si>
  <si>
    <t>ELMOEIZ HIMIDAN</t>
  </si>
  <si>
    <t>CM0002088088</t>
  </si>
  <si>
    <t>RASHID ALI</t>
  </si>
  <si>
    <t>CM0002089156</t>
  </si>
  <si>
    <t>UNITED ARAB</t>
  </si>
  <si>
    <t>HAYATI BARENGO</t>
  </si>
  <si>
    <t>CM0002090995</t>
  </si>
  <si>
    <t>ETHIOPIO</t>
  </si>
  <si>
    <t>DILAKSHAN THARMALINGAM</t>
  </si>
  <si>
    <t>CM0002095850</t>
  </si>
  <si>
    <t>SRI LANKA</t>
  </si>
  <si>
    <t>MONALYN BAUTISTA</t>
  </si>
  <si>
    <t>CM0002096016</t>
  </si>
  <si>
    <t>PAYMENT DUE</t>
  </si>
  <si>
    <t>PHILLIPINES</t>
  </si>
  <si>
    <t>MUMTAJ MIYA</t>
  </si>
  <si>
    <t>CM0002097046</t>
  </si>
  <si>
    <t>REJ BY CM</t>
  </si>
  <si>
    <t>NEPAL</t>
  </si>
  <si>
    <t>AYA MOHAMED</t>
  </si>
  <si>
    <t>CM0002098353</t>
  </si>
  <si>
    <t>PINTU KUMAR</t>
  </si>
  <si>
    <t>CM0002098928</t>
  </si>
  <si>
    <t>india</t>
  </si>
  <si>
    <t>MUHAMMAD ISLAM</t>
  </si>
  <si>
    <t>CM0002101080</t>
  </si>
  <si>
    <t>SYED ABDUL AZIZ</t>
  </si>
  <si>
    <t>CM0002106220</t>
  </si>
  <si>
    <t>YASSER OUAHAB</t>
  </si>
  <si>
    <t>CM0002106917</t>
  </si>
  <si>
    <t>ALGERIA</t>
  </si>
  <si>
    <t>DILEEP CHATHURANGA</t>
  </si>
  <si>
    <t>CM0002108840</t>
  </si>
  <si>
    <t>RET TO DU</t>
  </si>
  <si>
    <t>KRIPAKRISHNA KARUVATH</t>
  </si>
  <si>
    <t>CM0002108933</t>
  </si>
  <si>
    <t>TAUSIF GULAM</t>
  </si>
  <si>
    <t>CM0002109373</t>
  </si>
  <si>
    <t>CM0002109476</t>
  </si>
  <si>
    <t>TATYANA BAGRYANTSEVA</t>
  </si>
  <si>
    <t>CM0002112119</t>
  </si>
  <si>
    <t>KAZAKHSTAN</t>
  </si>
  <si>
    <t>ATTA UR RAHMAN</t>
  </si>
  <si>
    <t>CM0002112438</t>
  </si>
  <si>
    <t>AESHA MOHAMED</t>
  </si>
  <si>
    <t>CM0002112607</t>
  </si>
  <si>
    <t>JUNUI HEA</t>
  </si>
  <si>
    <t>CM0002112698</t>
  </si>
  <si>
    <t>SOUTH KOREA</t>
  </si>
  <si>
    <t>IQBAL ARAKAVEETTIL</t>
  </si>
  <si>
    <t>CM0002112939</t>
  </si>
  <si>
    <t>CM0002113593</t>
  </si>
  <si>
    <t>CF DECEMBER</t>
  </si>
  <si>
    <t>03/01/2025</t>
  </si>
  <si>
    <t>1.70212739</t>
  </si>
  <si>
    <t>#N/A</t>
  </si>
  <si>
    <t>CM0002171915</t>
  </si>
  <si>
    <t>JUGVINDER SINGH RAM SAWROOP</t>
  </si>
  <si>
    <t>199</t>
  </si>
  <si>
    <t>05/01/2025</t>
  </si>
  <si>
    <t>order_cancelled</t>
  </si>
  <si>
    <t>CM0002175930</t>
  </si>
  <si>
    <t>ZAHRA KAMIL</t>
  </si>
  <si>
    <t>06/01/2025</t>
  </si>
  <si>
    <t>1.70288756</t>
  </si>
  <si>
    <t>CM0002177870</t>
  </si>
  <si>
    <t>KAINAT ISHAQ</t>
  </si>
  <si>
    <t/>
  </si>
  <si>
    <t>CM0002166780</t>
  </si>
  <si>
    <t>RAFIQ MIA SOFIQUR RAHMAN</t>
  </si>
  <si>
    <t>299</t>
  </si>
  <si>
    <t>CM0002165443</t>
  </si>
  <si>
    <t>RAMA YASIR ALABDO</t>
  </si>
  <si>
    <t>07/01/2025</t>
  </si>
  <si>
    <t>1.70305178</t>
  </si>
  <si>
    <t>CM0002178695</t>
  </si>
  <si>
    <t>RINGQU ALI</t>
  </si>
  <si>
    <t>08/01/2025</t>
  </si>
  <si>
    <t>1.70343577</t>
  </si>
  <si>
    <t>CM0002182055</t>
  </si>
  <si>
    <t>RAIAN HEMIDAN</t>
  </si>
  <si>
    <t>17/01/2025</t>
  </si>
  <si>
    <t>1.33403156</t>
  </si>
  <si>
    <t>CM0002198909</t>
  </si>
  <si>
    <t>SAKTHIVEL MURUGAN</t>
  </si>
  <si>
    <t>27/01/2025</t>
  </si>
  <si>
    <t>1.61879258</t>
  </si>
  <si>
    <t>CM0002220049</t>
  </si>
  <si>
    <t>RASHID KHALIL</t>
  </si>
  <si>
    <t>28/01/2025</t>
  </si>
  <si>
    <t>1.70944958</t>
  </si>
  <si>
    <t>CM0002222633</t>
  </si>
  <si>
    <t>SAMIR AKHALAK</t>
  </si>
  <si>
    <t>1.70948566</t>
  </si>
  <si>
    <t>CM0002223088</t>
  </si>
  <si>
    <t>SAJIDUNISA ASLAM</t>
  </si>
  <si>
    <t>29/01/2025</t>
  </si>
  <si>
    <t>1.7097672</t>
  </si>
  <si>
    <t>CM0002225617</t>
  </si>
  <si>
    <t>31/01/2025</t>
  </si>
  <si>
    <t>1.42346025</t>
  </si>
  <si>
    <t>CM0002229977</t>
  </si>
  <si>
    <t>MAHNAZ NOUROLLAH</t>
  </si>
  <si>
    <t>1.71032828</t>
  </si>
  <si>
    <t>CM0002230235</t>
  </si>
  <si>
    <t>SHAHZAD KHAN MALIK</t>
  </si>
  <si>
    <t>1.71033378</t>
  </si>
  <si>
    <t>CM0002230521</t>
  </si>
  <si>
    <t>2/18/2025</t>
  </si>
  <si>
    <t>IRFAN MUBARIK</t>
  </si>
  <si>
    <t>CM0002271710</t>
  </si>
  <si>
    <t>1.71612953</t>
  </si>
  <si>
    <t>MUZAMMIL HASSAN</t>
  </si>
  <si>
    <t>CM0002271027</t>
  </si>
  <si>
    <t>1.71623013</t>
  </si>
  <si>
    <t>AMNA AHMED</t>
  </si>
  <si>
    <t>CM0002269009</t>
  </si>
  <si>
    <t>1.69928488</t>
  </si>
  <si>
    <t>2/17/2025</t>
  </si>
  <si>
    <t>NAHID HASAN</t>
  </si>
  <si>
    <t>CM0002240819</t>
  </si>
  <si>
    <t>1.71174384</t>
  </si>
  <si>
    <t>AISHA OMARA</t>
  </si>
  <si>
    <t>CM0002238848</t>
  </si>
  <si>
    <t>1.46534671</t>
  </si>
  <si>
    <t>2/3/2025</t>
  </si>
  <si>
    <t>SOURAV KATTIKKLOTH</t>
  </si>
  <si>
    <t>CM0002236061</t>
  </si>
  <si>
    <t>1.71110925</t>
  </si>
  <si>
    <t>2/1/2025</t>
  </si>
  <si>
    <t>ALWIN PAULY</t>
  </si>
  <si>
    <t>CM0002232441</t>
  </si>
  <si>
    <t>1.71065087</t>
  </si>
  <si>
    <t>AC DATE</t>
  </si>
  <si>
    <t>AC</t>
  </si>
  <si>
    <t>Agent Name Date</t>
  </si>
  <si>
    <t>Shadi Saad Allh</t>
  </si>
  <si>
    <t>CM0002173846</t>
  </si>
  <si>
    <t>Whatsapp Confirmation</t>
  </si>
  <si>
    <t>Muayad Mujir</t>
  </si>
  <si>
    <t>CM0002215720</t>
  </si>
  <si>
    <t>Safdar Ali Thekke</t>
  </si>
  <si>
    <t>CM0002220962</t>
  </si>
  <si>
    <t>Jasheer Maliyakkal</t>
  </si>
  <si>
    <t>CM0002230467</t>
  </si>
  <si>
    <t>NATIONALITY</t>
  </si>
  <si>
    <t>EMIRATES ID</t>
  </si>
  <si>
    <t>CONTACT NUMBER</t>
  </si>
  <si>
    <t>SUB AGENT</t>
  </si>
  <si>
    <t>VALIDATION STATUS0</t>
  </si>
  <si>
    <t>ACCOUNT NUMBER</t>
  </si>
  <si>
    <t>Helay Farooqi Siddiq</t>
  </si>
  <si>
    <t>CM0002253272</t>
  </si>
  <si>
    <t>Faizan</t>
  </si>
  <si>
    <t>Shreya</t>
  </si>
  <si>
    <t>CM0002253256</t>
  </si>
  <si>
    <t>Irfan Mubarak</t>
  </si>
  <si>
    <t>CM0002270509</t>
  </si>
  <si>
    <t>Not Validated-Processed</t>
  </si>
  <si>
    <t>Muzammil Hassan</t>
  </si>
  <si>
    <t>CM0002272060</t>
  </si>
  <si>
    <t>Nar Bahadur</t>
  </si>
  <si>
    <t>Nepal</t>
  </si>
  <si>
    <t>CM0002273790</t>
  </si>
  <si>
    <t>Kanchirathingal Abdul</t>
  </si>
  <si>
    <t>CM0002278947</t>
  </si>
  <si>
    <t>Mohamed Fathelalim</t>
  </si>
  <si>
    <t>Sudan</t>
  </si>
  <si>
    <t>CM0002276313</t>
  </si>
  <si>
    <t>validated</t>
  </si>
  <si>
    <t>Fredaws Salem</t>
  </si>
  <si>
    <t>yemen</t>
  </si>
  <si>
    <t>CM0002251779</t>
  </si>
  <si>
    <t>Subbu Rehman Abdul</t>
  </si>
  <si>
    <t>CM0002251362</t>
  </si>
  <si>
    <t>WAFAA LWAH</t>
  </si>
  <si>
    <t>SYRIAN</t>
  </si>
  <si>
    <t>CM0002238340</t>
  </si>
  <si>
    <t xml:space="preserve">SYRIAN </t>
  </si>
  <si>
    <t>CM0002254083</t>
  </si>
  <si>
    <t>ZINASH WEREDE</t>
  </si>
  <si>
    <t>CM0002255829</t>
  </si>
  <si>
    <t>Ola Alieldin Omar Ahmed</t>
  </si>
  <si>
    <t xml:space="preserve">EGYPT </t>
  </si>
  <si>
    <t>CM0002257827</t>
  </si>
  <si>
    <t>HASSAN BIN AMER</t>
  </si>
  <si>
    <t>CM0002264912</t>
  </si>
  <si>
    <t>Nadia Talha Abu</t>
  </si>
  <si>
    <t xml:space="preserve">PAKISTAN </t>
  </si>
  <si>
    <t>CM0002287861</t>
  </si>
  <si>
    <t>Jibril Mutesasira</t>
  </si>
  <si>
    <t>UGANDA</t>
  </si>
  <si>
    <t>CM0002291137</t>
  </si>
  <si>
    <t>Alaa Mohamed Rabie</t>
  </si>
  <si>
    <t>CM0002292762</t>
  </si>
  <si>
    <t>Imran Khan</t>
  </si>
  <si>
    <t>CM0002293722</t>
  </si>
  <si>
    <t>Anvar Sadiq</t>
  </si>
  <si>
    <t>CM0002293816</t>
  </si>
  <si>
    <t>Vattathode Mecheri Sreejith</t>
  </si>
  <si>
    <t>CM0002294464</t>
  </si>
  <si>
    <t>Nihitha Manoj Ramdas</t>
  </si>
  <si>
    <t>CM0002296417</t>
  </si>
  <si>
    <t>saeed</t>
  </si>
  <si>
    <t>Mohamad M Bashar</t>
  </si>
  <si>
    <t>CM0002303611</t>
  </si>
  <si>
    <t>Shahir Mundakaparamban</t>
  </si>
  <si>
    <t>CM0002308719</t>
  </si>
  <si>
    <t>Alice Wanjiru</t>
  </si>
  <si>
    <t>CM0002314044</t>
  </si>
  <si>
    <t>HASSAN IBRAHIM</t>
  </si>
  <si>
    <t>CM0002314277</t>
  </si>
  <si>
    <t>Koran Miya</t>
  </si>
  <si>
    <t>CM0002321658</t>
  </si>
  <si>
    <r>
      <rPr>
        <sz val="11"/>
        <color rgb="FF3B3D3D"/>
        <rFont val="Arial"/>
        <family val="2"/>
      </rPr>
      <t>HW 199</t>
    </r>
  </si>
  <si>
    <r>
      <rPr>
        <sz val="11"/>
        <color rgb="FF3B3D3D"/>
        <rFont val="Arial"/>
        <family val="2"/>
      </rPr>
      <t>Akm</t>
    </r>
    <r>
      <rPr>
        <sz val="11"/>
        <color rgb="FF030505"/>
        <rFont val="Arial"/>
        <family val="2"/>
      </rPr>
      <t>a</t>
    </r>
    <r>
      <rPr>
        <sz val="11"/>
        <color rgb="FF828583"/>
        <rFont val="Arial"/>
        <family val="2"/>
      </rPr>
      <t>l</t>
    </r>
    <r>
      <rPr>
        <sz val="11"/>
        <color rgb="FF3B3D3D"/>
        <rFont val="Times New Roman"/>
        <family val="1"/>
      </rPr>
      <t>Sajj</t>
    </r>
    <r>
      <rPr>
        <sz val="11"/>
        <color rgb="FF262628"/>
        <rFont val="Arial"/>
        <family val="2"/>
      </rPr>
      <t>ad</t>
    </r>
  </si>
  <si>
    <r>
      <rPr>
        <sz val="11"/>
        <color rgb="FF3B3D3D"/>
        <rFont val="Arial"/>
        <family val="2"/>
      </rPr>
      <t>H</t>
    </r>
    <r>
      <rPr>
        <sz val="11"/>
        <color rgb="FF525754"/>
        <rFont val="Arial"/>
        <family val="2"/>
      </rPr>
      <t xml:space="preserve">W </t>
    </r>
    <r>
      <rPr>
        <sz val="11"/>
        <color rgb="FF262628"/>
        <rFont val="Arial"/>
        <family val="2"/>
      </rPr>
      <t>199</t>
    </r>
  </si>
  <si>
    <r>
      <rPr>
        <sz val="11"/>
        <color rgb="FF3B3D3D"/>
        <rFont val="Arial"/>
        <family val="2"/>
      </rPr>
      <t>M</t>
    </r>
    <r>
      <rPr>
        <sz val="11"/>
        <color rgb="FF030505"/>
        <rFont val="Arial"/>
        <family val="2"/>
      </rPr>
      <t>a</t>
    </r>
    <r>
      <rPr>
        <sz val="11"/>
        <color rgb="FF3B3D3D"/>
        <rFont val="Arial"/>
        <family val="2"/>
      </rPr>
      <t>gd</t>
    </r>
    <r>
      <rPr>
        <sz val="11"/>
        <color rgb="FF828583"/>
        <rFont val="Arial"/>
        <family val="2"/>
      </rPr>
      <t>i</t>
    </r>
    <r>
      <rPr>
        <sz val="11"/>
        <color rgb="FF3B3D3D"/>
        <rFont val="Arial"/>
        <family val="2"/>
      </rPr>
      <t>Saad</t>
    </r>
  </si>
  <si>
    <r>
      <rPr>
        <b/>
        <sz val="12"/>
        <color rgb="FF525754"/>
        <rFont val="Arial"/>
        <family val="2"/>
      </rPr>
      <t>Bl</t>
    </r>
    <r>
      <rPr>
        <b/>
        <sz val="12"/>
        <color rgb="FF030505"/>
        <rFont val="Arial"/>
        <family val="2"/>
      </rPr>
      <t>es</t>
    </r>
    <r>
      <rPr>
        <b/>
        <sz val="12"/>
        <color rgb="FF262628"/>
        <rFont val="Arial"/>
        <family val="2"/>
      </rPr>
      <t>sAdz</t>
    </r>
    <r>
      <rPr>
        <b/>
        <sz val="12"/>
        <color rgb="FF828583"/>
        <rFont val="Arial"/>
        <family val="2"/>
      </rPr>
      <t>i</t>
    </r>
    <r>
      <rPr>
        <b/>
        <sz val="12"/>
        <color rgb="FF3B3D3D"/>
        <rFont val="Arial"/>
        <family val="2"/>
      </rPr>
      <t>kah</t>
    </r>
  </si>
  <si>
    <r>
      <rPr>
        <sz val="11"/>
        <color rgb="FF3B3D3D"/>
        <rFont val="Arial"/>
        <family val="2"/>
      </rPr>
      <t>HW199</t>
    </r>
  </si>
  <si>
    <r>
      <rPr>
        <sz val="11"/>
        <color rgb="FF3B3D3D"/>
        <rFont val="Arial"/>
        <family val="2"/>
      </rPr>
      <t>Mahmoud Hela</t>
    </r>
    <r>
      <rPr>
        <sz val="11"/>
        <color rgb="FF828583"/>
        <rFont val="Arial"/>
        <family val="2"/>
      </rPr>
      <t>l</t>
    </r>
  </si>
  <si>
    <r>
      <rPr>
        <b/>
        <sz val="12"/>
        <color rgb="FF3B3D3D"/>
        <rFont val="Arial"/>
        <family val="2"/>
      </rPr>
      <t>Hussein Zakar</t>
    </r>
    <r>
      <rPr>
        <b/>
        <sz val="12"/>
        <color rgb="FF828583"/>
        <rFont val="Arial"/>
        <family val="2"/>
      </rPr>
      <t>i</t>
    </r>
    <r>
      <rPr>
        <b/>
        <sz val="12"/>
        <color rgb="FF262628"/>
        <rFont val="Arial"/>
        <family val="2"/>
      </rPr>
      <t>a</t>
    </r>
  </si>
  <si>
    <r>
      <rPr>
        <b/>
        <sz val="12"/>
        <color rgb="FF3B3D3D"/>
        <rFont val="Arial"/>
        <family val="2"/>
      </rPr>
      <t>Sar</t>
    </r>
    <r>
      <rPr>
        <b/>
        <sz val="12"/>
        <color rgb="FF828583"/>
        <rFont val="Arial"/>
        <family val="2"/>
      </rPr>
      <t>i</t>
    </r>
    <r>
      <rPr>
        <b/>
        <sz val="12"/>
        <color rgb="FF3B3D3D"/>
        <rFont val="Arial"/>
        <family val="2"/>
      </rPr>
      <t>tha Rena</t>
    </r>
  </si>
  <si>
    <t>SR</t>
  </si>
  <si>
    <t>Oder Number</t>
  </si>
  <si>
    <t>Mohamed Abdellatif</t>
  </si>
  <si>
    <t>HW 199</t>
  </si>
  <si>
    <t>Bader Ismaeel</t>
  </si>
  <si>
    <t>Syed Shah Azim</t>
  </si>
  <si>
    <t>Kouser Shaheen</t>
  </si>
  <si>
    <t>MD Surot Miah</t>
  </si>
  <si>
    <t>Abhishek kumar</t>
  </si>
  <si>
    <t>Sivakumar Sree</t>
  </si>
  <si>
    <t>Arumugam Harikrishnan</t>
  </si>
  <si>
    <t>Omar Bakkar</t>
  </si>
  <si>
    <t>Dod Mir</t>
  </si>
  <si>
    <t>PDF 350</t>
  </si>
  <si>
    <r>
      <rPr>
        <b/>
        <sz val="10"/>
        <color rgb="FF3D3D3D"/>
        <rFont val="Arial"/>
        <family val="2"/>
      </rPr>
      <t xml:space="preserve">Ahme:t </t>
    </r>
    <r>
      <rPr>
        <b/>
        <sz val="10"/>
        <color rgb="FF545654"/>
        <rFont val="Arial"/>
        <family val="2"/>
      </rPr>
      <t>EJen</t>
    </r>
    <r>
      <rPr>
        <b/>
        <sz val="10"/>
        <color rgb="FF2A2A2A"/>
        <rFont val="Arial"/>
        <family val="2"/>
      </rPr>
      <t>am</t>
    </r>
  </si>
  <si>
    <r>
      <rPr>
        <sz val="9"/>
        <color rgb="FF3D3D3D"/>
        <rFont val="Arial"/>
        <family val="2"/>
      </rPr>
      <t>HW 199</t>
    </r>
  </si>
  <si>
    <r>
      <rPr>
        <b/>
        <sz val="10"/>
        <color rgb="FF3D3D3D"/>
        <rFont val="Times New Roman"/>
        <family val="1"/>
      </rPr>
      <t>Ash</t>
    </r>
    <r>
      <rPr>
        <b/>
        <sz val="10"/>
        <color rgb="FF7E827E"/>
        <rFont val="Times New Roman"/>
        <family val="1"/>
      </rPr>
      <t>i</t>
    </r>
    <r>
      <rPr>
        <b/>
        <sz val="10"/>
        <color rgb="FF2A2A2A"/>
        <rFont val="Times New Roman"/>
        <family val="1"/>
      </rPr>
      <t xml:space="preserve">que </t>
    </r>
    <r>
      <rPr>
        <b/>
        <sz val="10"/>
        <color rgb="FF3D3D3D"/>
        <rFont val="Times New Roman"/>
        <family val="1"/>
      </rPr>
      <t>Mukkr</t>
    </r>
    <r>
      <rPr>
        <b/>
        <sz val="10"/>
        <color rgb="FF7E827E"/>
        <rFont val="Times New Roman"/>
        <family val="1"/>
      </rPr>
      <t>i</t>
    </r>
  </si>
  <si>
    <r>
      <rPr>
        <b/>
        <sz val="10"/>
        <color rgb="FF3D3D3D"/>
        <rFont val="Times New Roman"/>
        <family val="1"/>
      </rPr>
      <t>Ad</t>
    </r>
    <r>
      <rPr>
        <b/>
        <sz val="10"/>
        <color rgb="FF7E827E"/>
        <rFont val="Times New Roman"/>
        <family val="1"/>
      </rPr>
      <t>i</t>
    </r>
    <r>
      <rPr>
        <b/>
        <sz val="10"/>
        <color rgb="FF2A2A2A"/>
        <rFont val="Times New Roman"/>
        <family val="1"/>
      </rPr>
      <t xml:space="preserve">ti </t>
    </r>
    <r>
      <rPr>
        <b/>
        <sz val="10"/>
        <color rgb="FF3D3D3D"/>
        <rFont val="Times New Roman"/>
        <family val="1"/>
      </rPr>
      <t>Mehendru</t>
    </r>
  </si>
  <si>
    <r>
      <rPr>
        <sz val="10"/>
        <color rgb="FF3D3D3D"/>
        <rFont val="Times New Roman"/>
        <family val="1"/>
      </rPr>
      <t>MDA</t>
    </r>
    <r>
      <rPr>
        <sz val="10"/>
        <color rgb="FF7E827E"/>
        <rFont val="Times New Roman"/>
        <family val="1"/>
      </rPr>
      <t xml:space="preserve">l </t>
    </r>
    <r>
      <rPr>
        <sz val="10"/>
        <color rgb="FF3D3D3D"/>
        <rFont val="Times New Roman"/>
        <family val="1"/>
      </rPr>
      <t>Am</t>
    </r>
    <r>
      <rPr>
        <sz val="10"/>
        <color rgb="FF7E827E"/>
        <rFont val="Times New Roman"/>
        <family val="1"/>
      </rPr>
      <t>i</t>
    </r>
    <r>
      <rPr>
        <sz val="10"/>
        <color rgb="FF2A2A2A"/>
        <rFont val="Times New Roman"/>
        <family val="1"/>
      </rPr>
      <t>n</t>
    </r>
  </si>
  <si>
    <r>
      <rPr>
        <b/>
        <sz val="10"/>
        <color rgb="FF3D3D3D"/>
        <rFont val="Arial"/>
        <family val="2"/>
      </rPr>
      <t>Ch</t>
    </r>
    <r>
      <rPr>
        <b/>
        <sz val="10"/>
        <color rgb="FF7E827E"/>
        <rFont val="Arial"/>
        <family val="2"/>
      </rPr>
      <t>i</t>
    </r>
    <r>
      <rPr>
        <b/>
        <sz val="10"/>
        <color rgb="FF2A2A2A"/>
        <rFont val="Arial"/>
        <family val="2"/>
      </rPr>
      <t>ndu</t>
    </r>
    <r>
      <rPr>
        <b/>
        <sz val="10"/>
        <color rgb="FF3D3D3D"/>
        <rFont val="Arial"/>
        <family val="2"/>
      </rPr>
      <t>Chand</t>
    </r>
    <r>
      <rPr>
        <b/>
        <sz val="10"/>
        <color rgb="FF2A2A2A"/>
        <rFont val="Arial"/>
        <family val="2"/>
      </rPr>
      <t>ran</t>
    </r>
  </si>
  <si>
    <t>Li wang</t>
  </si>
  <si>
    <t>CM0002323386</t>
  </si>
  <si>
    <t>Muhammad Murtaza</t>
  </si>
  <si>
    <t>CM0002326106</t>
  </si>
  <si>
    <t>Maryam Ebrahim</t>
  </si>
  <si>
    <t>CM0002326072</t>
  </si>
  <si>
    <t>Amani Jehad</t>
  </si>
  <si>
    <t>CM0002328167</t>
  </si>
  <si>
    <t>Mohammad Mistar Ali</t>
  </si>
  <si>
    <t>CM0002331131</t>
  </si>
  <si>
    <t>Muthu Rengasamy</t>
  </si>
  <si>
    <t>CM0002331013</t>
  </si>
  <si>
    <t>Dhanya sukesh</t>
  </si>
  <si>
    <t>CM0002332824</t>
  </si>
  <si>
    <t>Mohammed Sakil Gori</t>
  </si>
  <si>
    <t>CM0002332135</t>
  </si>
  <si>
    <t>Amr Ahmed Mohamed</t>
  </si>
  <si>
    <t>558130971/566646983</t>
  </si>
  <si>
    <t>CM0002343276</t>
  </si>
  <si>
    <t>Hafiz Pattambila</t>
  </si>
  <si>
    <t>558130971/563405029</t>
  </si>
  <si>
    <t>CM0002341243</t>
  </si>
  <si>
    <t>Amr Abdelhalik Mahmoud</t>
  </si>
  <si>
    <t>CM0002360374</t>
  </si>
  <si>
    <r>
      <rPr>
        <sz val="9"/>
        <color rgb="FF545654"/>
        <rFont val="Arial"/>
        <family val="2"/>
      </rPr>
      <t xml:space="preserve">HW </t>
    </r>
    <r>
      <rPr>
        <sz val="9"/>
        <color rgb="FF2A2A2A"/>
        <rFont val="Arial"/>
        <family val="2"/>
      </rPr>
      <t>199</t>
    </r>
  </si>
  <si>
    <t xml:space="preserve">Akmal Hossain </t>
  </si>
  <si>
    <t>Bangladesh</t>
  </si>
  <si>
    <t>CM0002381686</t>
  </si>
  <si>
    <t>y</t>
  </si>
  <si>
    <t>Mohamed Hassan Ibrahim</t>
  </si>
  <si>
    <t>Egypt</t>
  </si>
  <si>
    <t>CM0002384171</t>
  </si>
  <si>
    <t>Jithin Dev Arayath</t>
  </si>
  <si>
    <t>CM0002389205</t>
  </si>
  <si>
    <t>Heba Hamdy</t>
  </si>
  <si>
    <t>CM0002395118</t>
  </si>
  <si>
    <t>Senthamil Selvan</t>
  </si>
  <si>
    <t>CM0002398012</t>
  </si>
  <si>
    <t>Rafi Mohammed Abdul</t>
  </si>
  <si>
    <t>CM0002408453</t>
  </si>
  <si>
    <t>Pearlin Plus Manjaly</t>
  </si>
  <si>
    <t>CM0002407840</t>
  </si>
  <si>
    <t>Wajid Ali Gul</t>
  </si>
  <si>
    <t>CM0002407877</t>
  </si>
  <si>
    <t>RC_HW</t>
  </si>
  <si>
    <t>Farhan Tariq Muhammad</t>
  </si>
  <si>
    <t>CM0002412774</t>
  </si>
  <si>
    <t>Farihan Abdullah</t>
  </si>
  <si>
    <t>Saudi Arabia</t>
  </si>
  <si>
    <t>CM0002411768</t>
  </si>
  <si>
    <t xml:space="preserve">RAWAN ESSAM ABDELMONEIM </t>
  </si>
  <si>
    <t>CM0002414707</t>
  </si>
  <si>
    <t>FADI WADAH SHAKER</t>
  </si>
  <si>
    <t>IRAQ</t>
  </si>
  <si>
    <t>CM0002413360</t>
  </si>
  <si>
    <t>Hassan Idris Abdalla</t>
  </si>
  <si>
    <t>CM0002415686</t>
  </si>
  <si>
    <t>Fatma Mohamed Moamen</t>
  </si>
  <si>
    <t>CM0002415330</t>
  </si>
  <si>
    <t>not validated</t>
  </si>
  <si>
    <t>Elbagir Nasredin</t>
  </si>
  <si>
    <t>CM0002418835</t>
  </si>
  <si>
    <t>VALIDATION STATUS</t>
  </si>
  <si>
    <t>Account Number</t>
  </si>
  <si>
    <t>Sunain Tariq</t>
  </si>
  <si>
    <t>CM0002422643</t>
  </si>
  <si>
    <t>IBRAHIM</t>
  </si>
  <si>
    <t>CM0002424433</t>
  </si>
  <si>
    <t>George Valukuttiyil</t>
  </si>
  <si>
    <t>CM0002423086</t>
  </si>
  <si>
    <t>Jubin Dany</t>
  </si>
  <si>
    <t>CM0002426158</t>
  </si>
  <si>
    <t>Jessica Aziz Salam</t>
  </si>
  <si>
    <t>Lebanon</t>
  </si>
  <si>
    <t>CM0002436397</t>
  </si>
  <si>
    <t>Hatim Murtuza</t>
  </si>
  <si>
    <t>CM0002453346</t>
  </si>
  <si>
    <t xml:space="preserve">Ali Sarfaraz </t>
  </si>
  <si>
    <t>CM0002462987</t>
  </si>
  <si>
    <t>Abdul Siraj Mohammed</t>
  </si>
  <si>
    <t>CM0002465016</t>
  </si>
  <si>
    <t>CM0002465018</t>
  </si>
  <si>
    <t>Amrutheswary Palakkottil</t>
  </si>
  <si>
    <t>CM0002468725</t>
  </si>
  <si>
    <t>Anwar Hossain Nurul</t>
  </si>
  <si>
    <t>CM0002478214</t>
  </si>
  <si>
    <t>VALIDATED</t>
  </si>
  <si>
    <t>Mohamed Naiam Mohamed</t>
  </si>
  <si>
    <t>CM0002489422</t>
  </si>
  <si>
    <t xml:space="preserve">Dinese Josed Thomas </t>
  </si>
  <si>
    <t>CM0002492316</t>
  </si>
  <si>
    <t>SN</t>
  </si>
  <si>
    <r>
      <rPr>
        <b/>
        <sz val="12"/>
        <color rgb="FFFFFFFF"/>
        <rFont val="Calibri"/>
        <family val="2"/>
      </rPr>
      <t>Date</t>
    </r>
  </si>
  <si>
    <r>
      <rPr>
        <b/>
        <sz val="12"/>
        <color rgb="FFFFFFFF"/>
        <rFont val="Calibri"/>
        <family val="2"/>
        <scheme val="minor"/>
      </rPr>
      <t>Customer Name</t>
    </r>
  </si>
  <si>
    <t>CM Contact Number</t>
  </si>
  <si>
    <r>
      <rPr>
        <b/>
        <sz val="12"/>
        <color rgb="FFFFFFFF"/>
        <rFont val="Calibri"/>
        <family val="2"/>
      </rPr>
      <t>Plan</t>
    </r>
  </si>
  <si>
    <r>
      <rPr>
        <b/>
        <sz val="12"/>
        <color rgb="FFFFFFFF"/>
        <rFont val="Calibri"/>
        <family val="2"/>
      </rPr>
      <t>Order ID</t>
    </r>
  </si>
  <si>
    <r>
      <rPr>
        <b/>
        <sz val="12"/>
        <color rgb="FFFFFFFF"/>
        <rFont val="Calibri"/>
        <family val="2"/>
      </rPr>
      <t>AGENT</t>
    </r>
  </si>
  <si>
    <t>ACCOUNT</t>
  </si>
  <si>
    <r>
      <rPr>
        <b/>
        <sz val="12"/>
        <color rgb="FFFFFFFF"/>
        <rFont val="Calibri"/>
        <family val="2"/>
      </rPr>
      <t>STATUS</t>
    </r>
  </si>
  <si>
    <r>
      <rPr>
        <b/>
        <sz val="12"/>
        <color rgb="FFFFFFFF"/>
        <rFont val="Calibri"/>
        <family val="2"/>
      </rPr>
      <t>DELIVERED DATE</t>
    </r>
  </si>
  <si>
    <t>FINAL RAMARKS</t>
  </si>
  <si>
    <t>UPUL BOTHEJU</t>
  </si>
  <si>
    <t>971552838738</t>
  </si>
  <si>
    <t>CM0002476700</t>
  </si>
  <si>
    <t>TAUSEEF MANSOOR</t>
  </si>
  <si>
    <t>971502831634</t>
  </si>
  <si>
    <t>CM0002477064</t>
  </si>
  <si>
    <t>DULAJ DUSHANTHA</t>
  </si>
  <si>
    <t>971554113836</t>
  </si>
  <si>
    <t>CM0002477076</t>
  </si>
  <si>
    <t>AHMED SOBHI AHMED</t>
  </si>
  <si>
    <t>971559089520</t>
  </si>
  <si>
    <t>CM0002479019</t>
  </si>
  <si>
    <t>NASIR MOHAMED ALI</t>
  </si>
  <si>
    <t>971506959869</t>
  </si>
  <si>
    <t>CM0002479155</t>
  </si>
  <si>
    <t>ANWAR HOSSAIN</t>
  </si>
  <si>
    <t>971566217579</t>
  </si>
  <si>
    <t>CM0002479847</t>
  </si>
  <si>
    <t>CM0002480007</t>
  </si>
  <si>
    <t>MOHAMED YOUSRY ABD</t>
  </si>
  <si>
    <t>971558891239</t>
  </si>
  <si>
    <t>CM0002480088</t>
  </si>
  <si>
    <t xml:space="preserve">RASHMITA JAY KUMAR </t>
  </si>
  <si>
    <t>971552885938</t>
  </si>
  <si>
    <t>CM0002482716</t>
  </si>
  <si>
    <t>SEWMINI DISNIKA NAPE</t>
  </si>
  <si>
    <t>971563411390</t>
  </si>
  <si>
    <t>CM0002482877</t>
  </si>
  <si>
    <t>FINNY THOMAS THOMAS</t>
  </si>
  <si>
    <t>971555132711</t>
  </si>
  <si>
    <t>CM0002488997</t>
  </si>
  <si>
    <t>SUMAYIA ATHANIKKAL</t>
  </si>
  <si>
    <t>971545506121</t>
  </si>
  <si>
    <t>CM0002490972</t>
  </si>
  <si>
    <t xml:space="preserve">Deativated </t>
  </si>
  <si>
    <t>Mahmoud Ibrahim Tahseen</t>
  </si>
  <si>
    <t>Jordan</t>
  </si>
  <si>
    <t>CM0002436822</t>
  </si>
  <si>
    <t>Deepak Sharma Dharamveer</t>
  </si>
  <si>
    <t>CM0002437592</t>
  </si>
  <si>
    <t>Khalid Chafi</t>
  </si>
  <si>
    <t>Morocco</t>
  </si>
  <si>
    <t>CM0002452443</t>
  </si>
  <si>
    <t>Qamearuddin Abdul Kadir</t>
  </si>
  <si>
    <t>CM0002457086</t>
  </si>
  <si>
    <t>Adnan Manzoor</t>
  </si>
  <si>
    <t>CM0002462761</t>
  </si>
  <si>
    <t>Majid Saif Khalfan Alshaer</t>
  </si>
  <si>
    <t>UAE</t>
  </si>
  <si>
    <t>CM0002475236</t>
  </si>
  <si>
    <t>NADEERA MALINGA</t>
  </si>
  <si>
    <t>971543436328</t>
  </si>
  <si>
    <t>CM0002426255</t>
  </si>
  <si>
    <t>KHALIFA ESSA</t>
  </si>
  <si>
    <t>971502775502</t>
  </si>
  <si>
    <t>CM0002427022</t>
  </si>
  <si>
    <t>MOHAMMED ALI ADAM</t>
  </si>
  <si>
    <t>971503151141</t>
  </si>
  <si>
    <t>CM0002428193</t>
  </si>
  <si>
    <t>KH SHOAIB IBNE ZAMAN</t>
  </si>
  <si>
    <t>971509147141</t>
  </si>
  <si>
    <t>CM0002434730</t>
  </si>
  <si>
    <t>HASSAN SALAM</t>
  </si>
  <si>
    <t>971524233327</t>
  </si>
  <si>
    <t>CM0002435320</t>
  </si>
  <si>
    <t>JESSICA AZIZ SALAM</t>
  </si>
  <si>
    <t>971586888270</t>
  </si>
  <si>
    <t>CM0002436414</t>
  </si>
  <si>
    <t>HAROON RAB</t>
  </si>
  <si>
    <t>971503599541</t>
  </si>
  <si>
    <t>CM0002439893</t>
  </si>
  <si>
    <t>Hashim Valiyakath</t>
  </si>
  <si>
    <t>CM0002499355</t>
  </si>
  <si>
    <t>Zahra Muhammad Ramzan Muhammad</t>
  </si>
  <si>
    <t>CM0002498827</t>
  </si>
  <si>
    <t>Samah Hassan Abdelgadir</t>
  </si>
  <si>
    <t>sudan</t>
  </si>
  <si>
    <t>CM0002504095</t>
  </si>
  <si>
    <t>Shaju Mamoo Cherikkal</t>
  </si>
  <si>
    <t>CM0002507286</t>
  </si>
  <si>
    <t>Rahul shori Ashwini</t>
  </si>
  <si>
    <t>CM0002510966</t>
  </si>
  <si>
    <t>Azher Khan Dastagir</t>
  </si>
  <si>
    <t>CM0002512315</t>
  </si>
  <si>
    <t>Marie Jowin</t>
  </si>
  <si>
    <t>Philippines</t>
  </si>
  <si>
    <t>CM0002515041</t>
  </si>
  <si>
    <t>Luke Tinkler</t>
  </si>
  <si>
    <t>INZ-TAAWUN</t>
  </si>
  <si>
    <t>1-7BPQOBV1</t>
  </si>
  <si>
    <t>1-574050214011</t>
  </si>
  <si>
    <t>Sr No</t>
  </si>
  <si>
    <t>Contact No</t>
  </si>
  <si>
    <t>ACCOUNT NO</t>
  </si>
  <si>
    <t>Net Act</t>
  </si>
  <si>
    <t>MOHSIN HASAN</t>
  </si>
  <si>
    <t>CM0002524625</t>
  </si>
  <si>
    <t>Activated</t>
  </si>
  <si>
    <t>AHMED ABDULLAH</t>
  </si>
  <si>
    <t>CM0002525418</t>
  </si>
  <si>
    <t>MUHAMMAD AWAIS</t>
  </si>
  <si>
    <t>CM0002525823</t>
  </si>
  <si>
    <t>AIDA RAHMALLA</t>
  </si>
  <si>
    <t>CM0002525907</t>
  </si>
  <si>
    <t>MUHAMMAD ZAHEEN</t>
  </si>
  <si>
    <t>CM0002526349</t>
  </si>
  <si>
    <t>FATIMA MOHSIN</t>
  </si>
  <si>
    <t>CM0002526478</t>
  </si>
  <si>
    <t>HAIDER ALI</t>
  </si>
  <si>
    <t>CM0002527180</t>
  </si>
  <si>
    <t>MOHAMMAD PARVAS</t>
  </si>
  <si>
    <t>CM0002527603</t>
  </si>
  <si>
    <t>SAMAH AHMED</t>
  </si>
  <si>
    <t>CM0002528964</t>
  </si>
  <si>
    <t>WASEEM ABBAS</t>
  </si>
  <si>
    <t>CM0002529124</t>
  </si>
  <si>
    <t>EMAN IBRAHIM</t>
  </si>
  <si>
    <t>CM0002533940</t>
  </si>
  <si>
    <t>EHSAN AVAZ</t>
  </si>
  <si>
    <t>CM0002535268</t>
  </si>
  <si>
    <t>FOZIR UDDIN</t>
  </si>
  <si>
    <t>CM0002537252</t>
  </si>
  <si>
    <t>SHERIF FARAG</t>
  </si>
  <si>
    <t>CM0002540530</t>
  </si>
  <si>
    <t>07-13-2025</t>
  </si>
  <si>
    <t>KIROLLOS KAMIL</t>
  </si>
  <si>
    <t>CM0002542757</t>
  </si>
  <si>
    <t>SULTAN NASIR</t>
  </si>
  <si>
    <t>CM0002543217</t>
  </si>
  <si>
    <t>07-15-2025</t>
  </si>
  <si>
    <t>HAZRAT ALI</t>
  </si>
  <si>
    <t>CM0002546590</t>
  </si>
  <si>
    <t>07-16-2025</t>
  </si>
  <si>
    <t>MD MOQBUL HOSSEN</t>
  </si>
  <si>
    <t>CM0002547312</t>
  </si>
  <si>
    <t>METTILDA SAGAYARAJ</t>
  </si>
  <si>
    <t>CM0002548101</t>
  </si>
  <si>
    <t>07-17-2025</t>
  </si>
  <si>
    <t>CM0002549857</t>
  </si>
  <si>
    <t>07-19-2025</t>
  </si>
  <si>
    <t>MUHAMMAD SABAR</t>
  </si>
  <si>
    <t>CM0002553141</t>
  </si>
  <si>
    <t>07-20-2025</t>
  </si>
  <si>
    <t>HANISHA CHEOLUKARAN</t>
  </si>
  <si>
    <t>CM0002553690</t>
  </si>
  <si>
    <t>07-23-2025</t>
  </si>
  <si>
    <t>MUHAMMAD UMAR</t>
  </si>
  <si>
    <t>CM0002559130</t>
  </si>
  <si>
    <t>07-25-2025</t>
  </si>
  <si>
    <t>SHAHADAT DELOWER</t>
  </si>
  <si>
    <t>CM0002561901</t>
  </si>
  <si>
    <t>In Process</t>
  </si>
  <si>
    <t>07-28-2025</t>
  </si>
  <si>
    <t>MOHAMMAD KASIM</t>
  </si>
  <si>
    <t>CM0002567263</t>
  </si>
  <si>
    <t>07-30-2025</t>
  </si>
  <si>
    <t>ILHAM MALOUYA</t>
  </si>
  <si>
    <t>CM0002570607</t>
  </si>
  <si>
    <t>Sharathlal Poovadiyil Biju</t>
  </si>
  <si>
    <t>CM0002557883</t>
  </si>
  <si>
    <t>Bachir Ahmad Abdoud</t>
  </si>
  <si>
    <t>CM0002559530</t>
  </si>
  <si>
    <t>RC_DED</t>
  </si>
  <si>
    <t>GHULAM SAKHI</t>
  </si>
  <si>
    <t>CM0002574665</t>
  </si>
  <si>
    <t>CM0002574680</t>
  </si>
  <si>
    <t>NOURA MOHAMED LOTFY</t>
  </si>
  <si>
    <t>CM0002581365</t>
  </si>
  <si>
    <t>YOUSUF KHAN</t>
  </si>
  <si>
    <t>CM0002582199</t>
  </si>
  <si>
    <t>HIND FAISAL</t>
  </si>
  <si>
    <t>CM0002585086</t>
  </si>
  <si>
    <t>ASIB FARUK</t>
  </si>
  <si>
    <t>CM0002585852</t>
  </si>
  <si>
    <t>DEACTIVATION</t>
  </si>
  <si>
    <t>MUKHZAN SAAD</t>
  </si>
  <si>
    <t>CM0002588002</t>
  </si>
  <si>
    <t>MOHAMED ABDELSALAM</t>
  </si>
  <si>
    <t>CM0002588494</t>
  </si>
  <si>
    <t>08-13-2025</t>
  </si>
  <si>
    <t>AZZA HUMAID</t>
  </si>
  <si>
    <t>CM0002593264</t>
  </si>
  <si>
    <t>08-14-2025</t>
  </si>
  <si>
    <t>CHAIMAE QETARA</t>
  </si>
  <si>
    <t>CM0002594568</t>
  </si>
  <si>
    <t>MOHAMED ESSAM</t>
  </si>
  <si>
    <t>CM0002595072</t>
  </si>
  <si>
    <t>08-15-2025</t>
  </si>
  <si>
    <t>AURELIA RAI</t>
  </si>
  <si>
    <t>CM0002595662</t>
  </si>
  <si>
    <t>08-16-2025</t>
  </si>
  <si>
    <t>ABDUL BASIR</t>
  </si>
  <si>
    <t>CM0002598100</t>
  </si>
  <si>
    <t>08-17-2025</t>
  </si>
  <si>
    <t>KARRI KRISHNA</t>
  </si>
  <si>
    <t>CM0002598941</t>
  </si>
  <si>
    <t>08-19-2025</t>
  </si>
  <si>
    <t>KUZHANTHAIVEL RAMAMIRTHAM</t>
  </si>
  <si>
    <t>CM0002602886</t>
  </si>
  <si>
    <t>08-20-2025</t>
  </si>
  <si>
    <t>ESSEL ADDEL AMANKWAH</t>
  </si>
  <si>
    <t>CM0002603388</t>
  </si>
  <si>
    <t>08-21-2025</t>
  </si>
  <si>
    <t>KHAN ZADA</t>
  </si>
  <si>
    <t>CM0002605529</t>
  </si>
  <si>
    <t>08-23-2025</t>
  </si>
  <si>
    <t>ABDUL AKBAR</t>
  </si>
  <si>
    <t>CM0002608707</t>
  </si>
  <si>
    <t>ZIAULRAHMAN POPAL</t>
  </si>
  <si>
    <t>CM0002608758</t>
  </si>
  <si>
    <t>08-24-2025</t>
  </si>
  <si>
    <t>RAGHU</t>
  </si>
  <si>
    <t>CM0002609431</t>
  </si>
  <si>
    <t>KHALID ABBAS</t>
  </si>
  <si>
    <t>CM0002609426</t>
  </si>
  <si>
    <t>08-26-2025</t>
  </si>
  <si>
    <t>IQBAL KURESHI</t>
  </si>
  <si>
    <t>CM0002612913</t>
  </si>
  <si>
    <t>RUKIYAT MUKALLOVA</t>
  </si>
  <si>
    <t>CM0002613303</t>
  </si>
  <si>
    <t>08-27-2025</t>
  </si>
  <si>
    <t>RAWDA ELSAYED</t>
  </si>
  <si>
    <t>CM0002614287</t>
  </si>
  <si>
    <t>EBTISAM ABDELMAGID</t>
  </si>
  <si>
    <t>CM0002615412</t>
  </si>
  <si>
    <t>SONIYA RANI</t>
  </si>
  <si>
    <t>CM0002615597</t>
  </si>
  <si>
    <t>Namal</t>
  </si>
  <si>
    <t>Gul naz</t>
  </si>
  <si>
    <t>Ramar</t>
  </si>
  <si>
    <t>jithin</t>
  </si>
  <si>
    <t xml:space="preserve">Sreelal </t>
  </si>
  <si>
    <t>Reda</t>
  </si>
  <si>
    <t>Sukumaran</t>
  </si>
  <si>
    <t>Maria</t>
  </si>
  <si>
    <t>CM0001571535</t>
  </si>
  <si>
    <t>Farooq</t>
  </si>
  <si>
    <t>Aslam</t>
  </si>
  <si>
    <t>Nathanil</t>
  </si>
  <si>
    <t>Chamu</t>
  </si>
  <si>
    <t xml:space="preserve">Ali </t>
  </si>
  <si>
    <t>Arslan</t>
  </si>
  <si>
    <t>Almachius</t>
  </si>
  <si>
    <t>Anees</t>
  </si>
  <si>
    <t>Jennifer</t>
  </si>
  <si>
    <t>Houda</t>
  </si>
  <si>
    <t>Hossam</t>
  </si>
  <si>
    <t>Lahiru</t>
  </si>
  <si>
    <t>Poline</t>
  </si>
  <si>
    <t>Abdelhalim</t>
  </si>
  <si>
    <t>Fred</t>
  </si>
  <si>
    <t>Amran</t>
  </si>
  <si>
    <t>Osama</t>
  </si>
  <si>
    <t>Baranidharan</t>
  </si>
  <si>
    <t>Robert</t>
  </si>
  <si>
    <t>Naseera</t>
  </si>
  <si>
    <t>Kawtar</t>
  </si>
  <si>
    <t>Rajkumar</t>
  </si>
  <si>
    <t>Tahsin</t>
  </si>
  <si>
    <t>Alexandra</t>
  </si>
  <si>
    <t>Khaled</t>
  </si>
  <si>
    <t>Abdelrehman</t>
  </si>
  <si>
    <t>Asaru</t>
  </si>
  <si>
    <t>Naseem</t>
  </si>
  <si>
    <t>ilias</t>
  </si>
  <si>
    <t>Jafer</t>
  </si>
  <si>
    <t>Binu</t>
  </si>
  <si>
    <t>CM0001508862</t>
  </si>
  <si>
    <t>Ahmed</t>
  </si>
  <si>
    <t>CM0001508461</t>
  </si>
  <si>
    <t>Jamshed</t>
  </si>
  <si>
    <t>Taisir</t>
  </si>
  <si>
    <t>Phone No</t>
  </si>
  <si>
    <t>08-31-2025</t>
  </si>
  <si>
    <t>HALTAO YU</t>
  </si>
  <si>
    <t>CM0002622251</t>
  </si>
  <si>
    <t>MOHAMMED SAHANAS</t>
  </si>
  <si>
    <t>CM0002623846</t>
  </si>
  <si>
    <t>CHUKWUDI STEVEN</t>
  </si>
  <si>
    <t>CM0002623863</t>
  </si>
  <si>
    <t>CM0002625861</t>
  </si>
  <si>
    <t>MOHAMMED HANIF</t>
  </si>
  <si>
    <t>CM0002626912</t>
  </si>
  <si>
    <t>IBRAHIM HASSAN</t>
  </si>
  <si>
    <t>CM0002630258</t>
  </si>
  <si>
    <t>MUHAMMED SAHANAS</t>
  </si>
  <si>
    <t>CM0002630687</t>
  </si>
  <si>
    <t>TAYYAB MUHAMMAD</t>
  </si>
  <si>
    <t>CM0002630740</t>
  </si>
  <si>
    <t>SAEED IBRAHIM</t>
  </si>
  <si>
    <t>CM0002632114</t>
  </si>
  <si>
    <t>CM0002633422</t>
  </si>
  <si>
    <t>MIRFAT MOHAMED</t>
  </si>
  <si>
    <t>CM0002639252</t>
  </si>
  <si>
    <t>In Progress</t>
  </si>
  <si>
    <t>AFTAAB KHAN</t>
  </si>
  <si>
    <t>CM0002647503</t>
  </si>
  <si>
    <t>RAINA BRAGANZA</t>
  </si>
  <si>
    <t>CM0002652837</t>
  </si>
  <si>
    <t>TIBIN MANIMELATHU</t>
  </si>
  <si>
    <t>CM0002654709</t>
  </si>
  <si>
    <t>CM0002654776</t>
  </si>
  <si>
    <t>ABDUL NAYEEM</t>
  </si>
  <si>
    <t>CM0002659736</t>
  </si>
  <si>
    <t>CM0002660425</t>
  </si>
  <si>
    <t>CM0002661648</t>
  </si>
  <si>
    <t>HASHIF KERANTAKETH</t>
  </si>
  <si>
    <t>CM0002664059</t>
  </si>
  <si>
    <t>ADNAN ABDUL MANAN</t>
  </si>
  <si>
    <t>CM0002668497</t>
  </si>
  <si>
    <t>NAISAM KUMBASSERY</t>
  </si>
  <si>
    <t>CM0002674835</t>
  </si>
  <si>
    <t>Completed</t>
  </si>
  <si>
    <t>MANOJ MATHEWS</t>
  </si>
  <si>
    <t>CM0002675477</t>
  </si>
  <si>
    <t>CHAMELI PURI</t>
  </si>
  <si>
    <t>CM0002677736</t>
  </si>
  <si>
    <t>MAMMAD SHAHID</t>
  </si>
  <si>
    <t>CM0002679015</t>
  </si>
  <si>
    <t>SALED FAWAZ</t>
  </si>
  <si>
    <t>CM0002680624</t>
  </si>
  <si>
    <t>CM0002579072</t>
  </si>
  <si>
    <t>MOHAMMEDF AZAM</t>
  </si>
  <si>
    <t>CM0002588042</t>
  </si>
  <si>
    <t>MANEESH MAMMEN</t>
  </si>
  <si>
    <t>CM0002604876</t>
  </si>
  <si>
    <t>AISHA DANISH</t>
  </si>
  <si>
    <t>CM0002605620</t>
  </si>
  <si>
    <t>08-29-2025</t>
  </si>
  <si>
    <t>CM0002618174</t>
  </si>
  <si>
    <t>SUDHEESH PULLANI</t>
  </si>
  <si>
    <t>rc</t>
  </si>
  <si>
    <t>MUHAMMAD ASLAM</t>
  </si>
  <si>
    <t>CM0002682424</t>
  </si>
  <si>
    <t>IMADADUL ISLAM</t>
  </si>
  <si>
    <t>CM0002684656</t>
  </si>
  <si>
    <t>JOUMA KHAN</t>
  </si>
  <si>
    <t>CM0002686297</t>
  </si>
  <si>
    <t>SAIED FAWAZ</t>
  </si>
  <si>
    <t>CM0002688663</t>
  </si>
  <si>
    <t>BIRENDRA BISHWAKARMA</t>
  </si>
  <si>
    <t>CM0002688785</t>
  </si>
  <si>
    <t>SOLIMAN MAHMOD</t>
  </si>
  <si>
    <t>CM0002694663</t>
  </si>
  <si>
    <t>JAMIL SHAIKH</t>
  </si>
  <si>
    <t>CM0002695519</t>
  </si>
  <si>
    <t>MD JAHANGIR ALAM</t>
  </si>
  <si>
    <t>CM0002695837</t>
  </si>
  <si>
    <t>SHAHALA MUHAMMAD</t>
  </si>
  <si>
    <t>CM0002705582</t>
  </si>
  <si>
    <t>AHMED DANISH</t>
  </si>
  <si>
    <t>CM0002712246</t>
  </si>
  <si>
    <t>CM0002712262</t>
  </si>
  <si>
    <t>SAW KYAW</t>
  </si>
  <si>
    <t>CM0002714117</t>
  </si>
  <si>
    <t>SOUKAINA MADHOUM</t>
  </si>
  <si>
    <t>CM0002714189</t>
  </si>
  <si>
    <t>KHADRA BOUZID</t>
  </si>
  <si>
    <t>CM0002714532</t>
  </si>
  <si>
    <t>TOMY CHIRACKAL ANTONY</t>
  </si>
  <si>
    <t>CM0002720565</t>
  </si>
  <si>
    <t>ABBOUD DAHAM</t>
  </si>
  <si>
    <t>CM0002725871</t>
  </si>
  <si>
    <t>EMAD ABDELRAHIM</t>
  </si>
  <si>
    <t>CM0002729893</t>
  </si>
  <si>
    <t>JAMAL A A NASSER</t>
  </si>
  <si>
    <t>CM0002732820</t>
  </si>
  <si>
    <t>LALOO RAM SULTANI</t>
  </si>
  <si>
    <t>CM0002732906</t>
  </si>
  <si>
    <t>CM0002732938</t>
  </si>
  <si>
    <t>MOHAMMED KASIM</t>
  </si>
  <si>
    <t>CM0002733265</t>
  </si>
  <si>
    <t>AMEER SUBAIR</t>
  </si>
  <si>
    <t>CM0002734398</t>
  </si>
  <si>
    <t>RUBEL AHMAD</t>
  </si>
  <si>
    <t>CM0002734681</t>
  </si>
  <si>
    <t>MOHAMAD ASKIN</t>
  </si>
  <si>
    <t>CM0002737321</t>
  </si>
  <si>
    <t>MUTHUKUMAR MARIAPPAN</t>
  </si>
  <si>
    <t>CM0002738265</t>
  </si>
  <si>
    <t>SANDY OROGO</t>
  </si>
  <si>
    <t>CM0002741160</t>
  </si>
  <si>
    <t>NOV</t>
  </si>
  <si>
    <t>abdul kadhar abdul kareem</t>
  </si>
  <si>
    <t>dubai sky light building</t>
  </si>
  <si>
    <t>inzone</t>
  </si>
  <si>
    <t>Comtact No</t>
  </si>
  <si>
    <t>VALIDATION</t>
  </si>
  <si>
    <t>PUSHKAR SINGH</t>
  </si>
  <si>
    <t>CM0002742184</t>
  </si>
  <si>
    <t>CM0002742926</t>
  </si>
  <si>
    <t>REHAM HASAN</t>
  </si>
  <si>
    <t>CM0002743092</t>
  </si>
  <si>
    <t>MOJAHER ALAM</t>
  </si>
  <si>
    <t>CM0002743148</t>
  </si>
  <si>
    <t>RAHMA HESHAM</t>
  </si>
  <si>
    <t>CM0002744286</t>
  </si>
  <si>
    <t>SHAHER YAR</t>
  </si>
  <si>
    <t>CM0002744615</t>
  </si>
  <si>
    <t>SUMAIRA HUSSAIN</t>
  </si>
  <si>
    <t>CM0002744795</t>
  </si>
  <si>
    <t>MUHAMMED SAMEEMUDHEEN</t>
  </si>
  <si>
    <t>CM0002745322</t>
  </si>
  <si>
    <t>SHIBU CHOWDHURY</t>
  </si>
  <si>
    <t>CM0002745391</t>
  </si>
  <si>
    <t>NANDAN SINGH</t>
  </si>
  <si>
    <t>CM0002745498</t>
  </si>
  <si>
    <t>SIRAJUDHEEN KUNNATH</t>
  </si>
  <si>
    <t>CM0002746198</t>
  </si>
  <si>
    <t>CM0002747354</t>
  </si>
  <si>
    <t>CM0002747741</t>
  </si>
  <si>
    <t>RAHIL GHAFFAR</t>
  </si>
  <si>
    <t>CM0002748085</t>
  </si>
  <si>
    <t>CM0002748362</t>
  </si>
  <si>
    <t>CM0002748578</t>
  </si>
  <si>
    <t>AKBARSHA THAHSIL</t>
  </si>
  <si>
    <t>CM0002748617</t>
  </si>
  <si>
    <t>LITHIN THOMAS</t>
  </si>
  <si>
    <t>CM0002750127</t>
  </si>
  <si>
    <t>MUHAMMAD BAZIL</t>
  </si>
  <si>
    <t>CM0002751989</t>
  </si>
  <si>
    <t>RANJITHA CHAYAPARAMBU</t>
  </si>
  <si>
    <t>CM0002752043</t>
  </si>
  <si>
    <t>EBRAHIM THASLIM SEEDU KADAVATH SEEDU KADAVATH AHAMMED</t>
  </si>
  <si>
    <t>CM0002752943</t>
  </si>
  <si>
    <t>AMER OMER OATH BASHI</t>
  </si>
  <si>
    <t>CM0002756199</t>
  </si>
  <si>
    <t>JINU RAJAN RAJAN GOPALAN</t>
  </si>
  <si>
    <t>CM0002759982</t>
  </si>
  <si>
    <t>SIBY KOLETH MATHAI ABRAHAM PUTHENPARAMBIL ABRAHIM</t>
  </si>
  <si>
    <t>CM0002760315</t>
  </si>
  <si>
    <t>MD BAYZID BOSTAMIMD TORIQUL ISLAM</t>
  </si>
  <si>
    <t>CM0002760343</t>
  </si>
  <si>
    <t>MAIS SHEBIL ORAIJ</t>
  </si>
  <si>
    <t>CM0002761990</t>
  </si>
  <si>
    <t>DUNCAN OTIENO OGURO</t>
  </si>
  <si>
    <t>CM0002762237</t>
  </si>
  <si>
    <t>HAZRAT HUSSAIN KHAN SHAHZADA</t>
  </si>
  <si>
    <t>CM0002763756</t>
  </si>
  <si>
    <t>RABIUL SK MONJUR SK</t>
  </si>
  <si>
    <t>CM0002764404</t>
  </si>
  <si>
    <t>CM0002764899</t>
  </si>
  <si>
    <t>MANOJ KUMAR GANGADHARAN</t>
  </si>
  <si>
    <t>CM0002767702</t>
  </si>
  <si>
    <t>SHADAB ZAHIR AHMED SHIRSIKAR ZAHIR AHMED YUSUF</t>
  </si>
  <si>
    <t>CM0002770028</t>
  </si>
  <si>
    <t>ASHKAR KUNHI PARAMBATH ABDULLA</t>
  </si>
  <si>
    <t>CM0002772640</t>
  </si>
  <si>
    <t>SHAMMAD FAROOQUE FAROOQUE</t>
  </si>
  <si>
    <t>CM0002772652</t>
  </si>
  <si>
    <t>JITHESH POOMARAN KOLLY DAMODARAN</t>
  </si>
  <si>
    <t>CM0002772659</t>
  </si>
  <si>
    <t>AHAMMED KALLIL</t>
  </si>
  <si>
    <t>CM0002772684</t>
  </si>
  <si>
    <t>MOHAMMED GIAS UDDIN LATE SAHAB ID DIN</t>
  </si>
  <si>
    <t>CM0002775214</t>
  </si>
  <si>
    <t>MD RUBEL AMAN ULLAH MOLLAH</t>
  </si>
  <si>
    <t>CM0002776099</t>
  </si>
  <si>
    <t>ADNAN IQBAL MUHAMMAD IQBAL</t>
  </si>
  <si>
    <t>CM0002776143</t>
  </si>
  <si>
    <t>MOHAMED IBRAHIM TAMIA ATTIA</t>
  </si>
  <si>
    <t>CM0002778049</t>
  </si>
  <si>
    <t>JAWAD OSSAMA ALNAJEM AZZAM</t>
  </si>
  <si>
    <t>CM0002778723</t>
  </si>
  <si>
    <t>CM0002779645</t>
  </si>
  <si>
    <t>MATHEUS MOURA BATISTA</t>
  </si>
  <si>
    <t>CM0002783827</t>
  </si>
  <si>
    <t>NOURREDDINE MOKDAD</t>
  </si>
  <si>
    <t>CM0002784455</t>
  </si>
  <si>
    <t>ALEX THIRUMALAYIL JOHNY JOHNY JOSEPH</t>
  </si>
  <si>
    <t>CM0002786402</t>
  </si>
  <si>
    <t>CHINNAAESAKKIDURAI VAIKUNDAM VAIKUNDAM</t>
  </si>
  <si>
    <t>CM0002784485</t>
  </si>
  <si>
    <t>RATNAM BALAJI NALLI</t>
  </si>
  <si>
    <t>CM0002787834</t>
  </si>
  <si>
    <t>MOHAMED SABRI MOHAMED MAHMOUD</t>
  </si>
  <si>
    <t>CM0002787855</t>
  </si>
  <si>
    <t>SHADAB ZAHIR AHMED SHIRSIKAR</t>
  </si>
  <si>
    <t>CM0002790254</t>
  </si>
  <si>
    <t>SUMAIYA SHADAB SHIRSHIKER</t>
  </si>
  <si>
    <t>CM0002790484</t>
  </si>
  <si>
    <t>FAUZIA MOHAMMED SARFAJ</t>
  </si>
  <si>
    <t>CM0002793868</t>
  </si>
  <si>
    <t>CM0002794042</t>
  </si>
  <si>
    <t>IMAM JAN MUHAMMAD ASSA</t>
  </si>
  <si>
    <t>CM0002794355</t>
  </si>
  <si>
    <t>FRANCIS CHEMPUKATTICKAL AUGUSTY AUGUSTY</t>
  </si>
  <si>
    <t>CM0002795684</t>
  </si>
  <si>
    <t>GHAZAL WAQAR MUHAMMAD WAQAR</t>
  </si>
  <si>
    <t>CM0002796383</t>
  </si>
  <si>
    <t>MAHMOUD MAGDI</t>
  </si>
  <si>
    <t>CM0002798694</t>
  </si>
  <si>
    <t>SAYEDA FIRDOS</t>
  </si>
  <si>
    <t>CM0002798808</t>
  </si>
  <si>
    <t>AYHAM NADIM</t>
  </si>
  <si>
    <t>CM0002799419</t>
  </si>
  <si>
    <t>NOURA YOUSSEF</t>
  </si>
  <si>
    <t>CM0002800871</t>
  </si>
  <si>
    <t>MAMDOUH AHMAD</t>
  </si>
  <si>
    <t>CM0002806393</t>
  </si>
  <si>
    <t>NOUR AHMAD TAYAR</t>
  </si>
  <si>
    <t>CM0002807071</t>
  </si>
  <si>
    <t>PABLO MARCELO STANZIONE</t>
  </si>
  <si>
    <t>CM0002807645</t>
  </si>
  <si>
    <t>PRAISE VALENTINE</t>
  </si>
  <si>
    <t>CM0002808327</t>
  </si>
  <si>
    <t>ATEFEH MOHAMMAD MORSHEDI NOUDZH</t>
  </si>
  <si>
    <t>CM0002810585</t>
  </si>
  <si>
    <t>RISHITH MILAN</t>
  </si>
  <si>
    <t>CM0002812010</t>
  </si>
  <si>
    <t>SHANTO RAJ</t>
  </si>
  <si>
    <t>CM0002813177</t>
  </si>
  <si>
    <t>AMANULLAH MUHAMMAD</t>
  </si>
  <si>
    <t>CM0002813314</t>
  </si>
  <si>
    <t>MOHAMMAD ZAID</t>
  </si>
  <si>
    <t>CM0002813319</t>
  </si>
  <si>
    <t>FARIDUN GAFUROV</t>
  </si>
  <si>
    <t>CM0002814636</t>
  </si>
  <si>
    <t>CM0002814863</t>
  </si>
  <si>
    <t>SEP</t>
  </si>
  <si>
    <t>COUNT</t>
  </si>
  <si>
    <t>RATE</t>
  </si>
  <si>
    <t>TOTAL</t>
  </si>
  <si>
    <t>GRAND TOTAL AMT</t>
  </si>
  <si>
    <t>CF  AUG  ADVANCE WITH YOU</t>
  </si>
  <si>
    <t>INZONE AMT</t>
  </si>
  <si>
    <t>SEP PAID AMT</t>
  </si>
  <si>
    <t xml:space="preserve">CASH WITH YOU </t>
  </si>
  <si>
    <t>HW-229</t>
  </si>
  <si>
    <t>HW-299</t>
  </si>
  <si>
    <t>OCT</t>
  </si>
  <si>
    <t>CF  SEP  ADVANCE WITH YOU</t>
  </si>
  <si>
    <t>OCT PAID AMT</t>
  </si>
  <si>
    <t>HW-349</t>
  </si>
  <si>
    <t>CF  OCT ADVANCE WITH YOU</t>
  </si>
  <si>
    <t>PAYABLE</t>
  </si>
  <si>
    <t xml:space="preserve">Nov-2025 Mohammed Abdullah 229HW </t>
  </si>
  <si>
    <t>november</t>
  </si>
  <si>
    <t>CM0002759403</t>
  </si>
  <si>
    <t>SR NO</t>
  </si>
  <si>
    <t>Mobile No</t>
  </si>
  <si>
    <t>DOA</t>
  </si>
  <si>
    <t>AHMED METWALLI</t>
  </si>
  <si>
    <t>CM0002816999</t>
  </si>
  <si>
    <t>JAVARIA GULFAM</t>
  </si>
  <si>
    <t>CM0002818398</t>
  </si>
  <si>
    <t>KHALED DERAR</t>
  </si>
  <si>
    <t>CM0002820017</t>
  </si>
  <si>
    <t>WAGIH HEMAITALLA</t>
  </si>
  <si>
    <t>CM0002822544</t>
  </si>
  <si>
    <t>CM0002822681</t>
  </si>
  <si>
    <t>BAHAA BAHGAT</t>
  </si>
  <si>
    <t>CM0002824121</t>
  </si>
  <si>
    <t>AMANULLAH MUHAMMAD ASSA</t>
  </si>
  <si>
    <t>CM0002824644</t>
  </si>
  <si>
    <t>GOKUL DEV ASHAKUMAR</t>
  </si>
  <si>
    <t>CM0002824715</t>
  </si>
  <si>
    <t>BAHAA BAHGAT RAHAB</t>
  </si>
  <si>
    <t>CM0002824739</t>
  </si>
  <si>
    <t>SYAMKUMAR MULLAKARA</t>
  </si>
  <si>
    <t>CM0002825817</t>
  </si>
  <si>
    <t>ASMA AKTER</t>
  </si>
  <si>
    <t>CM0002827494</t>
  </si>
  <si>
    <t>NOUR HOSSAMELDIN</t>
  </si>
  <si>
    <t>CM0002827922</t>
  </si>
  <si>
    <t>CM0002827946</t>
  </si>
  <si>
    <t>ARUN ANAND</t>
  </si>
  <si>
    <t>CM0002828023</t>
  </si>
  <si>
    <t>ARUN ANAND ANANDAN</t>
  </si>
  <si>
    <t>CM0002828585</t>
  </si>
  <si>
    <t>FOUZIYA MUSTHAFA MUSTHAFA</t>
  </si>
  <si>
    <t>CM0002828601</t>
  </si>
  <si>
    <t>SALAHUDHEEN THAIPARAMBIL</t>
  </si>
  <si>
    <t>CM0002828664</t>
  </si>
  <si>
    <t>MOHD AHMAD</t>
  </si>
  <si>
    <t>CM0002829242</t>
  </si>
  <si>
    <t>WAHEEBA AHMED</t>
  </si>
  <si>
    <t>CM0002829669</t>
  </si>
  <si>
    <t>NEENU MERIN</t>
  </si>
  <si>
    <t>CM0002834522</t>
  </si>
  <si>
    <t>MOHAMED HAKKIM</t>
  </si>
  <si>
    <t>CM0002833229</t>
  </si>
  <si>
    <t>RAMY MOHAMED</t>
  </si>
  <si>
    <t>CM0002835356</t>
  </si>
  <si>
    <t>FANMAO YE</t>
  </si>
  <si>
    <t>CM0002838532</t>
  </si>
  <si>
    <t>DAOFA LIN</t>
  </si>
  <si>
    <t>CM0002838636</t>
  </si>
  <si>
    <t>RANIA GABARALLAH</t>
  </si>
  <si>
    <t>CM0002839499</t>
  </si>
  <si>
    <t>CM0002838428</t>
  </si>
  <si>
    <t>HOUZAYFA KHALED</t>
  </si>
  <si>
    <t>CM0002839866</t>
  </si>
  <si>
    <t>KEVIN VARGHESE</t>
  </si>
  <si>
    <t>CM0002840947</t>
  </si>
  <si>
    <t>MOURHAF FADELALLAH</t>
  </si>
  <si>
    <t>CM0002841344</t>
  </si>
  <si>
    <t>NAFISA SALOKHITDINOVNA</t>
  </si>
  <si>
    <t>CM0002841650</t>
  </si>
  <si>
    <t>NAYANA RAJ</t>
  </si>
  <si>
    <t>CM0002842026</t>
  </si>
  <si>
    <t>AMIRA MOSTAFA</t>
  </si>
  <si>
    <t>CM0002844451</t>
  </si>
  <si>
    <t>CM0002843185</t>
  </si>
  <si>
    <t>HESHAM MAHMOUD</t>
  </si>
  <si>
    <t>CM0002846320</t>
  </si>
  <si>
    <t>GOURI RAJAN</t>
  </si>
  <si>
    <t>CM0002847548</t>
  </si>
  <si>
    <t>HARIS MUHAMMED</t>
  </si>
  <si>
    <t>CM0002850965</t>
  </si>
  <si>
    <t>ESSAM KHALED ABDELKHALEK</t>
  </si>
  <si>
    <t>CM0002852464</t>
  </si>
  <si>
    <t>MOHAMMAD ARQAM</t>
  </si>
  <si>
    <t>CM0002854370</t>
  </si>
  <si>
    <t>RAMIZA MIRAKHMEDOVA</t>
  </si>
  <si>
    <t>CM0002857945</t>
  </si>
  <si>
    <t>SUNIL LAL</t>
  </si>
  <si>
    <t>CM0002858656</t>
  </si>
  <si>
    <t>SEYED AQIL</t>
  </si>
  <si>
    <t>CM0002858724</t>
  </si>
  <si>
    <t>GEO JOSE</t>
  </si>
  <si>
    <t>CM0002861113</t>
  </si>
  <si>
    <t>MINA HAJRA</t>
  </si>
  <si>
    <t>CM0002861397</t>
  </si>
  <si>
    <t>ANISH GEORGE</t>
  </si>
  <si>
    <t>CM0002861501</t>
  </si>
  <si>
    <t>ELISAH MWEBAZA</t>
  </si>
  <si>
    <t>CM0002864820</t>
  </si>
  <si>
    <t>HAFIZUL ISLAM</t>
  </si>
  <si>
    <t>CM0002865118</t>
  </si>
  <si>
    <t>DANELLE RENCIA</t>
  </si>
  <si>
    <t>CM0002871821</t>
  </si>
  <si>
    <t>MEMOONA WAQAS</t>
  </si>
  <si>
    <t>CM0002874300</t>
  </si>
  <si>
    <t>ABDULRAHIMAN MAUVAL</t>
  </si>
  <si>
    <t>CM0002875425</t>
  </si>
  <si>
    <t>SAMER BOULOS</t>
  </si>
  <si>
    <t>CM0002877575</t>
  </si>
  <si>
    <t>SAAD ABDELHADAY</t>
  </si>
  <si>
    <t>CM0002878476</t>
  </si>
  <si>
    <t>TAREK ABDELHAMID</t>
  </si>
  <si>
    <t>CM0002879786</t>
  </si>
  <si>
    <t>MOHAMAD JOUHAR</t>
  </si>
  <si>
    <t>CM0002885653</t>
  </si>
  <si>
    <t>MAHESH THEKKENDEVALAPPIL</t>
  </si>
  <si>
    <t>CM0002888063</t>
  </si>
  <si>
    <t>MOHAMED AZLAM</t>
  </si>
  <si>
    <t>CM0002890433</t>
  </si>
  <si>
    <t>NOV PAID AMT</t>
  </si>
  <si>
    <t>DEC</t>
  </si>
  <si>
    <t>CF NOV ADVANCE WITH YOU</t>
  </si>
  <si>
    <t>DEC PAID AMT</t>
  </si>
  <si>
    <t>1 sale missing</t>
  </si>
  <si>
    <t>16000AED</t>
  </si>
  <si>
    <t>16000AED+300</t>
  </si>
  <si>
    <t>Mohammad Abdullah Al Arsad</t>
  </si>
  <si>
    <t>CM0002758544</t>
  </si>
  <si>
    <t>Siddiq ur Rehman</t>
  </si>
  <si>
    <t>CM0002761468</t>
  </si>
  <si>
    <t>Ashraf Khaled Fathi</t>
  </si>
  <si>
    <t>CM0002767614</t>
  </si>
  <si>
    <t>Marystebi Mariya Pushpam</t>
  </si>
  <si>
    <t>CM0002773650</t>
  </si>
  <si>
    <t>Mohammed Ramadan</t>
  </si>
  <si>
    <t>CM0002780028</t>
  </si>
  <si>
    <t>Mohammed Noor uddin</t>
  </si>
  <si>
    <t>CM0002794240</t>
  </si>
  <si>
    <t>Ponjey Sankara Rengarajan</t>
  </si>
  <si>
    <t>CM0002810280</t>
  </si>
  <si>
    <t>Bavend Desh Kumar</t>
  </si>
  <si>
    <t>CM0002861626</t>
  </si>
  <si>
    <t>HW 349</t>
  </si>
  <si>
    <t>{+}1300</t>
  </si>
  <si>
    <t>advance from ch</t>
  </si>
  <si>
    <t>RAHUL PARAMESWARAN</t>
  </si>
  <si>
    <t>CM0002894779</t>
  </si>
  <si>
    <t>QAIS MOIEN</t>
  </si>
  <si>
    <t>CM0002895145</t>
  </si>
  <si>
    <t>IRFAN KAN</t>
  </si>
  <si>
    <t>CM0002896998</t>
  </si>
  <si>
    <t>LIDIL VARGHESE</t>
  </si>
  <si>
    <t>CM0002897885</t>
  </si>
  <si>
    <t>SEHRISH KANWAL</t>
  </si>
  <si>
    <t>CM0002900147</t>
  </si>
  <si>
    <t>SREELAKSHMY RADHAKRISHNAN</t>
  </si>
  <si>
    <t>CM0002900759</t>
  </si>
  <si>
    <t>MOHAMMED ABDUL RAHOOF</t>
  </si>
  <si>
    <t>CM0002898817</t>
  </si>
  <si>
    <t>RAZIB LILU MIA</t>
  </si>
  <si>
    <t>CM0002898880</t>
  </si>
  <si>
    <t>JOVIAH AINEOMUGSIA</t>
  </si>
  <si>
    <t>CM0002898890</t>
  </si>
  <si>
    <t>ADEL ELHADI</t>
  </si>
  <si>
    <t>CM0002899296</t>
  </si>
  <si>
    <t>ABDELWHAB HAMED</t>
  </si>
  <si>
    <t>CM0002902818</t>
  </si>
  <si>
    <t>AMIRA SALAHELDIN MAHMOUD</t>
  </si>
  <si>
    <t>CM0002903277</t>
  </si>
  <si>
    <t>AHMED MAHMOUD</t>
  </si>
  <si>
    <t>CM0002905227</t>
  </si>
  <si>
    <t>MOHAMED SALAH</t>
  </si>
  <si>
    <t>CM0002904655</t>
  </si>
  <si>
    <t>RAZIB LILU</t>
  </si>
  <si>
    <t>CM0002909354</t>
  </si>
  <si>
    <t>RE</t>
  </si>
  <si>
    <t>SARA HASSAN</t>
  </si>
  <si>
    <t>CM0002912245</t>
  </si>
  <si>
    <t>ABDUL RAHMAN</t>
  </si>
  <si>
    <t>CM0002912492</t>
  </si>
  <si>
    <t>AZIZ ELYAZAMI</t>
  </si>
  <si>
    <t>CM0002914676</t>
  </si>
  <si>
    <t>JASIM HUSSAIN</t>
  </si>
  <si>
    <t>CM0002914683</t>
  </si>
  <si>
    <t>CM0002914859</t>
  </si>
  <si>
    <t>MANISH GURUNG</t>
  </si>
  <si>
    <t>CM0002917061</t>
  </si>
  <si>
    <t>HAMMAD HAFEEZ</t>
  </si>
  <si>
    <t>CM0002918111</t>
  </si>
  <si>
    <t>SHAFI ULLAH</t>
  </si>
  <si>
    <t>CM0002921050</t>
  </si>
  <si>
    <t>MOHAMED HUSSEIN</t>
  </si>
  <si>
    <t>CM0002924077</t>
  </si>
  <si>
    <t>RABBI HUSSAIN JANGHIR</t>
  </si>
  <si>
    <t>CM0002926577</t>
  </si>
  <si>
    <t>CM0002926598</t>
  </si>
  <si>
    <t>MOHAMED ALI</t>
  </si>
  <si>
    <t>CM0002925301</t>
  </si>
  <si>
    <t>CHANDRA BAHADUR</t>
  </si>
  <si>
    <t>CM0002926172</t>
  </si>
  <si>
    <t>RAWALI KHAN</t>
  </si>
  <si>
    <t>CM0002928089</t>
  </si>
  <si>
    <t>MOSAYEB KHORSHID</t>
  </si>
  <si>
    <t>CM0002929838</t>
  </si>
  <si>
    <t>ABDUL AZEEZ</t>
  </si>
  <si>
    <t>CM0002930610</t>
  </si>
  <si>
    <t>SAFDAR AHAMMED</t>
  </si>
  <si>
    <t>CM0002930796</t>
  </si>
  <si>
    <t>XAVIER RENARDS</t>
  </si>
  <si>
    <t>CM0002935675</t>
  </si>
  <si>
    <t>ARSIAN AHMAD KHALIL</t>
  </si>
  <si>
    <t>CM0002936454</t>
  </si>
  <si>
    <t>CM0002940678</t>
  </si>
  <si>
    <t>ABU TALHA</t>
  </si>
  <si>
    <t>CM0002944447</t>
  </si>
  <si>
    <t>SARATH NANOTH</t>
  </si>
  <si>
    <t>CM0002945871</t>
  </si>
  <si>
    <t>AMIN NASRELDIN AMIN</t>
  </si>
  <si>
    <t>CM0002951119</t>
  </si>
  <si>
    <t>SHAJITH KURIYA</t>
  </si>
  <si>
    <t>CM0002948609</t>
  </si>
  <si>
    <t>ARUN SHAJI</t>
  </si>
  <si>
    <t>CM0002955488</t>
  </si>
  <si>
    <t>AFRIN RAJA</t>
  </si>
  <si>
    <t>CM0002955875</t>
  </si>
  <si>
    <t>MOHAMED THASLEEM</t>
  </si>
  <si>
    <t>CM0002954823</t>
  </si>
  <si>
    <t>CM0002954836</t>
  </si>
  <si>
    <t>NIZAMUDEEN IBRAHIM</t>
  </si>
  <si>
    <t>CM0002958809</t>
  </si>
  <si>
    <t>LIBI YOHANNAN</t>
  </si>
  <si>
    <t>CM0002959461</t>
  </si>
  <si>
    <t>JEAN BRIGITTE</t>
  </si>
  <si>
    <t>CM0002960272</t>
  </si>
  <si>
    <t>CM0002961309</t>
  </si>
  <si>
    <t>BIGYAN PAUDEL</t>
  </si>
  <si>
    <t>CM0002967388</t>
  </si>
  <si>
    <t>AMER AHMAD</t>
  </si>
  <si>
    <t>CM0002963506</t>
  </si>
  <si>
    <t>PRAKASH NATARAJAN</t>
  </si>
  <si>
    <t>CM0002964769</t>
  </si>
  <si>
    <t>CM0002964787</t>
  </si>
  <si>
    <t>KAMRAN KHAN</t>
  </si>
  <si>
    <t>CM0002964855</t>
  </si>
  <si>
    <t>JAN</t>
  </si>
  <si>
    <t>CF DEC PAYABLE AMT</t>
  </si>
  <si>
    <t>CF</t>
  </si>
  <si>
    <t>CM0002973000</t>
  </si>
  <si>
    <t>MUHAMMAD SHOUKAT</t>
  </si>
  <si>
    <t>CM0002974517</t>
  </si>
  <si>
    <t>HAZOOR BAKSH</t>
  </si>
  <si>
    <t>CM0002974593</t>
  </si>
  <si>
    <t>CHETHAN KUMAR</t>
  </si>
  <si>
    <t>CM0002977170</t>
  </si>
  <si>
    <t>JENTY CHACKO</t>
  </si>
  <si>
    <t>CM0002977401</t>
  </si>
  <si>
    <t>CM0002977157</t>
  </si>
  <si>
    <t>BIJU VARGHESE</t>
  </si>
  <si>
    <t>CM0002979298</t>
  </si>
  <si>
    <t>HEMANTH NEGI</t>
  </si>
  <si>
    <t>CM0002985099</t>
  </si>
  <si>
    <t>HUZIFA SHAEKELDEEN</t>
  </si>
  <si>
    <t>CM0002988321</t>
  </si>
  <si>
    <t>INDU RAJESH VASUDEVAN</t>
  </si>
  <si>
    <t>CM0002987756</t>
  </si>
  <si>
    <t>INDU RAJESH</t>
  </si>
  <si>
    <t>CM0002989261</t>
  </si>
  <si>
    <t>DANISH ANWAR</t>
  </si>
  <si>
    <t>CM0002992711</t>
  </si>
  <si>
    <t>SOBIA IBRAR</t>
  </si>
  <si>
    <t>CM0002997610</t>
  </si>
  <si>
    <t>SADAF QAYYUM</t>
  </si>
  <si>
    <t>CM0002996754</t>
  </si>
  <si>
    <t>MATEWOS ABU</t>
  </si>
  <si>
    <t>CM0002997389</t>
  </si>
  <si>
    <t>FIROSKHAN ANOORPASHA</t>
  </si>
  <si>
    <t>CM0003000022</t>
  </si>
  <si>
    <t>CM0003000300</t>
  </si>
  <si>
    <t>RAM AJAY</t>
  </si>
  <si>
    <t>CM0003005743</t>
  </si>
  <si>
    <t>YOUSEF ASHWAN</t>
  </si>
  <si>
    <t>CM0003009205</t>
  </si>
  <si>
    <t>ALI SHAHRIAR</t>
  </si>
  <si>
    <t>CM0003009606</t>
  </si>
  <si>
    <t>MOSAD MAGDY</t>
  </si>
  <si>
    <t>CM0003009760</t>
  </si>
  <si>
    <t>MAJED ILYAS</t>
  </si>
  <si>
    <t>CM0003016922</t>
  </si>
  <si>
    <t>SUFIA GULNAZ</t>
  </si>
  <si>
    <t>CM0003026469</t>
  </si>
  <si>
    <t>ONIYENTEVIDA PREMAN</t>
  </si>
  <si>
    <t>CM0003030035</t>
  </si>
  <si>
    <t>MUHAMMED HASIB</t>
  </si>
  <si>
    <t>CM0003030828</t>
  </si>
  <si>
    <t>HASSAN OBAID</t>
  </si>
  <si>
    <t>CM0003030838</t>
  </si>
  <si>
    <t>USMAN HAMEED</t>
  </si>
  <si>
    <t>CM0003031993</t>
  </si>
  <si>
    <t>SAJIMON SHUHAIB</t>
  </si>
  <si>
    <t>CM0003032582</t>
  </si>
  <si>
    <t>SUMAYYA SAMEER ZUBAIR</t>
  </si>
  <si>
    <t>CM0003034279</t>
  </si>
  <si>
    <t>CM0003034875</t>
  </si>
  <si>
    <t>FEB</t>
  </si>
  <si>
    <t>CF JAN PAYABLE AMT</t>
  </si>
  <si>
    <t>FEB PAID AMT</t>
  </si>
  <si>
    <t>CASH WITH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</si>
</sst>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0.00000000"/>
    <numFmt numFmtId="165" formatCode="[$-F800]dddd\,\ mmmm\ dd\,\ yyyy"/>
    <numFmt numFmtId="166" formatCode="mm\-dd\-yyyy"/>
    <numFmt numFmtId="167" formatCode="[$-409]d\-mmm\-yy;@"/>
    <numFmt numFmtId="168" formatCode="[$-436]dd\ mmmm\ yyyy;@"/>
    <numFmt numFmtId="169" formatCode="###0;###0"/>
    <numFmt numFmtId="170" formatCode="000\-0000\-0000000\-0"/>
    <numFmt numFmtId="171" formatCode="dd/mm/yy;@"/>
    <numFmt numFmtId="172" formatCode="[$-10000]dd/mm/yyyy;@"/>
    <numFmt numFmtId="173" formatCode="[$-14009]dd\ mmmm\ yyyy;@"/>
  </numFmts>
  <fonts count="100">
    <font>
      <sz val="11"/>
      <color theme="1"/>
      <name val="Calibri"/>
      <family val="2"/>
      <scheme val="minor"/>
    </font>
    <font>
      <sz val="36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A7D00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333333"/>
      <name val="Du-font-secondary-bold"/>
    </font>
    <font>
      <sz val="11"/>
      <color rgb="FF333333"/>
      <name val="Du-font-secondary-regular"/>
    </font>
    <font>
      <sz val="9"/>
      <color rgb="FF333333"/>
      <name val="Du-font-secondary-bold"/>
    </font>
    <font>
      <sz val="10"/>
      <color rgb="FF333333"/>
      <name val="Du-font-secondary-regula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Arial"/>
      <family val="2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8"/>
      <color theme="0"/>
      <name val="Calibri"/>
      <family val="2"/>
    </font>
    <font>
      <sz val="8"/>
      <color theme="0"/>
      <name val="Calibri"/>
      <family val="2"/>
    </font>
    <font>
      <sz val="8"/>
      <name val="Calibri"/>
      <family val="2"/>
      <scheme val="minor"/>
    </font>
    <font>
      <sz val="8"/>
      <name val="Calibri"/>
      <family val="2"/>
    </font>
    <font>
      <sz val="8"/>
      <color theme="1"/>
      <name val="Calibri"/>
      <family val="2"/>
    </font>
    <font>
      <b/>
      <sz val="8"/>
      <color theme="1"/>
      <name val="Arial"/>
      <family val="2"/>
    </font>
    <font>
      <b/>
      <sz val="8"/>
      <color theme="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 Light"/>
      <family val="2"/>
      <scheme val="major"/>
    </font>
    <font>
      <sz val="11"/>
      <color rgb="FFFFFFFF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FFFF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0"/>
      <name val="Calibri Light"/>
      <family val="2"/>
      <scheme val="major"/>
    </font>
    <font>
      <sz val="11"/>
      <color rgb="FFFFFFFF"/>
      <name val="Calibri Light"/>
      <family val="2"/>
    </font>
    <font>
      <sz val="11"/>
      <color theme="0"/>
      <name val="Calibri Light"/>
      <family val="2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  <font>
      <sz val="11"/>
      <color rgb="FF3B3D3D"/>
      <name val="Arial"/>
      <family val="2"/>
    </font>
    <font>
      <sz val="11"/>
      <color rgb="FF030505"/>
      <name val="Arial"/>
      <family val="2"/>
    </font>
    <font>
      <sz val="11"/>
      <color rgb="FF828583"/>
      <name val="Arial"/>
      <family val="2"/>
    </font>
    <font>
      <sz val="11"/>
      <color rgb="FF3B3D3D"/>
      <name val="Times New Roman"/>
      <family val="1"/>
    </font>
    <font>
      <sz val="11"/>
      <color rgb="FF262628"/>
      <name val="Arial"/>
      <family val="2"/>
    </font>
    <font>
      <sz val="11"/>
      <color rgb="FF525754"/>
      <name val="Arial"/>
      <family val="2"/>
    </font>
    <font>
      <b/>
      <sz val="12"/>
      <color rgb="FF525754"/>
      <name val="Arial"/>
      <family val="2"/>
    </font>
    <font>
      <b/>
      <sz val="12"/>
      <color rgb="FF030505"/>
      <name val="Arial"/>
      <family val="2"/>
    </font>
    <font>
      <b/>
      <sz val="12"/>
      <color rgb="FF262628"/>
      <name val="Arial"/>
      <family val="2"/>
    </font>
    <font>
      <b/>
      <sz val="12"/>
      <color rgb="FF828583"/>
      <name val="Arial"/>
      <family val="2"/>
    </font>
    <font>
      <b/>
      <sz val="12"/>
      <color rgb="FF3B3D3D"/>
      <name val="Arial"/>
      <family val="2"/>
    </font>
    <font>
      <sz val="14"/>
      <color rgb="FF00000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9"/>
      <color rgb="FF3D3D3D"/>
      <name val="Arial"/>
      <family val="2"/>
    </font>
    <font>
      <b/>
      <sz val="10"/>
      <name val="Arial"/>
      <family val="2"/>
    </font>
    <font>
      <b/>
      <sz val="10"/>
      <color rgb="FF3D3D3D"/>
      <name val="Arial"/>
      <family val="2"/>
    </font>
    <font>
      <b/>
      <sz val="10"/>
      <color rgb="FF545654"/>
      <name val="Arial"/>
      <family val="2"/>
    </font>
    <font>
      <b/>
      <sz val="10"/>
      <color rgb="FF2A2A2A"/>
      <name val="Arial"/>
      <family val="2"/>
    </font>
    <font>
      <sz val="9"/>
      <name val="Arial"/>
      <family val="2"/>
    </font>
    <font>
      <b/>
      <sz val="10"/>
      <name val="Times New Roman"/>
      <family val="1"/>
    </font>
    <font>
      <b/>
      <sz val="10"/>
      <color rgb="FF3D3D3D"/>
      <name val="Times New Roman"/>
      <family val="1"/>
    </font>
    <font>
      <b/>
      <sz val="10"/>
      <color rgb="FF7E827E"/>
      <name val="Times New Roman"/>
      <family val="1"/>
    </font>
    <font>
      <b/>
      <sz val="10"/>
      <color rgb="FF2A2A2A"/>
      <name val="Times New Roman"/>
      <family val="1"/>
    </font>
    <font>
      <sz val="10"/>
      <name val="Times New Roman"/>
      <family val="1"/>
    </font>
    <font>
      <sz val="10"/>
      <color rgb="FF3D3D3D"/>
      <name val="Times New Roman"/>
      <family val="1"/>
    </font>
    <font>
      <sz val="10"/>
      <color rgb="FF7E827E"/>
      <name val="Times New Roman"/>
      <family val="1"/>
    </font>
    <font>
      <sz val="10"/>
      <color rgb="FF2A2A2A"/>
      <name val="Times New Roman"/>
      <family val="1"/>
    </font>
    <font>
      <b/>
      <sz val="10"/>
      <color rgb="FF7E827E"/>
      <name val="Arial"/>
      <family val="2"/>
    </font>
    <font>
      <sz val="9"/>
      <color rgb="FF545654"/>
      <name val="Arial"/>
      <family val="2"/>
    </font>
    <font>
      <sz val="9"/>
      <color rgb="FF2A2A2A"/>
      <name val="Arial"/>
      <family val="2"/>
    </font>
    <font>
      <sz val="12"/>
      <color theme="1"/>
      <name val="Calibri Light"/>
      <family val="2"/>
      <scheme val="major"/>
    </font>
    <font>
      <b/>
      <sz val="11"/>
      <color theme="1"/>
      <name val="Calibri"/>
      <family val="2"/>
    </font>
    <font>
      <b/>
      <sz val="9"/>
      <color rgb="FFFFF9F9"/>
      <name val="Calibri"/>
      <family val="2"/>
    </font>
    <font>
      <b/>
      <sz val="12"/>
      <name val="Calibri"/>
      <family val="2"/>
    </font>
    <font>
      <b/>
      <sz val="12"/>
      <color rgb="FFFFFFFF"/>
      <name val="Calibri"/>
      <family val="2"/>
    </font>
    <font>
      <b/>
      <sz val="12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2"/>
      <color theme="0"/>
      <name val="Calibri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333333"/>
      <name val="Times New Roman"/>
      <family val="1"/>
    </font>
    <font>
      <b/>
      <sz val="12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2"/>
      <color theme="1"/>
      <name val="Calibri"/>
      <family val="2"/>
      <scheme val="minor"/>
    </font>
    <font>
      <sz val="13"/>
      <color theme="1"/>
      <name val="Berlin Sans FB"/>
      <family val="2"/>
    </font>
    <font>
      <i/>
      <sz val="10"/>
      <color theme="1"/>
      <name val="Calibri Light"/>
      <family val="2"/>
      <scheme val="major"/>
    </font>
    <font>
      <sz val="10"/>
      <name val="Calibri"/>
      <family val="2"/>
      <scheme val="minor"/>
    </font>
  </fonts>
  <fills count="6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B9398B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1456A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758F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1D9AAB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BAACE"/>
        <bgColor indexed="64"/>
      </patternFill>
    </fill>
    <fill>
      <patternFill patternType="solid">
        <fgColor rgb="FF9FEFD6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0.39997558519241921"/>
        <bgColor rgb="FF6D9EEB"/>
      </patternFill>
    </fill>
    <fill>
      <patternFill patternType="solid">
        <fgColor theme="8" tint="0.39997558519241921"/>
        <bgColor rgb="FFB7E1C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002060"/>
        <bgColor rgb="FF6D9EEB"/>
      </patternFill>
    </fill>
    <fill>
      <patternFill patternType="solid">
        <fgColor rgb="FF002060"/>
        <bgColor rgb="FFB7E1CD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1C4587"/>
        <bgColor indexed="64"/>
      </patternFill>
    </fill>
    <fill>
      <patternFill patternType="solid">
        <fgColor rgb="FF1C4587"/>
        <bgColor rgb="FF1C4587"/>
      </patternFill>
    </fill>
    <fill>
      <patternFill patternType="solid">
        <fgColor rgb="FFFFFF00"/>
        <bgColor rgb="FFA8D08D"/>
      </patternFill>
    </fill>
    <fill>
      <patternFill patternType="solid">
        <fgColor rgb="FFFFFF00"/>
        <bgColor rgb="FFE2EFD9"/>
      </patternFill>
    </fill>
    <fill>
      <patternFill patternType="solid">
        <fgColor theme="9" tint="0.39997558519241921"/>
        <bgColor rgb="FFA8D08D"/>
      </patternFill>
    </fill>
    <fill>
      <patternFill patternType="solid">
        <fgColor theme="9" tint="0.39997558519241921"/>
        <bgColor rgb="FFE2EFD9"/>
      </patternFill>
    </fill>
    <fill>
      <patternFill patternType="solid">
        <fgColor rgb="FFFF0000"/>
        <bgColor rgb="FFF7CAAC"/>
      </patternFill>
    </fill>
    <fill>
      <patternFill patternType="solid">
        <fgColor theme="9" tint="0.39997558519241921"/>
        <bgColor rgb="FFF7CAAC"/>
      </patternFill>
    </fill>
    <fill>
      <patternFill patternType="solid">
        <fgColor theme="0"/>
        <bgColor rgb="FFF7CAAC"/>
      </patternFill>
    </fill>
    <fill>
      <patternFill patternType="solid">
        <fgColor rgb="FF2F5496"/>
        <bgColor rgb="FF2F5496"/>
      </patternFill>
    </fill>
    <fill>
      <patternFill patternType="solid">
        <fgColor rgb="FFFF0000"/>
        <bgColor rgb="FFFF0000"/>
      </patternFill>
    </fill>
    <fill>
      <patternFill patternType="solid">
        <fgColor rgb="FF4472C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theme="9"/>
        <bgColor indexed="64"/>
      </patternFill>
    </fill>
  </fills>
  <borders count="7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1D868B"/>
      </left>
      <right style="thin">
        <color rgb="FF1D868B"/>
      </right>
      <top style="thin">
        <color rgb="FF1D868B"/>
      </top>
      <bottom style="thin">
        <color rgb="FF1D868B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30C00"/>
      </right>
      <top style="thin">
        <color rgb="FF000300"/>
      </top>
      <bottom style="thin">
        <color rgb="FF485B4F"/>
      </bottom>
      <diagonal/>
    </border>
    <border>
      <left/>
      <right/>
      <top style="thin">
        <color rgb="FF000300"/>
      </top>
      <bottom style="thin">
        <color rgb="FF485B4F"/>
      </bottom>
      <diagonal/>
    </border>
    <border>
      <left style="thin">
        <color rgb="FF030303"/>
      </left>
      <right/>
      <top style="thin">
        <color rgb="FF000300"/>
      </top>
      <bottom style="thin">
        <color rgb="FF485B4F"/>
      </bottom>
      <diagonal/>
    </border>
    <border>
      <left style="thin">
        <color rgb="FF030803"/>
      </left>
      <right style="thin">
        <color rgb="FF030303"/>
      </right>
      <top style="thin">
        <color rgb="FF000300"/>
      </top>
      <bottom style="thin">
        <color rgb="FF485B4F"/>
      </bottom>
      <diagonal/>
    </border>
    <border>
      <left style="thin">
        <color rgb="FF030303"/>
      </left>
      <right style="thin">
        <color rgb="FF030803"/>
      </right>
      <top style="thin">
        <color rgb="FF000300"/>
      </top>
      <bottom style="thin">
        <color rgb="FF485B4F"/>
      </bottom>
      <diagonal/>
    </border>
    <border>
      <left/>
      <right style="thin">
        <color rgb="FF030C00"/>
      </right>
      <top style="thin">
        <color rgb="FF000300"/>
      </top>
      <bottom style="thin">
        <color rgb="FF000300"/>
      </bottom>
      <diagonal/>
    </border>
    <border>
      <left/>
      <right/>
      <top style="thin">
        <color rgb="FF000300"/>
      </top>
      <bottom style="thin">
        <color rgb="FF000300"/>
      </bottom>
      <diagonal/>
    </border>
    <border>
      <left style="thin">
        <color rgb="FF030303"/>
      </left>
      <right/>
      <top style="thin">
        <color rgb="FF000300"/>
      </top>
      <bottom style="thin">
        <color rgb="FF000300"/>
      </bottom>
      <diagonal/>
    </border>
    <border>
      <left style="thin">
        <color rgb="FF030803"/>
      </left>
      <right style="thin">
        <color rgb="FF030303"/>
      </right>
      <top style="thin">
        <color rgb="FF000300"/>
      </top>
      <bottom style="thin">
        <color rgb="FF000300"/>
      </bottom>
      <diagonal/>
    </border>
    <border>
      <left style="thin">
        <color rgb="FF030303"/>
      </left>
      <right style="thin">
        <color rgb="FF030803"/>
      </right>
      <top style="thin">
        <color rgb="FF000300"/>
      </top>
      <bottom style="thin">
        <color rgb="FF000300"/>
      </bottom>
      <diagonal/>
    </border>
    <border>
      <left/>
      <right style="thin">
        <color rgb="FF030C00"/>
      </right>
      <top style="thin">
        <color rgb="FF030803"/>
      </top>
      <bottom style="thin">
        <color rgb="FF000300"/>
      </bottom>
      <diagonal/>
    </border>
    <border>
      <left/>
      <right/>
      <top style="thin">
        <color rgb="FF030803"/>
      </top>
      <bottom style="thin">
        <color rgb="FF000300"/>
      </bottom>
      <diagonal/>
    </border>
    <border>
      <left style="thin">
        <color rgb="FF030303"/>
      </left>
      <right/>
      <top style="thin">
        <color rgb="FF030803"/>
      </top>
      <bottom style="thin">
        <color rgb="FF000300"/>
      </bottom>
      <diagonal/>
    </border>
    <border>
      <left style="thin">
        <color rgb="FF030803"/>
      </left>
      <right style="thin">
        <color rgb="FF030303"/>
      </right>
      <top style="thin">
        <color rgb="FF030803"/>
      </top>
      <bottom style="thin">
        <color rgb="FF000300"/>
      </bottom>
      <diagonal/>
    </border>
    <border>
      <left style="thin">
        <color rgb="FF030303"/>
      </left>
      <right style="thin">
        <color rgb="FF030803"/>
      </right>
      <top style="thin">
        <color rgb="FF030803"/>
      </top>
      <bottom style="thin">
        <color rgb="FF000300"/>
      </bottom>
      <diagonal/>
    </border>
    <border>
      <left/>
      <right style="thin">
        <color rgb="FF030C00"/>
      </right>
      <top style="thin">
        <color rgb="FF000300"/>
      </top>
      <bottom style="thin">
        <color rgb="FF030803"/>
      </bottom>
      <diagonal/>
    </border>
    <border>
      <left/>
      <right/>
      <top style="thin">
        <color rgb="FF000300"/>
      </top>
      <bottom style="thin">
        <color rgb="FF030803"/>
      </bottom>
      <diagonal/>
    </border>
    <border>
      <left style="thin">
        <color rgb="FF030303"/>
      </left>
      <right/>
      <top style="thin">
        <color rgb="FF000300"/>
      </top>
      <bottom style="thin">
        <color rgb="FF030803"/>
      </bottom>
      <diagonal/>
    </border>
    <border>
      <left style="thin">
        <color rgb="FF030803"/>
      </left>
      <right style="thin">
        <color rgb="FF030303"/>
      </right>
      <top style="thin">
        <color rgb="FF000300"/>
      </top>
      <bottom style="thin">
        <color rgb="FF030803"/>
      </bottom>
      <diagonal/>
    </border>
    <border>
      <left style="thin">
        <color rgb="FF030303"/>
      </left>
      <right style="thin">
        <color rgb="FF030803"/>
      </right>
      <top style="thin">
        <color rgb="FF000300"/>
      </top>
      <bottom style="thin">
        <color rgb="FF030803"/>
      </bottom>
      <diagonal/>
    </border>
    <border>
      <left/>
      <right style="thin">
        <color rgb="FF030C00"/>
      </right>
      <top/>
      <bottom style="thin">
        <color rgb="FF000300"/>
      </bottom>
      <diagonal/>
    </border>
    <border>
      <left/>
      <right/>
      <top style="thin">
        <color rgb="FFBFBFBF"/>
      </top>
      <bottom style="thin">
        <color rgb="FF000300"/>
      </bottom>
      <diagonal/>
    </border>
    <border>
      <left style="thin">
        <color rgb="FF030303"/>
      </left>
      <right/>
      <top style="thin">
        <color rgb="FFBFBFBF"/>
      </top>
      <bottom style="thin">
        <color rgb="FF000300"/>
      </bottom>
      <diagonal/>
    </border>
    <border>
      <left style="thin">
        <color rgb="FF030803"/>
      </left>
      <right style="thin">
        <color rgb="FF030303"/>
      </right>
      <top style="thin">
        <color rgb="FFBFBFBF"/>
      </top>
      <bottom style="thin">
        <color rgb="FF000300"/>
      </bottom>
      <diagonal/>
    </border>
    <border>
      <left style="thin">
        <color rgb="FF030303"/>
      </left>
      <right style="thin">
        <color rgb="FF030803"/>
      </right>
      <top style="thin">
        <color rgb="FFBFBFBF"/>
      </top>
      <bottom style="thin">
        <color rgb="FF000300"/>
      </bottom>
      <diagonal/>
    </border>
    <border>
      <left style="thin">
        <color theme="4" tint="-0.249977111117893"/>
      </left>
      <right style="thin">
        <color theme="4" tint="-0.249977111117893"/>
      </right>
      <top/>
      <bottom/>
      <diagonal/>
    </border>
    <border>
      <left style="medium">
        <color rgb="FFE8E8E8"/>
      </left>
      <right style="medium">
        <color rgb="FFE8E8E8"/>
      </right>
      <top style="medium">
        <color rgb="FFE8E8E8"/>
      </top>
      <bottom style="medium">
        <color rgb="FFE8E8E8"/>
      </bottom>
      <diagonal/>
    </border>
    <border>
      <left style="thin">
        <color rgb="FF000003"/>
      </left>
      <right/>
      <top/>
      <bottom style="thin">
        <color rgb="FF000300"/>
      </bottom>
      <diagonal/>
    </border>
    <border>
      <left style="thin">
        <color rgb="FF000000"/>
      </left>
      <right/>
      <top/>
      <bottom style="thin">
        <color rgb="FF000300"/>
      </bottom>
      <diagonal/>
    </border>
    <border>
      <left style="thin">
        <color rgb="FF030800"/>
      </left>
      <right/>
      <top style="thin">
        <color rgb="FFAFC8A8"/>
      </top>
      <bottom style="thin">
        <color rgb="FF000300"/>
      </bottom>
      <diagonal/>
    </border>
    <border>
      <left/>
      <right style="thin">
        <color rgb="FF000800"/>
      </right>
      <top style="thin">
        <color rgb="FFAFC8A8"/>
      </top>
      <bottom style="thin">
        <color rgb="FF000300"/>
      </bottom>
      <diagonal/>
    </border>
    <border>
      <left style="thin">
        <color rgb="FF000003"/>
      </left>
      <right/>
      <top style="thin">
        <color rgb="FF000300"/>
      </top>
      <bottom style="thin">
        <color rgb="FF000000"/>
      </bottom>
      <diagonal/>
    </border>
    <border>
      <left/>
      <right style="thin">
        <color rgb="FF000000"/>
      </right>
      <top style="thin">
        <color rgb="FF000300"/>
      </top>
      <bottom style="thin">
        <color rgb="FF000000"/>
      </bottom>
      <diagonal/>
    </border>
    <border>
      <left style="thin">
        <color rgb="FF000000"/>
      </left>
      <right/>
      <top style="thin">
        <color rgb="FF000300"/>
      </top>
      <bottom style="thin">
        <color rgb="FF000000"/>
      </bottom>
      <diagonal/>
    </border>
    <border>
      <left/>
      <right style="thin">
        <color rgb="FF000800"/>
      </right>
      <top style="thin">
        <color rgb="FF000300"/>
      </top>
      <bottom style="thin">
        <color rgb="FF000000"/>
      </bottom>
      <diagonal/>
    </border>
    <border>
      <left style="thin">
        <color rgb="FF000003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800"/>
      </right>
      <top style="thin">
        <color rgb="FF000000"/>
      </top>
      <bottom style="thin">
        <color rgb="FF000000"/>
      </bottom>
      <diagonal/>
    </border>
    <border>
      <left style="thin">
        <color rgb="FF000003"/>
      </left>
      <right/>
      <top style="thin">
        <color rgb="FF000000"/>
      </top>
      <bottom style="thin">
        <color rgb="FF000300"/>
      </bottom>
      <diagonal/>
    </border>
    <border>
      <left/>
      <right style="thin">
        <color rgb="FF000000"/>
      </right>
      <top style="thin">
        <color rgb="FF000000"/>
      </top>
      <bottom style="thin">
        <color rgb="FF000300"/>
      </bottom>
      <diagonal/>
    </border>
    <border>
      <left style="thin">
        <color rgb="FF000000"/>
      </left>
      <right/>
      <top style="thin">
        <color rgb="FF000000"/>
      </top>
      <bottom style="thin">
        <color rgb="FF000300"/>
      </bottom>
      <diagonal/>
    </border>
    <border>
      <left/>
      <right style="thin">
        <color rgb="FF000800"/>
      </right>
      <top style="thin">
        <color rgb="FF000000"/>
      </top>
      <bottom style="thin">
        <color rgb="FF000300"/>
      </bottom>
      <diagonal/>
    </border>
    <border>
      <left style="thin">
        <color rgb="FF000003"/>
      </left>
      <right/>
      <top style="thin">
        <color rgb="FF000300"/>
      </top>
      <bottom style="thin">
        <color rgb="FF000300"/>
      </bottom>
      <diagonal/>
    </border>
    <border>
      <left/>
      <right style="thin">
        <color rgb="FF000000"/>
      </right>
      <top style="thin">
        <color rgb="FF000300"/>
      </top>
      <bottom style="thin">
        <color rgb="FF000300"/>
      </bottom>
      <diagonal/>
    </border>
    <border>
      <left style="thin">
        <color rgb="FF000000"/>
      </left>
      <right/>
      <top style="thin">
        <color rgb="FF000300"/>
      </top>
      <bottom style="thin">
        <color rgb="FF000300"/>
      </bottom>
      <diagonal/>
    </border>
    <border>
      <left/>
      <right style="thin">
        <color rgb="FF000800"/>
      </right>
      <top style="thin">
        <color rgb="FF000300"/>
      </top>
      <bottom style="thin">
        <color rgb="FF0003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6" borderId="5" applyNumberFormat="0" applyAlignment="0" applyProtection="0"/>
    <xf numFmtId="0" fontId="35" fillId="0" borderId="0"/>
  </cellStyleXfs>
  <cellXfs count="71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0" fontId="0" fillId="5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14" fontId="0" fillId="5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/>
    <xf numFmtId="14" fontId="3" fillId="0" borderId="1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4" fillId="6" borderId="6" xfId="1" applyBorder="1" applyAlignment="1">
      <alignment horizont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/>
    </xf>
    <xf numFmtId="0" fontId="4" fillId="7" borderId="6" xfId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4" fillId="0" borderId="6" xfId="1" applyFill="1" applyBorder="1" applyAlignment="1">
      <alignment horizontal="center"/>
    </xf>
    <xf numFmtId="0" fontId="4" fillId="0" borderId="1" xfId="1" applyFill="1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0" fontId="4" fillId="0" borderId="8" xfId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7" borderId="1" xfId="0" quotePrefix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14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14" fontId="0" fillId="12" borderId="1" xfId="0" applyNumberFormat="1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1" fillId="0" borderId="0" xfId="0" applyFont="1" applyAlignment="1">
      <alignment vertical="center"/>
    </xf>
    <xf numFmtId="0" fontId="0" fillId="13" borderId="1" xfId="0" applyFill="1" applyBorder="1" applyAlignment="1">
      <alignment horizontal="center" vertical="center"/>
    </xf>
    <xf numFmtId="14" fontId="0" fillId="13" borderId="1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0" borderId="4" xfId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top"/>
    </xf>
    <xf numFmtId="0" fontId="0" fillId="0" borderId="16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4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5" fillId="0" borderId="7" xfId="0" applyFont="1" applyBorder="1" applyAlignment="1">
      <alignment horizontal="center" vertical="center"/>
    </xf>
    <xf numFmtId="0" fontId="0" fillId="14" borderId="2" xfId="0" applyFill="1" applyBorder="1" applyAlignment="1">
      <alignment horizontal="left" vertical="center"/>
    </xf>
    <xf numFmtId="0" fontId="0" fillId="14" borderId="1" xfId="0" applyFill="1" applyBorder="1" applyAlignment="1">
      <alignment horizontal="center" vertical="center"/>
    </xf>
    <xf numFmtId="14" fontId="0" fillId="14" borderId="1" xfId="0" applyNumberFormat="1" applyFill="1" applyBorder="1" applyAlignment="1">
      <alignment horizontal="center" vertical="center"/>
    </xf>
    <xf numFmtId="0" fontId="0" fillId="0" borderId="0" xfId="0" applyAlignment="1">
      <alignment vertical="top"/>
    </xf>
    <xf numFmtId="14" fontId="0" fillId="0" borderId="0" xfId="0" applyNumberFormat="1" applyAlignment="1">
      <alignment horizontal="center" vertical="center"/>
    </xf>
    <xf numFmtId="49" fontId="0" fillId="14" borderId="1" xfId="0" applyNumberForma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/>
    </xf>
    <xf numFmtId="0" fontId="0" fillId="15" borderId="2" xfId="0" applyFill="1" applyBorder="1" applyAlignment="1">
      <alignment horizontal="left" vertical="center"/>
    </xf>
    <xf numFmtId="14" fontId="0" fillId="15" borderId="1" xfId="0" applyNumberFormat="1" applyFill="1" applyBorder="1" applyAlignment="1">
      <alignment horizontal="center" vertical="center"/>
    </xf>
    <xf numFmtId="49" fontId="0" fillId="15" borderId="1" xfId="0" applyNumberFormat="1" applyFill="1" applyBorder="1" applyAlignment="1">
      <alignment horizontal="center" vertical="center"/>
    </xf>
    <xf numFmtId="0" fontId="0" fillId="15" borderId="2" xfId="0" applyFill="1" applyBorder="1" applyAlignment="1">
      <alignment horizontal="left" vertical="top"/>
    </xf>
    <xf numFmtId="0" fontId="0" fillId="15" borderId="2" xfId="0" applyFill="1" applyBorder="1" applyAlignment="1">
      <alignment horizontal="center" vertical="center"/>
    </xf>
    <xf numFmtId="0" fontId="0" fillId="15" borderId="1" xfId="0" applyFill="1" applyBorder="1" applyAlignment="1">
      <alignment horizontal="left" vertical="top"/>
    </xf>
    <xf numFmtId="1" fontId="0" fillId="15" borderId="1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left" vertical="top"/>
    </xf>
    <xf numFmtId="0" fontId="0" fillId="7" borderId="2" xfId="0" applyFill="1" applyBorder="1" applyAlignment="1">
      <alignment horizontal="left" vertical="center"/>
    </xf>
    <xf numFmtId="0" fontId="0" fillId="7" borderId="2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49" fontId="0" fillId="7" borderId="4" xfId="0" applyNumberFormat="1" applyFill="1" applyBorder="1" applyAlignment="1">
      <alignment horizontal="center" vertical="center"/>
    </xf>
    <xf numFmtId="0" fontId="0" fillId="12" borderId="2" xfId="0" applyFill="1" applyBorder="1" applyAlignment="1">
      <alignment horizontal="left" vertical="center"/>
    </xf>
    <xf numFmtId="0" fontId="0" fillId="12" borderId="2" xfId="0" applyFill="1" applyBorder="1" applyAlignment="1">
      <alignment horizontal="center" vertical="center"/>
    </xf>
    <xf numFmtId="0" fontId="0" fillId="12" borderId="1" xfId="0" applyFill="1" applyBorder="1" applyAlignment="1">
      <alignment horizontal="left" vertical="top"/>
    </xf>
    <xf numFmtId="0" fontId="0" fillId="16" borderId="1" xfId="0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7" borderId="2" xfId="0" applyFill="1" applyBorder="1" applyAlignment="1">
      <alignment horizontal="left" vertical="top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4" fillId="2" borderId="1" xfId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4" fillId="12" borderId="1" xfId="1" applyFill="1" applyBorder="1" applyAlignment="1">
      <alignment horizontal="center"/>
    </xf>
    <xf numFmtId="0" fontId="0" fillId="17" borderId="1" xfId="0" applyFill="1" applyBorder="1"/>
    <xf numFmtId="0" fontId="0" fillId="17" borderId="1" xfId="0" applyFill="1" applyBorder="1" applyAlignment="1">
      <alignment horizontal="center"/>
    </xf>
    <xf numFmtId="0" fontId="0" fillId="17" borderId="1" xfId="0" applyFill="1" applyBorder="1" applyAlignment="1">
      <alignment horizontal="center" vertical="center"/>
    </xf>
    <xf numFmtId="14" fontId="0" fillId="17" borderId="1" xfId="0" applyNumberFormat="1" applyFill="1" applyBorder="1" applyAlignment="1">
      <alignment horizontal="center" vertical="center"/>
    </xf>
    <xf numFmtId="0" fontId="0" fillId="12" borderId="1" xfId="0" applyFill="1" applyBorder="1"/>
    <xf numFmtId="0" fontId="0" fillId="7" borderId="1" xfId="0" quotePrefix="1" applyFill="1" applyBorder="1" applyAlignment="1">
      <alignment horizontal="center" vertical="center"/>
    </xf>
    <xf numFmtId="0" fontId="4" fillId="7" borderId="1" xfId="1" applyFill="1" applyBorder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left" vertical="top"/>
    </xf>
    <xf numFmtId="0" fontId="0" fillId="16" borderId="1" xfId="0" applyFill="1" applyBorder="1"/>
    <xf numFmtId="0" fontId="0" fillId="16" borderId="1" xfId="0" applyFill="1" applyBorder="1" applyAlignment="1">
      <alignment horizontal="center"/>
    </xf>
    <xf numFmtId="14" fontId="0" fillId="16" borderId="1" xfId="0" applyNumberFormat="1" applyFill="1" applyBorder="1" applyAlignment="1">
      <alignment horizontal="center" vertical="center"/>
    </xf>
    <xf numFmtId="0" fontId="0" fillId="12" borderId="1" xfId="0" quotePrefix="1" applyFill="1" applyBorder="1" applyAlignment="1">
      <alignment horizontal="center" vertical="center"/>
    </xf>
    <xf numFmtId="0" fontId="0" fillId="16" borderId="1" xfId="0" applyFill="1" applyBorder="1" applyAlignment="1">
      <alignment horizontal="left" vertical="top"/>
    </xf>
    <xf numFmtId="49" fontId="0" fillId="16" borderId="1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left" vertical="top"/>
    </xf>
    <xf numFmtId="0" fontId="0" fillId="0" borderId="7" xfId="0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0" fillId="18" borderId="1" xfId="0" applyFill="1" applyBorder="1" applyAlignment="1">
      <alignment horizontal="center" vertical="center"/>
    </xf>
    <xf numFmtId="0" fontId="0" fillId="4" borderId="16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left" vertical="center"/>
    </xf>
    <xf numFmtId="49" fontId="0" fillId="4" borderId="2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top"/>
    </xf>
    <xf numFmtId="0" fontId="0" fillId="19" borderId="1" xfId="0" applyFill="1" applyBorder="1"/>
    <xf numFmtId="0" fontId="0" fillId="19" borderId="1" xfId="0" applyFill="1" applyBorder="1" applyAlignment="1">
      <alignment horizontal="center"/>
    </xf>
    <xf numFmtId="0" fontId="0" fillId="19" borderId="1" xfId="0" applyFill="1" applyBorder="1" applyAlignment="1">
      <alignment horizontal="center" vertical="center"/>
    </xf>
    <xf numFmtId="14" fontId="0" fillId="19" borderId="1" xfId="0" applyNumberFormat="1" applyFill="1" applyBorder="1" applyAlignment="1">
      <alignment horizontal="center" vertical="center"/>
    </xf>
    <xf numFmtId="0" fontId="0" fillId="19" borderId="1" xfId="0" applyFill="1" applyBorder="1" applyAlignment="1">
      <alignment horizontal="left" vertical="top"/>
    </xf>
    <xf numFmtId="0" fontId="0" fillId="0" borderId="4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0" borderId="10" xfId="0" applyBorder="1"/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0" fillId="0" borderId="0" xfId="0" applyAlignment="1">
      <alignment horizontal="left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1" xfId="0" applyNumberFormat="1" applyBorder="1" applyAlignment="1">
      <alignment horizontal="left" vertical="top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20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0" fillId="21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22" borderId="1" xfId="0" applyFont="1" applyFill="1" applyBorder="1" applyAlignment="1">
      <alignment horizontal="center" vertical="center"/>
    </xf>
    <xf numFmtId="14" fontId="13" fillId="22" borderId="1" xfId="0" applyNumberFormat="1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center" vertical="center"/>
    </xf>
    <xf numFmtId="14" fontId="14" fillId="16" borderId="1" xfId="0" applyNumberFormat="1" applyFont="1" applyFill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9" xfId="0" applyFont="1" applyBorder="1" applyAlignment="1">
      <alignment horizontal="left" vertical="center"/>
    </xf>
    <xf numFmtId="0" fontId="14" fillId="0" borderId="19" xfId="0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0" fontId="14" fillId="0" borderId="19" xfId="0" applyFont="1" applyBorder="1" applyAlignment="1">
      <alignment vertical="center"/>
    </xf>
    <xf numFmtId="17" fontId="0" fillId="0" borderId="0" xfId="0" applyNumberFormat="1" applyAlignment="1">
      <alignment horizontal="center"/>
    </xf>
    <xf numFmtId="0" fontId="14" fillId="23" borderId="1" xfId="0" applyFont="1" applyFill="1" applyBorder="1" applyAlignment="1">
      <alignment horizontal="center" vertical="center"/>
    </xf>
    <xf numFmtId="14" fontId="14" fillId="23" borderId="1" xfId="0" applyNumberFormat="1" applyFont="1" applyFill="1" applyBorder="1" applyAlignment="1">
      <alignment horizontal="center" vertical="center"/>
    </xf>
    <xf numFmtId="0" fontId="15" fillId="23" borderId="1" xfId="0" applyFont="1" applyFill="1" applyBorder="1" applyAlignment="1">
      <alignment horizontal="center" vertical="center"/>
    </xf>
    <xf numFmtId="0" fontId="15" fillId="24" borderId="1" xfId="0" applyFont="1" applyFill="1" applyBorder="1" applyAlignment="1">
      <alignment horizontal="center" vertical="center"/>
    </xf>
    <xf numFmtId="0" fontId="15" fillId="25" borderId="1" xfId="0" applyFont="1" applyFill="1" applyBorder="1" applyAlignment="1">
      <alignment horizontal="center" vertical="center"/>
    </xf>
    <xf numFmtId="0" fontId="16" fillId="26" borderId="1" xfId="0" applyFont="1" applyFill="1" applyBorder="1" applyAlignment="1">
      <alignment horizontal="center" vertical="center"/>
    </xf>
    <xf numFmtId="14" fontId="16" fillId="26" borderId="1" xfId="0" applyNumberFormat="1" applyFont="1" applyFill="1" applyBorder="1" applyAlignment="1">
      <alignment horizontal="center" vertical="center"/>
    </xf>
    <xf numFmtId="165" fontId="16" fillId="26" borderId="1" xfId="0" applyNumberFormat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165" fontId="15" fillId="7" borderId="1" xfId="0" applyNumberFormat="1" applyFont="1" applyFill="1" applyBorder="1" applyAlignment="1">
      <alignment horizontal="center" vertical="center"/>
    </xf>
    <xf numFmtId="14" fontId="15" fillId="7" borderId="1" xfId="0" applyNumberFormat="1" applyFont="1" applyFill="1" applyBorder="1" applyAlignment="1">
      <alignment horizontal="center" vertical="center"/>
    </xf>
    <xf numFmtId="165" fontId="14" fillId="0" borderId="1" xfId="0" applyNumberFormat="1" applyFont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165" fontId="14" fillId="7" borderId="1" xfId="0" applyNumberFormat="1" applyFont="1" applyFill="1" applyBorder="1" applyAlignment="1">
      <alignment horizontal="center" vertical="center"/>
    </xf>
    <xf numFmtId="14" fontId="14" fillId="7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3" fillId="27" borderId="1" xfId="0" applyFont="1" applyFill="1" applyBorder="1" applyAlignment="1">
      <alignment horizontal="center" vertical="center"/>
    </xf>
    <xf numFmtId="14" fontId="13" fillId="27" borderId="1" xfId="0" applyNumberFormat="1" applyFont="1" applyFill="1" applyBorder="1" applyAlignment="1">
      <alignment horizontal="center" vertical="center"/>
    </xf>
    <xf numFmtId="0" fontId="15" fillId="28" borderId="1" xfId="0" applyFont="1" applyFill="1" applyBorder="1" applyAlignment="1">
      <alignment horizontal="center" vertical="center"/>
    </xf>
    <xf numFmtId="0" fontId="15" fillId="29" borderId="1" xfId="0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/>
    </xf>
    <xf numFmtId="0" fontId="15" fillId="30" borderId="1" xfId="0" applyFont="1" applyFill="1" applyBorder="1" applyAlignment="1">
      <alignment horizontal="center" vertical="center"/>
    </xf>
    <xf numFmtId="0" fontId="13" fillId="26" borderId="1" xfId="0" applyFont="1" applyFill="1" applyBorder="1" applyAlignment="1">
      <alignment horizontal="center" vertical="center"/>
    </xf>
    <xf numFmtId="14" fontId="13" fillId="26" borderId="1" xfId="0" applyNumberFormat="1" applyFont="1" applyFill="1" applyBorder="1" applyAlignment="1">
      <alignment horizontal="center" vertical="center"/>
    </xf>
    <xf numFmtId="0" fontId="15" fillId="31" borderId="1" xfId="0" applyFont="1" applyFill="1" applyBorder="1" applyAlignment="1">
      <alignment horizontal="center" vertical="center"/>
    </xf>
    <xf numFmtId="0" fontId="15" fillId="32" borderId="1" xfId="0" applyFont="1" applyFill="1" applyBorder="1" applyAlignment="1">
      <alignment horizontal="center" vertical="center"/>
    </xf>
    <xf numFmtId="0" fontId="15" fillId="33" borderId="1" xfId="0" applyFont="1" applyFill="1" applyBorder="1" applyAlignment="1">
      <alignment horizontal="center" vertical="center"/>
    </xf>
    <xf numFmtId="0" fontId="15" fillId="34" borderId="1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18" fontId="18" fillId="26" borderId="1" xfId="0" applyNumberFormat="1" applyFont="1" applyFill="1" applyBorder="1" applyAlignment="1">
      <alignment horizontal="center" vertical="center"/>
    </xf>
    <xf numFmtId="165" fontId="18" fillId="26" borderId="1" xfId="0" applyNumberFormat="1" applyFont="1" applyFill="1" applyBorder="1" applyAlignment="1">
      <alignment horizontal="center" vertical="center"/>
    </xf>
    <xf numFmtId="0" fontId="18" fillId="26" borderId="1" xfId="0" applyFont="1" applyFill="1" applyBorder="1" applyAlignment="1">
      <alignment horizontal="center" vertical="center"/>
    </xf>
    <xf numFmtId="0" fontId="19" fillId="26" borderId="1" xfId="0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1" fillId="28" borderId="1" xfId="0" applyFont="1" applyFill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2" fillId="7" borderId="1" xfId="0" applyFont="1" applyFill="1" applyBorder="1" applyAlignment="1">
      <alignment horizontal="center" wrapText="1"/>
    </xf>
    <xf numFmtId="0" fontId="22" fillId="0" borderId="1" xfId="0" applyFont="1" applyBorder="1" applyAlignment="1">
      <alignment horizontal="center"/>
    </xf>
    <xf numFmtId="0" fontId="22" fillId="7" borderId="1" xfId="0" applyFont="1" applyFill="1" applyBorder="1" applyAlignment="1">
      <alignment horizontal="center"/>
    </xf>
    <xf numFmtId="0" fontId="23" fillId="0" borderId="1" xfId="0" applyFont="1" applyBorder="1"/>
    <xf numFmtId="0" fontId="23" fillId="0" borderId="1" xfId="0" applyFont="1" applyBorder="1" applyAlignment="1">
      <alignment wrapText="1"/>
    </xf>
    <xf numFmtId="0" fontId="0" fillId="11" borderId="2" xfId="0" applyFill="1" applyBorder="1" applyAlignment="1">
      <alignment vertical="center"/>
    </xf>
    <xf numFmtId="0" fontId="0" fillId="11" borderId="3" xfId="0" applyFill="1" applyBorder="1" applyAlignment="1">
      <alignment vertical="center"/>
    </xf>
    <xf numFmtId="0" fontId="0" fillId="11" borderId="4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7" borderId="2" xfId="0" applyFill="1" applyBorder="1" applyAlignment="1">
      <alignment vertical="center"/>
    </xf>
    <xf numFmtId="0" fontId="0" fillId="7" borderId="3" xfId="0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12" borderId="1" xfId="0" applyFill="1" applyBorder="1" applyAlignment="1">
      <alignment vertical="center"/>
    </xf>
    <xf numFmtId="0" fontId="24" fillId="35" borderId="1" xfId="0" applyFont="1" applyFill="1" applyBorder="1" applyAlignment="1">
      <alignment horizontal="center" vertical="center" wrapText="1"/>
    </xf>
    <xf numFmtId="165" fontId="24" fillId="35" borderId="1" xfId="0" applyNumberFormat="1" applyFont="1" applyFill="1" applyBorder="1" applyAlignment="1">
      <alignment horizontal="center" vertical="center" wrapText="1"/>
    </xf>
    <xf numFmtId="0" fontId="25" fillId="35" borderId="1" xfId="0" applyFont="1" applyFill="1" applyBorder="1" applyAlignment="1">
      <alignment horizontal="center" vertical="center"/>
    </xf>
    <xf numFmtId="0" fontId="26" fillId="0" borderId="1" xfId="0" applyFont="1" applyBorder="1"/>
    <xf numFmtId="165" fontId="27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5" borderId="1" xfId="0" applyFont="1" applyFill="1" applyBorder="1" applyAlignment="1">
      <alignment horizontal="center" vertical="center"/>
    </xf>
    <xf numFmtId="0" fontId="27" fillId="7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/>
    </xf>
    <xf numFmtId="0" fontId="27" fillId="7" borderId="1" xfId="0" applyFont="1" applyFill="1" applyBorder="1" applyAlignment="1">
      <alignment horizontal="center" vertical="center"/>
    </xf>
    <xf numFmtId="165" fontId="27" fillId="0" borderId="1" xfId="0" applyNumberFormat="1" applyFont="1" applyBorder="1" applyAlignment="1">
      <alignment horizontal="center" vertical="center" wrapText="1"/>
    </xf>
    <xf numFmtId="165" fontId="28" fillId="0" borderId="1" xfId="0" applyNumberFormat="1" applyFont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27" fillId="0" borderId="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7" borderId="2" xfId="0" applyFill="1" applyBorder="1"/>
    <xf numFmtId="0" fontId="0" fillId="7" borderId="3" xfId="0" applyFill="1" applyBorder="1"/>
    <xf numFmtId="0" fontId="0" fillId="7" borderId="4" xfId="0" applyFill="1" applyBorder="1"/>
    <xf numFmtId="0" fontId="0" fillId="12" borderId="2" xfId="0" applyFill="1" applyBorder="1" applyAlignment="1">
      <alignment vertical="center"/>
    </xf>
    <xf numFmtId="0" fontId="0" fillId="12" borderId="3" xfId="0" applyFill="1" applyBorder="1" applyAlignment="1">
      <alignment vertical="center"/>
    </xf>
    <xf numFmtId="0" fontId="0" fillId="12" borderId="4" xfId="0" applyFill="1" applyBorder="1" applyAlignment="1">
      <alignment vertical="center"/>
    </xf>
    <xf numFmtId="0" fontId="0" fillId="13" borderId="2" xfId="0" applyFill="1" applyBorder="1" applyAlignment="1">
      <alignment vertical="center"/>
    </xf>
    <xf numFmtId="0" fontId="0" fillId="13" borderId="3" xfId="0" applyFill="1" applyBorder="1" applyAlignment="1">
      <alignment vertical="center"/>
    </xf>
    <xf numFmtId="0" fontId="0" fillId="13" borderId="4" xfId="0" applyFill="1" applyBorder="1" applyAlignment="1">
      <alignment vertical="center"/>
    </xf>
    <xf numFmtId="0" fontId="29" fillId="36" borderId="20" xfId="0" applyFont="1" applyFill="1" applyBorder="1" applyAlignment="1">
      <alignment horizontal="center" vertical="center"/>
    </xf>
    <xf numFmtId="0" fontId="29" fillId="37" borderId="20" xfId="0" applyFont="1" applyFill="1" applyBorder="1" applyAlignment="1">
      <alignment horizontal="center" vertical="center"/>
    </xf>
    <xf numFmtId="166" fontId="22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/>
    </xf>
    <xf numFmtId="0" fontId="22" fillId="38" borderId="1" xfId="0" applyFont="1" applyFill="1" applyBorder="1" applyAlignment="1">
      <alignment horizontal="center"/>
    </xf>
    <xf numFmtId="0" fontId="22" fillId="39" borderId="1" xfId="0" applyFont="1" applyFill="1" applyBorder="1" applyAlignment="1">
      <alignment horizontal="center"/>
    </xf>
    <xf numFmtId="14" fontId="22" fillId="0" borderId="1" xfId="0" applyNumberFormat="1" applyFont="1" applyBorder="1" applyAlignment="1">
      <alignment horizontal="center" wrapText="1"/>
    </xf>
    <xf numFmtId="0" fontId="22" fillId="4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/>
    </xf>
    <xf numFmtId="0" fontId="23" fillId="7" borderId="1" xfId="0" applyFont="1" applyFill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14" fontId="23" fillId="0" borderId="1" xfId="0" applyNumberFormat="1" applyFont="1" applyBorder="1" applyAlignment="1">
      <alignment horizont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16" fontId="0" fillId="5" borderId="1" xfId="0" applyNumberFormat="1" applyFill="1" applyBorder="1" applyAlignment="1">
      <alignment horizontal="center" vertical="center"/>
    </xf>
    <xf numFmtId="0" fontId="24" fillId="26" borderId="1" xfId="0" applyFont="1" applyFill="1" applyBorder="1" applyAlignment="1">
      <alignment horizontal="left" vertical="center"/>
    </xf>
    <xf numFmtId="14" fontId="24" fillId="41" borderId="1" xfId="0" applyNumberFormat="1" applyFont="1" applyFill="1" applyBorder="1" applyAlignment="1">
      <alignment horizontal="left" vertical="center"/>
    </xf>
    <xf numFmtId="0" fontId="24" fillId="41" borderId="1" xfId="0" applyFont="1" applyFill="1" applyBorder="1" applyAlignment="1">
      <alignment horizontal="left" vertical="center"/>
    </xf>
    <xf numFmtId="0" fontId="24" fillId="42" borderId="1" xfId="0" applyFont="1" applyFill="1" applyBorder="1" applyAlignment="1">
      <alignment horizontal="left" vertical="center"/>
    </xf>
    <xf numFmtId="0" fontId="28" fillId="0" borderId="1" xfId="0" applyFont="1" applyBorder="1" applyAlignment="1">
      <alignment horizontal="left" vertical="top"/>
    </xf>
    <xf numFmtId="14" fontId="28" fillId="0" borderId="1" xfId="0" applyNumberFormat="1" applyFont="1" applyBorder="1" applyAlignment="1">
      <alignment horizontal="left" vertical="top"/>
    </xf>
    <xf numFmtId="0" fontId="28" fillId="38" borderId="1" xfId="0" applyFont="1" applyFill="1" applyBorder="1" applyAlignment="1">
      <alignment horizontal="left" vertical="top"/>
    </xf>
    <xf numFmtId="0" fontId="28" fillId="12" borderId="1" xfId="0" applyFont="1" applyFill="1" applyBorder="1" applyAlignment="1">
      <alignment horizontal="left" vertical="top"/>
    </xf>
    <xf numFmtId="0" fontId="28" fillId="43" borderId="1" xfId="0" applyFont="1" applyFill="1" applyBorder="1" applyAlignment="1">
      <alignment horizontal="left" vertical="top"/>
    </xf>
    <xf numFmtId="14" fontId="28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/>
    </xf>
    <xf numFmtId="0" fontId="28" fillId="40" borderId="1" xfId="0" applyFont="1" applyFill="1" applyBorder="1" applyAlignment="1">
      <alignment horizontal="left" vertical="top" wrapText="1"/>
    </xf>
    <xf numFmtId="0" fontId="28" fillId="14" borderId="1" xfId="0" applyFont="1" applyFill="1" applyBorder="1" applyAlignment="1">
      <alignment horizontal="left" vertical="top"/>
    </xf>
    <xf numFmtId="0" fontId="30" fillId="7" borderId="1" xfId="0" applyFont="1" applyFill="1" applyBorder="1" applyAlignment="1">
      <alignment horizontal="left" vertical="top"/>
    </xf>
    <xf numFmtId="14" fontId="20" fillId="0" borderId="1" xfId="0" applyNumberFormat="1" applyFont="1" applyBorder="1" applyAlignment="1">
      <alignment horizontal="left" vertical="top"/>
    </xf>
    <xf numFmtId="0" fontId="0" fillId="44" borderId="1" xfId="0" applyFill="1" applyBorder="1" applyAlignment="1">
      <alignment horizontal="center" vertical="center"/>
    </xf>
    <xf numFmtId="14" fontId="0" fillId="44" borderId="1" xfId="0" applyNumberForma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left" vertical="top"/>
    </xf>
    <xf numFmtId="14" fontId="15" fillId="7" borderId="1" xfId="0" applyNumberFormat="1" applyFont="1" applyFill="1" applyBorder="1" applyAlignment="1">
      <alignment horizontal="left" vertical="top"/>
    </xf>
    <xf numFmtId="0" fontId="14" fillId="0" borderId="1" xfId="0" applyFont="1" applyBorder="1" applyAlignment="1">
      <alignment horizontal="left" vertical="top"/>
    </xf>
    <xf numFmtId="14" fontId="14" fillId="0" borderId="1" xfId="0" applyNumberFormat="1" applyFont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0" fontId="13" fillId="45" borderId="1" xfId="0" applyFont="1" applyFill="1" applyBorder="1" applyAlignment="1">
      <alignment horizontal="left" vertical="top"/>
    </xf>
    <xf numFmtId="0" fontId="13" fillId="30" borderId="1" xfId="0" applyFont="1" applyFill="1" applyBorder="1" applyAlignment="1">
      <alignment horizontal="left" vertical="top"/>
    </xf>
    <xf numFmtId="0" fontId="14" fillId="46" borderId="1" xfId="0" applyFont="1" applyFill="1" applyBorder="1" applyAlignment="1">
      <alignment horizontal="left" vertical="top"/>
    </xf>
    <xf numFmtId="14" fontId="17" fillId="0" borderId="1" xfId="0" applyNumberFormat="1" applyFont="1" applyBorder="1" applyAlignment="1">
      <alignment horizontal="left" vertical="top" wrapText="1"/>
    </xf>
    <xf numFmtId="0" fontId="17" fillId="40" borderId="1" xfId="0" applyFont="1" applyFill="1" applyBorder="1" applyAlignment="1">
      <alignment horizontal="left" vertical="top" wrapText="1"/>
    </xf>
    <xf numFmtId="0" fontId="17" fillId="0" borderId="1" xfId="0" applyFont="1" applyBorder="1" applyAlignment="1">
      <alignment horizontal="left" vertical="top" wrapText="1"/>
    </xf>
    <xf numFmtId="0" fontId="17" fillId="14" borderId="1" xfId="0" applyFont="1" applyFill="1" applyBorder="1" applyAlignment="1">
      <alignment horizontal="left" vertical="top" wrapText="1"/>
    </xf>
    <xf numFmtId="0" fontId="17" fillId="40" borderId="10" xfId="0" applyFont="1" applyFill="1" applyBorder="1" applyAlignment="1">
      <alignment horizontal="left" vertical="top" wrapText="1"/>
    </xf>
    <xf numFmtId="0" fontId="17" fillId="14" borderId="10" xfId="0" applyFont="1" applyFill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14" fillId="0" borderId="10" xfId="0" applyFont="1" applyBorder="1" applyAlignment="1">
      <alignment horizontal="left" vertical="top"/>
    </xf>
    <xf numFmtId="0" fontId="31" fillId="35" borderId="0" xfId="0" applyFont="1" applyFill="1" applyAlignment="1">
      <alignment horizontal="center" vertical="center"/>
    </xf>
    <xf numFmtId="14" fontId="31" fillId="35" borderId="0" xfId="0" applyNumberFormat="1" applyFont="1" applyFill="1" applyAlignment="1">
      <alignment horizontal="center" vertical="center"/>
    </xf>
    <xf numFmtId="0" fontId="31" fillId="35" borderId="0" xfId="0" applyFont="1" applyFill="1" applyAlignment="1">
      <alignment horizontal="left" vertical="center"/>
    </xf>
    <xf numFmtId="0" fontId="31" fillId="35" borderId="0" xfId="0" applyFont="1" applyFill="1" applyAlignment="1">
      <alignment vertical="center"/>
    </xf>
    <xf numFmtId="0" fontId="14" fillId="0" borderId="1" xfId="0" applyFont="1" applyBorder="1" applyAlignment="1">
      <alignment horizontal="center" vertical="top"/>
    </xf>
    <xf numFmtId="0" fontId="17" fillId="40" borderId="10" xfId="0" applyFont="1" applyFill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14" fillId="0" borderId="1" xfId="0" applyFont="1" applyBorder="1" applyAlignment="1">
      <alignment vertical="top"/>
    </xf>
    <xf numFmtId="14" fontId="0" fillId="0" borderId="0" xfId="0" applyNumberFormat="1"/>
    <xf numFmtId="0" fontId="0" fillId="7" borderId="0" xfId="0" applyFill="1" applyAlignment="1">
      <alignment horizontal="left"/>
    </xf>
    <xf numFmtId="0" fontId="32" fillId="0" borderId="0" xfId="0" applyFont="1" applyAlignment="1">
      <alignment horizontal="left"/>
    </xf>
    <xf numFmtId="0" fontId="33" fillId="47" borderId="0" xfId="0" applyFont="1" applyFill="1"/>
    <xf numFmtId="14" fontId="33" fillId="47" borderId="0" xfId="0" applyNumberFormat="1" applyFont="1" applyFill="1"/>
    <xf numFmtId="0" fontId="0" fillId="7" borderId="0" xfId="0" applyFill="1"/>
    <xf numFmtId="0" fontId="0" fillId="46" borderId="0" xfId="0" applyFill="1"/>
    <xf numFmtId="14" fontId="0" fillId="46" borderId="0" xfId="0" applyNumberFormat="1" applyFill="1"/>
    <xf numFmtId="0" fontId="34" fillId="26" borderId="1" xfId="0" applyFont="1" applyFill="1" applyBorder="1" applyAlignment="1">
      <alignment horizontal="center" vertical="center"/>
    </xf>
    <xf numFmtId="165" fontId="34" fillId="26" borderId="1" xfId="0" applyNumberFormat="1" applyFont="1" applyFill="1" applyBorder="1" applyAlignment="1">
      <alignment horizontal="center" vertical="center"/>
    </xf>
    <xf numFmtId="0" fontId="20" fillId="25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top"/>
    </xf>
    <xf numFmtId="0" fontId="36" fillId="48" borderId="1" xfId="0" applyFont="1" applyFill="1" applyBorder="1" applyAlignment="1">
      <alignment horizontal="left" wrapText="1"/>
    </xf>
    <xf numFmtId="0" fontId="37" fillId="48" borderId="1" xfId="0" applyFont="1" applyFill="1" applyBorder="1" applyAlignment="1">
      <alignment horizontal="left" wrapText="1"/>
    </xf>
    <xf numFmtId="14" fontId="37" fillId="48" borderId="1" xfId="0" applyNumberFormat="1" applyFont="1" applyFill="1" applyBorder="1" applyAlignment="1">
      <alignment horizontal="left" wrapText="1"/>
    </xf>
    <xf numFmtId="14" fontId="37" fillId="48" borderId="1" xfId="0" applyNumberFormat="1" applyFont="1" applyFill="1" applyBorder="1" applyAlignment="1">
      <alignment horizontal="left" vertical="center"/>
    </xf>
    <xf numFmtId="0" fontId="38" fillId="40" borderId="1" xfId="0" applyFont="1" applyFill="1" applyBorder="1" applyAlignment="1">
      <alignment horizontal="left" wrapText="1"/>
    </xf>
    <xf numFmtId="0" fontId="38" fillId="16" borderId="1" xfId="0" applyFont="1" applyFill="1" applyBorder="1" applyAlignment="1">
      <alignment horizontal="left" wrapText="1"/>
    </xf>
    <xf numFmtId="15" fontId="38" fillId="16" borderId="1" xfId="0" applyNumberFormat="1" applyFont="1" applyFill="1" applyBorder="1" applyAlignment="1">
      <alignment horizontal="left" wrapText="1"/>
    </xf>
    <xf numFmtId="0" fontId="38" fillId="25" borderId="1" xfId="0" applyFont="1" applyFill="1" applyBorder="1" applyAlignment="1">
      <alignment horizontal="left" wrapText="1"/>
    </xf>
    <xf numFmtId="11" fontId="38" fillId="25" borderId="1" xfId="0" applyNumberFormat="1" applyFont="1" applyFill="1" applyBorder="1" applyAlignment="1">
      <alignment horizontal="left" wrapText="1"/>
    </xf>
    <xf numFmtId="0" fontId="38" fillId="0" borderId="1" xfId="0" applyFont="1" applyBorder="1" applyAlignment="1">
      <alignment horizontal="left" wrapText="1"/>
    </xf>
    <xf numFmtId="0" fontId="38" fillId="40" borderId="1" xfId="0" applyFont="1" applyFill="1" applyBorder="1" applyAlignment="1">
      <alignment horizontal="left" vertical="center"/>
    </xf>
    <xf numFmtId="14" fontId="38" fillId="40" borderId="1" xfId="0" applyNumberFormat="1" applyFont="1" applyFill="1" applyBorder="1" applyAlignment="1">
      <alignment horizontal="left" wrapText="1"/>
    </xf>
    <xf numFmtId="0" fontId="39" fillId="12" borderId="1" xfId="0" applyFont="1" applyFill="1" applyBorder="1" applyAlignment="1">
      <alignment horizontal="left" wrapText="1"/>
    </xf>
    <xf numFmtId="0" fontId="38" fillId="0" borderId="1" xfId="0" applyFont="1" applyBorder="1" applyAlignment="1">
      <alignment horizontal="left" vertical="center"/>
    </xf>
    <xf numFmtId="0" fontId="38" fillId="7" borderId="1" xfId="0" applyFont="1" applyFill="1" applyBorder="1" applyAlignment="1">
      <alignment horizontal="left" wrapText="1"/>
    </xf>
    <xf numFmtId="0" fontId="38" fillId="0" borderId="1" xfId="0" applyFont="1" applyBorder="1" applyAlignment="1">
      <alignment horizontal="left"/>
    </xf>
    <xf numFmtId="14" fontId="38" fillId="0" borderId="1" xfId="0" applyNumberFormat="1" applyFont="1" applyBorder="1" applyAlignment="1">
      <alignment horizontal="left"/>
    </xf>
    <xf numFmtId="15" fontId="38" fillId="0" borderId="1" xfId="0" applyNumberFormat="1" applyFont="1" applyBorder="1" applyAlignment="1">
      <alignment horizontal="left" wrapText="1"/>
    </xf>
    <xf numFmtId="167" fontId="0" fillId="0" borderId="1" xfId="0" applyNumberFormat="1" applyBorder="1"/>
    <xf numFmtId="1" fontId="0" fillId="0" borderId="1" xfId="0" applyNumberFormat="1" applyBorder="1"/>
    <xf numFmtId="0" fontId="0" fillId="16" borderId="1" xfId="0" applyFill="1" applyBorder="1" applyAlignment="1">
      <alignment horizontal="left"/>
    </xf>
    <xf numFmtId="0" fontId="0" fillId="16" borderId="1" xfId="0" applyFill="1" applyBorder="1" applyAlignment="1">
      <alignment horizontal="left" vertical="center"/>
    </xf>
    <xf numFmtId="0" fontId="40" fillId="49" borderId="1" xfId="0" applyFont="1" applyFill="1" applyBorder="1" applyAlignment="1">
      <alignment horizontal="left" wrapText="1"/>
    </xf>
    <xf numFmtId="0" fontId="41" fillId="49" borderId="1" xfId="0" applyFont="1" applyFill="1" applyBorder="1" applyAlignment="1">
      <alignment horizontal="left" wrapText="1"/>
    </xf>
    <xf numFmtId="1" fontId="41" fillId="49" borderId="1" xfId="0" applyNumberFormat="1" applyFont="1" applyFill="1" applyBorder="1" applyAlignment="1">
      <alignment horizontal="left" wrapText="1"/>
    </xf>
    <xf numFmtId="14" fontId="41" fillId="49" borderId="1" xfId="0" applyNumberFormat="1" applyFont="1" applyFill="1" applyBorder="1" applyAlignment="1">
      <alignment horizontal="left" wrapText="1"/>
    </xf>
    <xf numFmtId="14" fontId="41" fillId="49" borderId="1" xfId="0" applyNumberFormat="1" applyFont="1" applyFill="1" applyBorder="1" applyAlignment="1">
      <alignment horizontal="left" vertical="center"/>
    </xf>
    <xf numFmtId="0" fontId="35" fillId="38" borderId="1" xfId="0" applyFont="1" applyFill="1" applyBorder="1" applyAlignment="1">
      <alignment horizontal="left" wrapText="1"/>
    </xf>
    <xf numFmtId="0" fontId="35" fillId="0" borderId="1" xfId="0" applyFont="1" applyBorder="1" applyAlignment="1">
      <alignment horizontal="left" wrapText="1"/>
    </xf>
    <xf numFmtId="15" fontId="35" fillId="0" borderId="1" xfId="0" applyNumberFormat="1" applyFont="1" applyBorder="1" applyAlignment="1">
      <alignment horizontal="left" wrapText="1"/>
    </xf>
    <xf numFmtId="0" fontId="35" fillId="50" borderId="1" xfId="0" applyFont="1" applyFill="1" applyBorder="1" applyAlignment="1">
      <alignment horizontal="left" wrapText="1"/>
    </xf>
    <xf numFmtId="1" fontId="35" fillId="50" borderId="1" xfId="0" applyNumberFormat="1" applyFont="1" applyFill="1" applyBorder="1" applyAlignment="1">
      <alignment horizontal="left" wrapText="1"/>
    </xf>
    <xf numFmtId="0" fontId="35" fillId="51" borderId="1" xfId="0" applyFont="1" applyFill="1" applyBorder="1" applyAlignment="1">
      <alignment horizontal="left" wrapText="1"/>
    </xf>
    <xf numFmtId="0" fontId="35" fillId="40" borderId="1" xfId="0" applyFont="1" applyFill="1" applyBorder="1" applyAlignment="1">
      <alignment horizontal="left" wrapText="1"/>
    </xf>
    <xf numFmtId="14" fontId="35" fillId="38" borderId="1" xfId="0" applyNumberFormat="1" applyFont="1" applyFill="1" applyBorder="1" applyAlignment="1">
      <alignment horizontal="left" wrapText="1"/>
    </xf>
    <xf numFmtId="0" fontId="35" fillId="52" borderId="1" xfId="0" applyFont="1" applyFill="1" applyBorder="1" applyAlignment="1">
      <alignment horizontal="left" wrapText="1"/>
    </xf>
    <xf numFmtId="1" fontId="35" fillId="52" borderId="1" xfId="0" applyNumberFormat="1" applyFont="1" applyFill="1" applyBorder="1" applyAlignment="1">
      <alignment horizontal="left" wrapText="1"/>
    </xf>
    <xf numFmtId="0" fontId="35" fillId="53" borderId="1" xfId="0" applyFont="1" applyFill="1" applyBorder="1" applyAlignment="1">
      <alignment horizontal="left" wrapText="1"/>
    </xf>
    <xf numFmtId="0" fontId="42" fillId="54" borderId="1" xfId="0" applyFont="1" applyFill="1" applyBorder="1" applyAlignment="1">
      <alignment horizontal="left"/>
    </xf>
    <xf numFmtId="1" fontId="42" fillId="54" borderId="1" xfId="0" applyNumberFormat="1" applyFont="1" applyFill="1" applyBorder="1" applyAlignment="1">
      <alignment horizontal="left"/>
    </xf>
    <xf numFmtId="0" fontId="33" fillId="54" borderId="1" xfId="0" applyFont="1" applyFill="1" applyBorder="1" applyAlignment="1">
      <alignment horizontal="left" wrapText="1"/>
    </xf>
    <xf numFmtId="0" fontId="35" fillId="0" borderId="1" xfId="0" applyFont="1" applyBorder="1" applyAlignment="1">
      <alignment horizontal="left"/>
    </xf>
    <xf numFmtId="0" fontId="8" fillId="55" borderId="1" xfId="0" applyFont="1" applyFill="1" applyBorder="1" applyAlignment="1">
      <alignment horizontal="left"/>
    </xf>
    <xf numFmtId="1" fontId="8" fillId="55" borderId="1" xfId="0" applyNumberFormat="1" applyFont="1" applyFill="1" applyBorder="1" applyAlignment="1">
      <alignment horizontal="left"/>
    </xf>
    <xf numFmtId="0" fontId="35" fillId="25" borderId="1" xfId="0" applyFont="1" applyFill="1" applyBorder="1" applyAlignment="1">
      <alignment horizontal="left"/>
    </xf>
    <xf numFmtId="1" fontId="35" fillId="25" borderId="1" xfId="0" applyNumberFormat="1" applyFont="1" applyFill="1" applyBorder="1" applyAlignment="1">
      <alignment horizontal="left"/>
    </xf>
    <xf numFmtId="14" fontId="35" fillId="0" borderId="1" xfId="0" applyNumberFormat="1" applyFont="1" applyBorder="1" applyAlignment="1">
      <alignment horizontal="left"/>
    </xf>
    <xf numFmtId="0" fontId="35" fillId="25" borderId="1" xfId="0" applyFont="1" applyFill="1" applyBorder="1" applyAlignment="1">
      <alignment horizontal="left" wrapText="1"/>
    </xf>
    <xf numFmtId="1" fontId="35" fillId="25" borderId="1" xfId="0" applyNumberFormat="1" applyFont="1" applyFill="1" applyBorder="1" applyAlignment="1">
      <alignment horizontal="left" wrapText="1"/>
    </xf>
    <xf numFmtId="0" fontId="43" fillId="48" borderId="1" xfId="0" applyFont="1" applyFill="1" applyBorder="1" applyAlignment="1">
      <alignment horizontal="left" wrapText="1"/>
    </xf>
    <xf numFmtId="14" fontId="43" fillId="48" borderId="1" xfId="0" applyNumberFormat="1" applyFont="1" applyFill="1" applyBorder="1" applyAlignment="1">
      <alignment horizontal="left" wrapText="1"/>
    </xf>
    <xf numFmtId="0" fontId="44" fillId="38" borderId="1" xfId="0" applyFont="1" applyFill="1" applyBorder="1" applyAlignment="1">
      <alignment horizontal="left" wrapText="1"/>
    </xf>
    <xf numFmtId="0" fontId="44" fillId="0" borderId="1" xfId="0" applyFont="1" applyBorder="1" applyAlignment="1">
      <alignment horizontal="left" wrapText="1"/>
    </xf>
    <xf numFmtId="15" fontId="44" fillId="0" borderId="1" xfId="0" applyNumberFormat="1" applyFont="1" applyBorder="1" applyAlignment="1">
      <alignment horizontal="left" wrapText="1"/>
    </xf>
    <xf numFmtId="0" fontId="45" fillId="12" borderId="1" xfId="0" applyFont="1" applyFill="1" applyBorder="1" applyAlignment="1">
      <alignment horizontal="left" wrapText="1"/>
    </xf>
    <xf numFmtId="14" fontId="44" fillId="56" borderId="1" xfId="0" applyNumberFormat="1" applyFont="1" applyFill="1" applyBorder="1" applyAlignment="1">
      <alignment horizontal="left" wrapText="1"/>
    </xf>
    <xf numFmtId="14" fontId="44" fillId="38" borderId="1" xfId="0" applyNumberFormat="1" applyFont="1" applyFill="1" applyBorder="1" applyAlignment="1">
      <alignment horizontal="left" wrapText="1"/>
    </xf>
    <xf numFmtId="0" fontId="44" fillId="0" borderId="1" xfId="0" applyFont="1" applyBorder="1" applyAlignment="1">
      <alignment horizontal="left"/>
    </xf>
    <xf numFmtId="14" fontId="44" fillId="0" borderId="1" xfId="0" applyNumberFormat="1" applyFont="1" applyBorder="1" applyAlignment="1">
      <alignment horizontal="left"/>
    </xf>
    <xf numFmtId="0" fontId="44" fillId="16" borderId="1" xfId="0" applyFont="1" applyFill="1" applyBorder="1" applyAlignment="1">
      <alignment horizontal="left" wrapText="1"/>
    </xf>
    <xf numFmtId="0" fontId="44" fillId="25" borderId="1" xfId="0" applyFont="1" applyFill="1" applyBorder="1" applyAlignment="1">
      <alignment horizontal="left" vertical="center"/>
    </xf>
    <xf numFmtId="0" fontId="44" fillId="25" borderId="1" xfId="0" applyFont="1" applyFill="1" applyBorder="1" applyAlignment="1">
      <alignment horizontal="left" wrapText="1"/>
    </xf>
    <xf numFmtId="0" fontId="44" fillId="8" borderId="1" xfId="0" applyFont="1" applyFill="1" applyBorder="1" applyAlignment="1">
      <alignment horizontal="left" wrapText="1"/>
    </xf>
    <xf numFmtId="0" fontId="0" fillId="7" borderId="1" xfId="0" applyFill="1" applyBorder="1" applyAlignment="1">
      <alignment horizontal="left"/>
    </xf>
    <xf numFmtId="15" fontId="0" fillId="0" borderId="1" xfId="0" applyNumberFormat="1" applyBorder="1"/>
    <xf numFmtId="1" fontId="0" fillId="0" borderId="1" xfId="0" applyNumberFormat="1" applyBorder="1" applyAlignment="1">
      <alignment horizontal="center"/>
    </xf>
    <xf numFmtId="14" fontId="0" fillId="0" borderId="4" xfId="0" applyNumberFormat="1" applyBorder="1" applyAlignment="1">
      <alignment horizontal="left"/>
    </xf>
    <xf numFmtId="168" fontId="0" fillId="0" borderId="0" xfId="0" applyNumberFormat="1"/>
    <xf numFmtId="167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wrapText="1"/>
    </xf>
    <xf numFmtId="167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2" fillId="0" borderId="24" xfId="0" applyFont="1" applyBorder="1"/>
    <xf numFmtId="0" fontId="0" fillId="16" borderId="10" xfId="0" applyFill="1" applyBorder="1" applyAlignment="1">
      <alignment horizontal="left"/>
    </xf>
    <xf numFmtId="0" fontId="46" fillId="49" borderId="1" xfId="0" applyFont="1" applyFill="1" applyBorder="1" applyAlignment="1">
      <alignment wrapText="1"/>
    </xf>
    <xf numFmtId="14" fontId="47" fillId="57" borderId="1" xfId="0" applyNumberFormat="1" applyFont="1" applyFill="1" applyBorder="1" applyAlignment="1">
      <alignment vertical="center"/>
    </xf>
    <xf numFmtId="0" fontId="47" fillId="57" borderId="1" xfId="0" applyFont="1" applyFill="1" applyBorder="1" applyAlignment="1">
      <alignment wrapText="1"/>
    </xf>
    <xf numFmtId="0" fontId="48" fillId="38" borderId="1" xfId="0" applyFont="1" applyFill="1" applyBorder="1" applyAlignment="1">
      <alignment horizontal="center" wrapText="1"/>
    </xf>
    <xf numFmtId="0" fontId="49" fillId="0" borderId="1" xfId="0" applyFont="1" applyBorder="1" applyAlignment="1">
      <alignment wrapText="1"/>
    </xf>
    <xf numFmtId="15" fontId="49" fillId="0" borderId="1" xfId="0" applyNumberFormat="1" applyFont="1" applyBorder="1" applyAlignment="1">
      <alignment horizontal="right" wrapText="1"/>
    </xf>
    <xf numFmtId="0" fontId="49" fillId="0" borderId="1" xfId="0" applyFont="1" applyBorder="1"/>
    <xf numFmtId="0" fontId="0" fillId="0" borderId="28" xfId="0" applyBorder="1" applyAlignment="1">
      <alignment horizontal="left" vertical="top" wrapText="1"/>
    </xf>
    <xf numFmtId="169" fontId="50" fillId="0" borderId="29" xfId="0" applyNumberFormat="1" applyFont="1" applyBorder="1" applyAlignment="1">
      <alignment horizontal="left" vertical="top" wrapText="1"/>
    </xf>
    <xf numFmtId="169" fontId="50" fillId="0" borderId="34" xfId="0" applyNumberFormat="1" applyFont="1" applyBorder="1" applyAlignment="1">
      <alignment horizontal="left" vertical="top" wrapText="1"/>
    </xf>
    <xf numFmtId="169" fontId="50" fillId="0" borderId="39" xfId="0" applyNumberFormat="1" applyFont="1" applyBorder="1" applyAlignment="1">
      <alignment horizontal="left" vertical="top" wrapText="1"/>
    </xf>
    <xf numFmtId="169" fontId="50" fillId="0" borderId="44" xfId="0" applyNumberFormat="1" applyFont="1" applyBorder="1" applyAlignment="1">
      <alignment horizontal="left" vertical="top" wrapText="1"/>
    </xf>
    <xf numFmtId="0" fontId="0" fillId="0" borderId="45" xfId="0" applyBorder="1" applyAlignment="1">
      <alignment horizontal="left" vertical="top" wrapText="1"/>
    </xf>
    <xf numFmtId="169" fontId="50" fillId="0" borderId="49" xfId="0" applyNumberFormat="1" applyFont="1" applyBorder="1" applyAlignment="1">
      <alignment horizontal="left" vertical="top" wrapText="1"/>
    </xf>
    <xf numFmtId="0" fontId="29" fillId="36" borderId="50" xfId="0" applyFont="1" applyFill="1" applyBorder="1" applyAlignment="1">
      <alignment horizontal="center" vertical="center"/>
    </xf>
    <xf numFmtId="0" fontId="49" fillId="52" borderId="1" xfId="0" applyFont="1" applyFill="1" applyBorder="1" applyAlignment="1">
      <alignment horizontal="left" wrapText="1"/>
    </xf>
    <xf numFmtId="14" fontId="49" fillId="0" borderId="1" xfId="0" applyNumberFormat="1" applyFont="1" applyBorder="1" applyAlignment="1">
      <alignment horizontal="left" wrapText="1"/>
    </xf>
    <xf numFmtId="0" fontId="49" fillId="52" borderId="1" xfId="0" applyFont="1" applyFill="1" applyBorder="1" applyAlignment="1">
      <alignment horizontal="left"/>
    </xf>
    <xf numFmtId="0" fontId="47" fillId="58" borderId="1" xfId="0" applyFont="1" applyFill="1" applyBorder="1" applyAlignment="1">
      <alignment horizontal="left" wrapText="1"/>
    </xf>
    <xf numFmtId="0" fontId="47" fillId="58" borderId="1" xfId="0" applyFont="1" applyFill="1" applyBorder="1" applyAlignment="1">
      <alignment horizontal="left"/>
    </xf>
    <xf numFmtId="0" fontId="61" fillId="40" borderId="51" xfId="0" applyFont="1" applyFill="1" applyBorder="1" applyAlignment="1">
      <alignment horizontal="center" vertical="center" wrapText="1"/>
    </xf>
    <xf numFmtId="0" fontId="61" fillId="40" borderId="51" xfId="0" applyFont="1" applyFill="1" applyBorder="1" applyAlignment="1">
      <alignment vertical="center" wrapText="1"/>
    </xf>
    <xf numFmtId="15" fontId="61" fillId="40" borderId="51" xfId="0" applyNumberFormat="1" applyFont="1" applyFill="1" applyBorder="1" applyAlignment="1">
      <alignment vertical="center" wrapText="1"/>
    </xf>
    <xf numFmtId="1" fontId="0" fillId="0" borderId="0" xfId="0" applyNumberFormat="1"/>
    <xf numFmtId="0" fontId="62" fillId="0" borderId="48" xfId="0" applyFont="1" applyBorder="1" applyAlignment="1">
      <alignment horizontal="left" vertical="top" wrapText="1"/>
    </xf>
    <xf numFmtId="0" fontId="62" fillId="0" borderId="33" xfId="0" applyFont="1" applyBorder="1" applyAlignment="1">
      <alignment horizontal="left" vertical="top" wrapText="1"/>
    </xf>
    <xf numFmtId="0" fontId="63" fillId="0" borderId="43" xfId="0" applyFont="1" applyBorder="1" applyAlignment="1">
      <alignment horizontal="left" vertical="top" wrapText="1"/>
    </xf>
    <xf numFmtId="0" fontId="62" fillId="0" borderId="38" xfId="0" applyFont="1" applyBorder="1" applyAlignment="1">
      <alignment horizontal="left" vertical="top" wrapText="1"/>
    </xf>
    <xf numFmtId="0" fontId="63" fillId="0" borderId="33" xfId="0" applyFont="1" applyBorder="1" applyAlignment="1">
      <alignment horizontal="left" vertical="top" wrapText="1"/>
    </xf>
    <xf numFmtId="0" fontId="63" fillId="0" borderId="47" xfId="0" applyFont="1" applyBorder="1" applyAlignment="1">
      <alignment horizontal="left" vertical="top" wrapText="1"/>
    </xf>
    <xf numFmtId="0" fontId="63" fillId="0" borderId="46" xfId="0" applyFont="1" applyBorder="1" applyAlignment="1">
      <alignment horizontal="left" vertical="top" wrapText="1"/>
    </xf>
    <xf numFmtId="0" fontId="63" fillId="0" borderId="32" xfId="0" applyFont="1" applyBorder="1" applyAlignment="1">
      <alignment horizontal="left" vertical="top" wrapText="1"/>
    </xf>
    <xf numFmtId="0" fontId="63" fillId="0" borderId="31" xfId="0" applyFont="1" applyBorder="1" applyAlignment="1">
      <alignment horizontal="left" vertical="top" wrapText="1"/>
    </xf>
    <xf numFmtId="0" fontId="63" fillId="0" borderId="30" xfId="0" applyFont="1" applyBorder="1" applyAlignment="1">
      <alignment horizontal="left" vertical="top" wrapText="1"/>
    </xf>
    <xf numFmtId="0" fontId="63" fillId="0" borderId="42" xfId="0" applyFont="1" applyBorder="1" applyAlignment="1">
      <alignment horizontal="left" vertical="top" wrapText="1"/>
    </xf>
    <xf numFmtId="0" fontId="63" fillId="0" borderId="41" xfId="0" applyFont="1" applyBorder="1" applyAlignment="1">
      <alignment horizontal="left" vertical="top" wrapText="1"/>
    </xf>
    <xf numFmtId="0" fontId="63" fillId="0" borderId="40" xfId="0" applyFont="1" applyBorder="1" applyAlignment="1">
      <alignment horizontal="left" vertical="top" wrapText="1"/>
    </xf>
    <xf numFmtId="0" fontId="63" fillId="0" borderId="37" xfId="0" applyFont="1" applyBorder="1" applyAlignment="1">
      <alignment horizontal="left" vertical="top" wrapText="1"/>
    </xf>
    <xf numFmtId="0" fontId="63" fillId="0" borderId="36" xfId="0" applyFont="1" applyBorder="1" applyAlignment="1">
      <alignment horizontal="left" vertical="top" wrapText="1"/>
    </xf>
    <xf numFmtId="0" fontId="63" fillId="0" borderId="35" xfId="0" applyFont="1" applyBorder="1" applyAlignment="1">
      <alignment horizontal="left" vertical="top" wrapText="1"/>
    </xf>
    <xf numFmtId="0" fontId="63" fillId="0" borderId="27" xfId="0" applyFont="1" applyBorder="1" applyAlignment="1">
      <alignment horizontal="left" vertical="top" wrapText="1"/>
    </xf>
    <xf numFmtId="0" fontId="63" fillId="0" borderId="26" xfId="0" applyFont="1" applyBorder="1" applyAlignment="1">
      <alignment horizontal="left" vertical="top" wrapText="1"/>
    </xf>
    <xf numFmtId="0" fontId="63" fillId="0" borderId="25" xfId="0" applyFont="1" applyBorder="1" applyAlignment="1">
      <alignment horizontal="left" vertical="top" wrapText="1"/>
    </xf>
    <xf numFmtId="0" fontId="81" fillId="0" borderId="1" xfId="0" applyFont="1" applyBorder="1" applyAlignment="1">
      <alignment horizontal="center"/>
    </xf>
    <xf numFmtId="0" fontId="81" fillId="16" borderId="1" xfId="0" applyFont="1" applyFill="1" applyBorder="1" applyAlignment="1">
      <alignment horizontal="center"/>
    </xf>
    <xf numFmtId="0" fontId="81" fillId="0" borderId="1" xfId="0" applyFont="1" applyBorder="1" applyAlignment="1">
      <alignment horizontal="left" vertical="top"/>
    </xf>
    <xf numFmtId="0" fontId="81" fillId="16" borderId="1" xfId="0" applyFont="1" applyFill="1" applyBorder="1" applyAlignment="1">
      <alignment horizontal="left" vertical="top"/>
    </xf>
    <xf numFmtId="169" fontId="64" fillId="0" borderId="52" xfId="0" applyNumberFormat="1" applyFont="1" applyBorder="1" applyAlignment="1">
      <alignment horizontal="left" vertical="top" wrapText="1"/>
    </xf>
    <xf numFmtId="0" fontId="65" fillId="0" borderId="53" xfId="0" applyFont="1" applyBorder="1" applyAlignment="1">
      <alignment horizontal="left" vertical="top" wrapText="1"/>
    </xf>
    <xf numFmtId="0" fontId="70" fillId="0" borderId="58" xfId="0" applyFont="1" applyBorder="1" applyAlignment="1">
      <alignment horizontal="left" vertical="top" wrapText="1"/>
    </xf>
    <xf numFmtId="0" fontId="70" fillId="0" borderId="62" xfId="0" applyFont="1" applyBorder="1" applyAlignment="1">
      <alignment horizontal="left" vertical="top" wrapText="1"/>
    </xf>
    <xf numFmtId="0" fontId="74" fillId="0" borderId="66" xfId="0" applyFont="1" applyBorder="1" applyAlignment="1">
      <alignment horizontal="left" vertical="top" wrapText="1"/>
    </xf>
    <xf numFmtId="0" fontId="65" fillId="0" borderId="70" xfId="0" applyFont="1" applyBorder="1" applyAlignment="1">
      <alignment horizontal="left" vertical="top" wrapText="1"/>
    </xf>
    <xf numFmtId="0" fontId="69" fillId="0" borderId="53" xfId="0" applyFont="1" applyBorder="1" applyAlignment="1">
      <alignment horizontal="left" vertical="top" wrapText="1"/>
    </xf>
    <xf numFmtId="169" fontId="64" fillId="0" borderId="56" xfId="0" applyNumberFormat="1" applyFont="1" applyBorder="1" applyAlignment="1">
      <alignment horizontal="left" vertical="top" wrapText="1"/>
    </xf>
    <xf numFmtId="169" fontId="64" fillId="0" borderId="57" xfId="0" applyNumberFormat="1" applyFont="1" applyBorder="1" applyAlignment="1">
      <alignment horizontal="left" vertical="top" wrapText="1"/>
    </xf>
    <xf numFmtId="169" fontId="64" fillId="0" borderId="60" xfId="0" applyNumberFormat="1" applyFont="1" applyBorder="1" applyAlignment="1">
      <alignment horizontal="left" vertical="top" wrapText="1"/>
    </xf>
    <xf numFmtId="169" fontId="64" fillId="0" borderId="61" xfId="0" applyNumberFormat="1" applyFont="1" applyBorder="1" applyAlignment="1">
      <alignment horizontal="left" vertical="top" wrapText="1"/>
    </xf>
    <xf numFmtId="169" fontId="64" fillId="0" borderId="64" xfId="0" applyNumberFormat="1" applyFont="1" applyBorder="1" applyAlignment="1">
      <alignment horizontal="left" vertical="top" wrapText="1"/>
    </xf>
    <xf numFmtId="169" fontId="64" fillId="0" borderId="65" xfId="0" applyNumberFormat="1" applyFont="1" applyBorder="1" applyAlignment="1">
      <alignment horizontal="left" vertical="top" wrapText="1"/>
    </xf>
    <xf numFmtId="169" fontId="64" fillId="0" borderId="68" xfId="0" applyNumberFormat="1" applyFont="1" applyBorder="1" applyAlignment="1">
      <alignment horizontal="left" vertical="top" wrapText="1"/>
    </xf>
    <xf numFmtId="169" fontId="64" fillId="0" borderId="69" xfId="0" applyNumberFormat="1" applyFont="1" applyBorder="1" applyAlignment="1">
      <alignment horizontal="left" vertical="top" wrapText="1"/>
    </xf>
    <xf numFmtId="0" fontId="63" fillId="0" borderId="59" xfId="0" applyFont="1" applyBorder="1" applyAlignment="1">
      <alignment horizontal="center" vertical="top" wrapText="1"/>
    </xf>
    <xf numFmtId="0" fontId="63" fillId="0" borderId="63" xfId="0" applyFont="1" applyBorder="1" applyAlignment="1">
      <alignment horizontal="center" vertical="top" wrapText="1"/>
    </xf>
    <xf numFmtId="0" fontId="63" fillId="0" borderId="67" xfId="0" applyFont="1" applyBorder="1" applyAlignment="1">
      <alignment horizontal="center" vertical="top" wrapText="1"/>
    </xf>
    <xf numFmtId="0" fontId="63" fillId="0" borderId="71" xfId="0" applyFont="1" applyBorder="1" applyAlignment="1">
      <alignment horizontal="center" vertical="top" wrapText="1"/>
    </xf>
    <xf numFmtId="0" fontId="69" fillId="0" borderId="70" xfId="0" applyFont="1" applyBorder="1" applyAlignment="1">
      <alignment horizontal="left" vertical="top" wrapText="1"/>
    </xf>
    <xf numFmtId="0" fontId="29" fillId="37" borderId="20" xfId="0" applyFont="1" applyFill="1" applyBorder="1" applyAlignment="1">
      <alignment horizontal="left" vertical="center"/>
    </xf>
    <xf numFmtId="0" fontId="81" fillId="0" borderId="1" xfId="0" applyFont="1" applyBorder="1" applyAlignment="1">
      <alignment horizontal="left"/>
    </xf>
    <xf numFmtId="0" fontId="29" fillId="36" borderId="20" xfId="0" applyFont="1" applyFill="1" applyBorder="1" applyAlignment="1">
      <alignment horizontal="left" vertical="center"/>
    </xf>
    <xf numFmtId="0" fontId="63" fillId="0" borderId="54" xfId="0" applyFont="1" applyBorder="1" applyAlignment="1">
      <alignment vertical="top" wrapText="1"/>
    </xf>
    <xf numFmtId="0" fontId="63" fillId="0" borderId="55" xfId="0" applyFont="1" applyBorder="1" applyAlignment="1">
      <alignment vertical="top" wrapText="1"/>
    </xf>
    <xf numFmtId="0" fontId="69" fillId="0" borderId="58" xfId="0" applyFont="1" applyBorder="1" applyAlignment="1">
      <alignment horizontal="left" vertical="top" wrapText="1"/>
    </xf>
    <xf numFmtId="0" fontId="69" fillId="0" borderId="62" xfId="0" applyFont="1" applyBorder="1" applyAlignment="1">
      <alignment horizontal="left" vertical="top" wrapText="1"/>
    </xf>
    <xf numFmtId="0" fontId="69" fillId="0" borderId="66" xfId="0" applyFont="1" applyBorder="1" applyAlignment="1">
      <alignment horizontal="left" vertical="top" wrapText="1"/>
    </xf>
    <xf numFmtId="15" fontId="32" fillId="0" borderId="1" xfId="0" applyNumberFormat="1" applyFont="1" applyBorder="1" applyAlignment="1">
      <alignment horizontal="left"/>
    </xf>
    <xf numFmtId="16" fontId="32" fillId="0" borderId="1" xfId="0" applyNumberFormat="1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170" fontId="32" fillId="0" borderId="1" xfId="0" applyNumberFormat="1" applyFont="1" applyBorder="1" applyAlignment="1">
      <alignment horizontal="left"/>
    </xf>
    <xf numFmtId="0" fontId="32" fillId="0" borderId="0" xfId="0" applyFont="1"/>
    <xf numFmtId="14" fontId="32" fillId="0" borderId="0" xfId="0" applyNumberFormat="1" applyFont="1"/>
    <xf numFmtId="15" fontId="0" fillId="0" borderId="1" xfId="0" applyNumberFormat="1" applyBorder="1" applyAlignment="1">
      <alignment horizontal="left"/>
    </xf>
    <xf numFmtId="16" fontId="0" fillId="0" borderId="1" xfId="0" applyNumberFormat="1" applyBorder="1" applyAlignment="1">
      <alignment horizontal="left"/>
    </xf>
    <xf numFmtId="170" fontId="0" fillId="0" borderId="1" xfId="0" applyNumberFormat="1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4" xfId="0" applyBorder="1" applyAlignment="1">
      <alignment horizontal="left"/>
    </xf>
    <xf numFmtId="0" fontId="2" fillId="10" borderId="1" xfId="0" applyFont="1" applyFill="1" applyBorder="1" applyAlignment="1">
      <alignment horizontal="left" wrapText="1"/>
    </xf>
    <xf numFmtId="0" fontId="82" fillId="10" borderId="1" xfId="0" applyFont="1" applyFill="1" applyBorder="1" applyAlignment="1">
      <alignment horizontal="left" vertical="center" wrapText="1"/>
    </xf>
    <xf numFmtId="167" fontId="82" fillId="10" borderId="1" xfId="0" applyNumberFormat="1" applyFont="1" applyFill="1" applyBorder="1" applyAlignment="1">
      <alignment horizontal="left" vertical="center" wrapText="1"/>
    </xf>
    <xf numFmtId="1" fontId="82" fillId="10" borderId="1" xfId="0" applyNumberFormat="1" applyFont="1" applyFill="1" applyBorder="1" applyAlignment="1">
      <alignment horizontal="right" vertical="center" wrapText="1"/>
    </xf>
    <xf numFmtId="0" fontId="82" fillId="10" borderId="1" xfId="0" applyFont="1" applyFill="1" applyBorder="1" applyAlignment="1">
      <alignment horizontal="center" vertical="center" wrapText="1"/>
    </xf>
    <xf numFmtId="0" fontId="82" fillId="10" borderId="4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right"/>
    </xf>
    <xf numFmtId="14" fontId="83" fillId="59" borderId="1" xfId="0" applyNumberFormat="1" applyFont="1" applyFill="1" applyBorder="1" applyAlignment="1">
      <alignment horizontal="center" vertical="top" wrapText="1"/>
    </xf>
    <xf numFmtId="14" fontId="84" fillId="59" borderId="1" xfId="0" applyNumberFormat="1" applyFont="1" applyFill="1" applyBorder="1" applyAlignment="1">
      <alignment horizontal="center" vertical="top" wrapText="1"/>
    </xf>
    <xf numFmtId="0" fontId="86" fillId="59" borderId="1" xfId="0" applyFont="1" applyFill="1" applyBorder="1" applyAlignment="1">
      <alignment horizontal="left" vertical="top" wrapText="1" indent="6"/>
    </xf>
    <xf numFmtId="12" fontId="87" fillId="59" borderId="2" xfId="0" applyNumberFormat="1" applyFont="1" applyFill="1" applyBorder="1" applyAlignment="1">
      <alignment horizontal="center" vertical="top" wrapText="1"/>
    </xf>
    <xf numFmtId="0" fontId="84" fillId="59" borderId="4" xfId="0" applyFont="1" applyFill="1" applyBorder="1" applyAlignment="1">
      <alignment horizontal="center" vertical="top" wrapText="1"/>
    </xf>
    <xf numFmtId="0" fontId="84" fillId="59" borderId="1" xfId="0" applyFont="1" applyFill="1" applyBorder="1" applyAlignment="1">
      <alignment horizontal="center" vertical="top" wrapText="1"/>
    </xf>
    <xf numFmtId="0" fontId="88" fillId="59" borderId="1" xfId="0" applyFont="1" applyFill="1" applyBorder="1" applyAlignment="1">
      <alignment horizontal="center" vertical="top" wrapText="1"/>
    </xf>
    <xf numFmtId="0" fontId="84" fillId="59" borderId="1" xfId="0" applyFont="1" applyFill="1" applyBorder="1" applyAlignment="1">
      <alignment horizontal="left" vertical="top" wrapText="1"/>
    </xf>
    <xf numFmtId="0" fontId="88" fillId="59" borderId="2" xfId="0" applyFont="1" applyFill="1" applyBorder="1" applyAlignment="1">
      <alignment horizontal="center" vertical="top" wrapText="1"/>
    </xf>
    <xf numFmtId="17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center"/>
    </xf>
    <xf numFmtId="0" fontId="89" fillId="0" borderId="1" xfId="0" applyFont="1" applyBorder="1" applyAlignment="1">
      <alignment horizontal="center"/>
    </xf>
    <xf numFmtId="0" fontId="89" fillId="0" borderId="0" xfId="0" applyFont="1" applyAlignment="1">
      <alignment horizontal="center"/>
    </xf>
    <xf numFmtId="167" fontId="82" fillId="10" borderId="1" xfId="0" applyNumberFormat="1" applyFont="1" applyFill="1" applyBorder="1" applyAlignment="1">
      <alignment horizontal="right" vertical="center" wrapText="1"/>
    </xf>
    <xf numFmtId="167" fontId="82" fillId="10" borderId="4" xfId="0" applyNumberFormat="1" applyFont="1" applyFill="1" applyBorder="1" applyAlignment="1">
      <alignment horizontal="left" wrapText="1"/>
    </xf>
    <xf numFmtId="14" fontId="2" fillId="10" borderId="0" xfId="0" applyNumberFormat="1" applyFont="1" applyFill="1" applyAlignment="1">
      <alignment horizontal="left"/>
    </xf>
    <xf numFmtId="15" fontId="0" fillId="44" borderId="1" xfId="0" applyNumberFormat="1" applyFill="1" applyBorder="1" applyAlignment="1">
      <alignment horizontal="right"/>
    </xf>
    <xf numFmtId="0" fontId="0" fillId="44" borderId="1" xfId="0" applyFill="1" applyBorder="1"/>
    <xf numFmtId="1" fontId="0" fillId="44" borderId="1" xfId="0" applyNumberFormat="1" applyFill="1" applyBorder="1" applyAlignment="1">
      <alignment horizontal="center"/>
    </xf>
    <xf numFmtId="0" fontId="0" fillId="44" borderId="1" xfId="0" applyFill="1" applyBorder="1" applyAlignment="1">
      <alignment horizontal="center"/>
    </xf>
    <xf numFmtId="172" fontId="0" fillId="0" borderId="0" xfId="0" applyNumberFormat="1"/>
    <xf numFmtId="167" fontId="82" fillId="0" borderId="0" xfId="0" applyNumberFormat="1" applyFont="1" applyAlignment="1">
      <alignment horizontal="left" wrapText="1"/>
    </xf>
    <xf numFmtId="14" fontId="2" fillId="0" borderId="0" xfId="0" applyNumberFormat="1" applyFont="1" applyAlignment="1">
      <alignment horizontal="left"/>
    </xf>
    <xf numFmtId="15" fontId="0" fillId="0" borderId="1" xfId="0" applyNumberFormat="1" applyBorder="1" applyAlignment="1">
      <alignment horizontal="right"/>
    </xf>
    <xf numFmtId="1" fontId="82" fillId="10" borderId="1" xfId="0" applyNumberFormat="1" applyFont="1" applyFill="1" applyBorder="1" applyAlignment="1">
      <alignment horizontal="left" vertical="center" wrapText="1"/>
    </xf>
    <xf numFmtId="0" fontId="10" fillId="0" borderId="1" xfId="0" applyFont="1" applyBorder="1" applyAlignment="1">
      <alignment horizontal="center"/>
    </xf>
    <xf numFmtId="0" fontId="10" fillId="0" borderId="1" xfId="0" applyFont="1" applyBorder="1" applyAlignment="1">
      <alignment horizontal="left"/>
    </xf>
    <xf numFmtId="167" fontId="82" fillId="10" borderId="1" xfId="0" applyNumberFormat="1" applyFont="1" applyFill="1" applyBorder="1" applyAlignment="1">
      <alignment horizontal="left" wrapText="1"/>
    </xf>
    <xf numFmtId="14" fontId="2" fillId="10" borderId="1" xfId="0" applyNumberFormat="1" applyFont="1" applyFill="1" applyBorder="1" applyAlignment="1">
      <alignment horizontal="left"/>
    </xf>
    <xf numFmtId="172" fontId="0" fillId="0" borderId="1" xfId="0" applyNumberFormat="1" applyBorder="1" applyAlignment="1">
      <alignment horizontal="left"/>
    </xf>
    <xf numFmtId="167" fontId="82" fillId="0" borderId="1" xfId="0" applyNumberFormat="1" applyFont="1" applyBorder="1" applyAlignment="1">
      <alignment horizontal="left" wrapText="1"/>
    </xf>
    <xf numFmtId="14" fontId="2" fillId="0" borderId="1" xfId="0" applyNumberFormat="1" applyFont="1" applyBorder="1" applyAlignment="1">
      <alignment horizontal="left"/>
    </xf>
    <xf numFmtId="0" fontId="32" fillId="16" borderId="1" xfId="0" applyFont="1" applyFill="1" applyBorder="1" applyAlignment="1">
      <alignment horizontal="left"/>
    </xf>
    <xf numFmtId="1" fontId="32" fillId="0" borderId="1" xfId="0" applyNumberFormat="1" applyFont="1" applyBorder="1" applyAlignment="1">
      <alignment horizontal="left"/>
    </xf>
    <xf numFmtId="172" fontId="32" fillId="0" borderId="1" xfId="0" applyNumberFormat="1" applyFont="1" applyBorder="1" applyAlignment="1">
      <alignment horizontal="left"/>
    </xf>
    <xf numFmtId="167" fontId="90" fillId="0" borderId="1" xfId="0" applyNumberFormat="1" applyFont="1" applyBorder="1" applyAlignment="1">
      <alignment horizontal="left" wrapText="1"/>
    </xf>
    <xf numFmtId="14" fontId="91" fillId="0" borderId="1" xfId="0" applyNumberFormat="1" applyFont="1" applyBorder="1" applyAlignment="1">
      <alignment horizontal="left"/>
    </xf>
    <xf numFmtId="15" fontId="92" fillId="60" borderId="1" xfId="0" applyNumberFormat="1" applyFont="1" applyFill="1" applyBorder="1" applyAlignment="1">
      <alignment wrapText="1"/>
    </xf>
    <xf numFmtId="0" fontId="92" fillId="60" borderId="1" xfId="0" applyFont="1" applyFill="1" applyBorder="1" applyAlignment="1">
      <alignment wrapText="1"/>
    </xf>
    <xf numFmtId="0" fontId="0" fillId="60" borderId="1" xfId="0" applyFill="1" applyBorder="1" applyAlignment="1">
      <alignment wrapText="1"/>
    </xf>
    <xf numFmtId="0" fontId="93" fillId="60" borderId="1" xfId="0" applyFont="1" applyFill="1" applyBorder="1" applyAlignment="1">
      <alignment horizontal="right" wrapText="1"/>
    </xf>
    <xf numFmtId="0" fontId="92" fillId="60" borderId="1" xfId="0" applyFont="1" applyFill="1" applyBorder="1" applyAlignment="1">
      <alignment horizontal="right" wrapText="1"/>
    </xf>
    <xf numFmtId="0" fontId="93" fillId="60" borderId="1" xfId="0" applyFont="1" applyFill="1" applyBorder="1" applyAlignment="1">
      <alignment wrapText="1"/>
    </xf>
    <xf numFmtId="0" fontId="2" fillId="7" borderId="0" xfId="0" applyFont="1" applyFill="1"/>
    <xf numFmtId="0" fontId="0" fillId="61" borderId="0" xfId="0" applyFill="1"/>
    <xf numFmtId="0" fontId="0" fillId="12" borderId="0" xfId="0" applyFill="1"/>
    <xf numFmtId="0" fontId="0" fillId="13" borderId="0" xfId="0" applyFill="1"/>
    <xf numFmtId="0" fontId="94" fillId="62" borderId="1" xfId="0" applyFont="1" applyFill="1" applyBorder="1" applyAlignment="1">
      <alignment horizontal="center" vertical="center" wrapText="1"/>
    </xf>
    <xf numFmtId="0" fontId="95" fillId="62" borderId="1" xfId="0" applyFont="1" applyFill="1" applyBorder="1" applyAlignment="1">
      <alignment horizontal="center" vertical="center" wrapText="1"/>
    </xf>
    <xf numFmtId="0" fontId="94" fillId="63" borderId="1" xfId="0" applyFont="1" applyFill="1" applyBorder="1" applyAlignment="1">
      <alignment horizontal="center" vertical="center" wrapText="1"/>
    </xf>
    <xf numFmtId="0" fontId="94" fillId="64" borderId="1" xfId="0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1" fillId="40" borderId="1" xfId="0" applyFont="1" applyFill="1" applyBorder="1" applyAlignment="1">
      <alignment horizontal="center" wrapText="1"/>
    </xf>
    <xf numFmtId="0" fontId="96" fillId="0" borderId="1" xfId="0" applyFont="1" applyBorder="1" applyAlignment="1">
      <alignment horizontal="center" vertical="center"/>
    </xf>
    <xf numFmtId="0" fontId="96" fillId="0" borderId="1" xfId="0" applyFont="1" applyBorder="1" applyAlignment="1">
      <alignment horizontal="center"/>
    </xf>
    <xf numFmtId="14" fontId="23" fillId="40" borderId="1" xfId="0" applyNumberFormat="1" applyFont="1" applyFill="1" applyBorder="1" applyAlignment="1">
      <alignment horizontal="center" vertical="center" wrapText="1"/>
    </xf>
    <xf numFmtId="0" fontId="81" fillId="0" borderId="1" xfId="0" applyFont="1" applyBorder="1" applyAlignment="1">
      <alignment horizontal="center" wrapText="1"/>
    </xf>
    <xf numFmtId="16" fontId="0" fillId="44" borderId="0" xfId="0" applyNumberFormat="1" applyFill="1"/>
    <xf numFmtId="0" fontId="0" fillId="28" borderId="0" xfId="0" applyFill="1"/>
    <xf numFmtId="0" fontId="0" fillId="65" borderId="0" xfId="0" applyFill="1"/>
    <xf numFmtId="0" fontId="0" fillId="18" borderId="0" xfId="0" applyFill="1"/>
    <xf numFmtId="0" fontId="0" fillId="10" borderId="0" xfId="0" applyFill="1"/>
    <xf numFmtId="0" fontId="0" fillId="35" borderId="0" xfId="0" applyFill="1"/>
    <xf numFmtId="0" fontId="44" fillId="0" borderId="1" xfId="0" applyFont="1" applyBorder="1" applyAlignment="1">
      <alignment horizontal="center"/>
    </xf>
    <xf numFmtId="0" fontId="97" fillId="16" borderId="1" xfId="0" applyFont="1" applyFill="1" applyBorder="1" applyAlignment="1">
      <alignment horizontal="center"/>
    </xf>
    <xf numFmtId="0" fontId="98" fillId="40" borderId="1" xfId="0" applyFont="1" applyFill="1" applyBorder="1" applyAlignment="1">
      <alignment horizontal="center" vertical="center" wrapText="1"/>
    </xf>
    <xf numFmtId="0" fontId="97" fillId="7" borderId="1" xfId="0" applyFont="1" applyFill="1" applyBorder="1" applyAlignment="1">
      <alignment horizontal="center"/>
    </xf>
    <xf numFmtId="0" fontId="81" fillId="7" borderId="1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horizontal="center"/>
    </xf>
    <xf numFmtId="0" fontId="99" fillId="7" borderId="1" xfId="0" applyFont="1" applyFill="1" applyBorder="1" applyAlignment="1">
      <alignment horizontal="center"/>
    </xf>
    <xf numFmtId="0" fontId="81" fillId="0" borderId="10" xfId="0" applyFont="1" applyBorder="1" applyAlignment="1">
      <alignment horizontal="center" wrapText="1"/>
    </xf>
    <xf numFmtId="0" fontId="81" fillId="40" borderId="10" xfId="0" applyFont="1" applyFill="1" applyBorder="1" applyAlignment="1">
      <alignment horizontal="center" wrapText="1"/>
    </xf>
    <xf numFmtId="0" fontId="96" fillId="0" borderId="10" xfId="0" applyFont="1" applyBorder="1" applyAlignment="1">
      <alignment horizontal="center"/>
    </xf>
    <xf numFmtId="0" fontId="43" fillId="62" borderId="1" xfId="0" applyFont="1" applyFill="1" applyBorder="1" applyAlignment="1">
      <alignment horizontal="center" wrapText="1"/>
    </xf>
    <xf numFmtId="0" fontId="95" fillId="64" borderId="1" xfId="0" applyFont="1" applyFill="1" applyBorder="1" applyAlignment="1">
      <alignment horizontal="center" wrapText="1"/>
    </xf>
    <xf numFmtId="173" fontId="23" fillId="40" borderId="1" xfId="0" applyNumberFormat="1" applyFont="1" applyFill="1" applyBorder="1" applyAlignment="1">
      <alignment horizontal="center" vertical="center" wrapText="1"/>
    </xf>
    <xf numFmtId="0" fontId="96" fillId="61" borderId="1" xfId="0" applyFont="1" applyFill="1" applyBorder="1" applyAlignment="1">
      <alignment horizontal="center"/>
    </xf>
    <xf numFmtId="17" fontId="2" fillId="13" borderId="1" xfId="0" applyNumberFormat="1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2" xfId="0" applyFont="1" applyFill="1" applyBorder="1" applyAlignment="1">
      <alignment horizontal="center" vertical="center"/>
    </xf>
    <xf numFmtId="0" fontId="2" fillId="13" borderId="72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95" fillId="63" borderId="1" xfId="0" applyFont="1" applyFill="1" applyBorder="1" applyAlignment="1">
      <alignment horizontal="center" vertical="center" wrapText="1"/>
    </xf>
    <xf numFmtId="0" fontId="95" fillId="64" borderId="1" xfId="0" applyFont="1" applyFill="1" applyBorder="1" applyAlignment="1">
      <alignment horizontal="center" vertical="center" wrapText="1"/>
    </xf>
    <xf numFmtId="173" fontId="0" fillId="0" borderId="1" xfId="0" applyNumberFormat="1" applyBorder="1" applyAlignment="1">
      <alignment horizontal="center" vertical="center"/>
    </xf>
    <xf numFmtId="0" fontId="97" fillId="16" borderId="1" xfId="0" applyFont="1" applyFill="1" applyBorder="1" applyAlignment="1">
      <alignment horizontal="center" vertical="center"/>
    </xf>
    <xf numFmtId="0" fontId="44" fillId="0" borderId="0" xfId="0" applyFont="1" applyAlignment="1">
      <alignment horizontal="center" vertical="center" wrapText="1"/>
    </xf>
    <xf numFmtId="14" fontId="23" fillId="0" borderId="0" xfId="0" applyNumberFormat="1" applyFont="1" applyAlignment="1">
      <alignment horizontal="center" vertical="center" wrapText="1"/>
    </xf>
    <xf numFmtId="0" fontId="81" fillId="0" borderId="0" xfId="0" applyFont="1" applyAlignment="1">
      <alignment horizontal="center" wrapText="1"/>
    </xf>
    <xf numFmtId="0" fontId="81" fillId="40" borderId="0" xfId="0" applyFont="1" applyFill="1" applyAlignment="1">
      <alignment horizontal="center" wrapText="1"/>
    </xf>
    <xf numFmtId="173" fontId="0" fillId="0" borderId="0" xfId="0" applyNumberFormat="1" applyAlignment="1">
      <alignment horizontal="center" vertical="center"/>
    </xf>
    <xf numFmtId="17" fontId="0" fillId="0" borderId="0" xfId="0" applyNumberFormat="1"/>
    <xf numFmtId="0" fontId="31" fillId="2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2" fillId="16" borderId="7" xfId="0" applyFont="1" applyFill="1" applyBorder="1" applyAlignment="1">
      <alignment horizontal="center" vertical="center"/>
    </xf>
    <xf numFmtId="0" fontId="2" fillId="16" borderId="10" xfId="0" applyFont="1" applyFill="1" applyBorder="1" applyAlignment="1">
      <alignment horizontal="center" vertical="center"/>
    </xf>
    <xf numFmtId="0" fontId="2" fillId="16" borderId="9" xfId="0" applyFont="1" applyFill="1" applyBorder="1" applyAlignment="1">
      <alignment horizontal="center" vertical="center"/>
    </xf>
    <xf numFmtId="0" fontId="2" fillId="16" borderId="11" xfId="0" applyFont="1" applyFill="1" applyBorder="1" applyAlignment="1">
      <alignment horizontal="center" vertical="center"/>
    </xf>
    <xf numFmtId="0" fontId="2" fillId="16" borderId="14" xfId="0" applyFont="1" applyFill="1" applyBorder="1" applyAlignment="1">
      <alignment horizontal="center" vertical="center"/>
    </xf>
    <xf numFmtId="0" fontId="2" fillId="16" borderId="16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0" fontId="2" fillId="7" borderId="9" xfId="0" applyFont="1" applyFill="1" applyBorder="1" applyAlignment="1">
      <alignment horizontal="center" vertical="center"/>
    </xf>
    <xf numFmtId="0" fontId="31" fillId="26" borderId="1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7" borderId="1" xfId="0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7" borderId="2" xfId="0" applyFill="1" applyBorder="1" applyAlignment="1">
      <alignment horizontal="left" vertical="center"/>
    </xf>
    <xf numFmtId="0" fontId="0" fillId="7" borderId="3" xfId="0" applyFill="1" applyBorder="1" applyAlignment="1">
      <alignment horizontal="left" vertical="center"/>
    </xf>
    <xf numFmtId="0" fontId="0" fillId="7" borderId="4" xfId="0" applyFill="1" applyBorder="1" applyAlignment="1">
      <alignment horizontal="left" vertical="center"/>
    </xf>
    <xf numFmtId="0" fontId="0" fillId="12" borderId="2" xfId="0" applyFill="1" applyBorder="1" applyAlignment="1">
      <alignment horizontal="left" vertical="center"/>
    </xf>
    <xf numFmtId="0" fontId="0" fillId="12" borderId="3" xfId="0" applyFill="1" applyBorder="1" applyAlignment="1">
      <alignment horizontal="left" vertical="center"/>
    </xf>
    <xf numFmtId="0" fontId="0" fillId="12" borderId="4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11" borderId="2" xfId="0" applyFill="1" applyBorder="1" applyAlignment="1">
      <alignment vertical="center"/>
    </xf>
    <xf numFmtId="0" fontId="0" fillId="11" borderId="3" xfId="0" applyFill="1" applyBorder="1" applyAlignment="1">
      <alignment vertical="center"/>
    </xf>
    <xf numFmtId="0" fontId="0" fillId="11" borderId="4" xfId="0" applyFill="1" applyBorder="1" applyAlignment="1">
      <alignment vertical="center"/>
    </xf>
    <xf numFmtId="0" fontId="0" fillId="0" borderId="2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top"/>
    </xf>
    <xf numFmtId="0" fontId="0" fillId="7" borderId="1" xfId="0" applyFill="1" applyBorder="1" applyAlignment="1">
      <alignment vertical="top"/>
    </xf>
    <xf numFmtId="0" fontId="0" fillId="7" borderId="2" xfId="0" applyFill="1" applyBorder="1" applyAlignment="1">
      <alignment vertical="center"/>
    </xf>
    <xf numFmtId="0" fontId="0" fillId="7" borderId="3" xfId="0" applyFill="1" applyBorder="1" applyAlignment="1">
      <alignment vertical="center"/>
    </xf>
    <xf numFmtId="0" fontId="0" fillId="7" borderId="4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6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12" borderId="2" xfId="0" applyFill="1" applyBorder="1" applyAlignment="1">
      <alignment vertical="top"/>
    </xf>
    <xf numFmtId="0" fontId="0" fillId="12" borderId="3" xfId="0" applyFill="1" applyBorder="1" applyAlignment="1">
      <alignment vertical="top"/>
    </xf>
    <xf numFmtId="0" fontId="0" fillId="12" borderId="4" xfId="0" applyFill="1" applyBorder="1" applyAlignment="1">
      <alignment vertical="top"/>
    </xf>
    <xf numFmtId="0" fontId="0" fillId="12" borderId="1" xfId="0" applyFill="1" applyBorder="1" applyAlignment="1">
      <alignment vertical="center"/>
    </xf>
    <xf numFmtId="0" fontId="0" fillId="12" borderId="1" xfId="0" applyFill="1" applyBorder="1" applyAlignment="1">
      <alignment vertical="top"/>
    </xf>
    <xf numFmtId="0" fontId="0" fillId="13" borderId="2" xfId="0" applyFill="1" applyBorder="1" applyAlignment="1">
      <alignment horizontal="left" vertical="center"/>
    </xf>
    <xf numFmtId="0" fontId="0" fillId="13" borderId="3" xfId="0" applyFill="1" applyBorder="1" applyAlignment="1">
      <alignment horizontal="left" vertical="center"/>
    </xf>
    <xf numFmtId="0" fontId="0" fillId="13" borderId="4" xfId="0" applyFill="1" applyBorder="1" applyAlignment="1">
      <alignment horizontal="left" vertic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31" fillId="26" borderId="12" xfId="0" applyFont="1" applyFill="1" applyBorder="1" applyAlignment="1">
      <alignment horizontal="center" vertical="center"/>
    </xf>
    <xf numFmtId="0" fontId="31" fillId="26" borderId="0" xfId="0" applyFont="1" applyFill="1" applyAlignment="1">
      <alignment horizontal="center" vertical="center"/>
    </xf>
    <xf numFmtId="0" fontId="31" fillId="26" borderId="17" xfId="0" applyFont="1" applyFill="1" applyBorder="1" applyAlignment="1">
      <alignment horizontal="center" vertical="center"/>
    </xf>
    <xf numFmtId="0" fontId="31" fillId="26" borderId="73" xfId="0" applyFont="1" applyFill="1" applyBorder="1" applyAlignment="1">
      <alignment horizontal="center" vertical="center"/>
    </xf>
    <xf numFmtId="0" fontId="31" fillId="26" borderId="74" xfId="0" applyFont="1" applyFill="1" applyBorder="1" applyAlignment="1">
      <alignment horizontal="center" vertical="center"/>
    </xf>
  </cellXfs>
  <cellStyles count="3">
    <cellStyle name="Calculation" xfId="1" builtinId="22"/>
    <cellStyle name="Normal" xfId="0" builtinId="0"/>
    <cellStyle name="Normal 2" xfId="2" xr:uid="{00000000-0005-0000-0000-000002000000}"/>
  </cellStyles>
  <dxfs count="1088"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3333"/>
        </patternFill>
      </fill>
    </dxf>
    <dxf>
      <fill>
        <patternFill>
          <bgColor theme="8" tint="0.39994506668294322"/>
        </patternFill>
      </fill>
    </dxf>
    <dxf>
      <font>
        <b/>
        <i val="0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X47"/>
  <sheetViews>
    <sheetView topLeftCell="A5" zoomScale="58" zoomScaleNormal="216" workbookViewId="0">
      <selection activeCell="I9" sqref="I9:I41"/>
    </sheetView>
  </sheetViews>
  <sheetFormatPr defaultColWidth="8.81640625" defaultRowHeight="14.5"/>
  <cols>
    <col min="1" max="8" width="8.81640625" style="1"/>
    <col min="9" max="9" width="14.26953125" style="3" customWidth="1"/>
    <col min="10" max="11" width="8.81640625" style="3"/>
    <col min="12" max="12" width="12.1796875" style="1" bestFit="1" customWidth="1"/>
    <col min="13" max="13" width="11.54296875" style="1" bestFit="1" customWidth="1"/>
    <col min="14" max="14" width="16.54296875" style="1" bestFit="1" customWidth="1"/>
    <col min="15" max="15" width="14" style="1" bestFit="1" customWidth="1"/>
    <col min="16" max="16" width="16.453125" style="1" bestFit="1" customWidth="1"/>
    <col min="17" max="17" width="14.453125" style="1" bestFit="1" customWidth="1"/>
    <col min="18" max="18" width="27.453125" style="1" bestFit="1" customWidth="1"/>
    <col min="19" max="19" width="24.54296875" style="1" bestFit="1" customWidth="1"/>
    <col min="20" max="20" width="20.81640625" style="1" hidden="1" customWidth="1"/>
    <col min="21" max="21" width="19.81640625" style="1" bestFit="1" customWidth="1"/>
    <col min="22" max="22" width="20" style="1" bestFit="1" customWidth="1"/>
    <col min="23" max="23" width="13" style="1" bestFit="1" customWidth="1"/>
    <col min="24" max="16384" width="8.81640625" style="1"/>
  </cols>
  <sheetData>
    <row r="4" spans="4:24">
      <c r="E4" s="622" t="s">
        <v>40</v>
      </c>
      <c r="F4" s="622"/>
      <c r="G4" s="622"/>
      <c r="H4" s="622"/>
      <c r="I4" s="622"/>
      <c r="J4" s="622"/>
      <c r="K4" s="622"/>
      <c r="L4" s="622"/>
      <c r="M4" s="622"/>
      <c r="N4" s="622"/>
      <c r="O4" s="622"/>
      <c r="P4" s="622"/>
      <c r="Q4" s="622"/>
      <c r="R4" s="622"/>
      <c r="S4" s="622"/>
      <c r="T4" s="622"/>
      <c r="U4" s="622"/>
      <c r="V4" s="622"/>
      <c r="W4" s="622"/>
      <c r="X4" s="622"/>
    </row>
    <row r="5" spans="4:24">
      <c r="E5" s="622"/>
      <c r="F5" s="622"/>
      <c r="G5" s="622"/>
      <c r="H5" s="622"/>
      <c r="I5" s="622"/>
      <c r="J5" s="622"/>
      <c r="K5" s="622"/>
      <c r="L5" s="622"/>
      <c r="M5" s="622"/>
      <c r="N5" s="622"/>
      <c r="O5" s="622"/>
      <c r="P5" s="622"/>
      <c r="Q5" s="622"/>
      <c r="R5" s="622"/>
      <c r="S5" s="622"/>
      <c r="T5" s="622"/>
      <c r="U5" s="622"/>
      <c r="V5" s="622"/>
      <c r="W5" s="622"/>
      <c r="X5" s="622"/>
    </row>
    <row r="6" spans="4:24">
      <c r="E6" s="622"/>
      <c r="F6" s="622"/>
      <c r="G6" s="622"/>
      <c r="H6" s="622"/>
      <c r="I6" s="622"/>
      <c r="J6" s="622"/>
      <c r="K6" s="622"/>
      <c r="L6" s="622"/>
      <c r="M6" s="622"/>
      <c r="N6" s="622"/>
      <c r="O6" s="622"/>
      <c r="P6" s="622"/>
      <c r="Q6" s="622"/>
      <c r="R6" s="622"/>
      <c r="S6" s="622"/>
      <c r="T6" s="622"/>
      <c r="U6" s="622"/>
      <c r="V6" s="622"/>
      <c r="W6" s="622"/>
      <c r="X6" s="622"/>
    </row>
    <row r="7" spans="4:24" ht="18.5">
      <c r="D7" s="2" t="s">
        <v>0</v>
      </c>
      <c r="E7" s="623" t="s">
        <v>1</v>
      </c>
      <c r="F7" s="623"/>
      <c r="G7" s="623"/>
      <c r="H7" s="623"/>
      <c r="I7" s="623" t="s">
        <v>2</v>
      </c>
      <c r="J7" s="623"/>
      <c r="K7" s="623"/>
      <c r="L7" s="2" t="s">
        <v>3</v>
      </c>
      <c r="M7" s="2" t="s">
        <v>4</v>
      </c>
      <c r="N7" s="2" t="s">
        <v>5</v>
      </c>
      <c r="O7" s="2" t="s">
        <v>6</v>
      </c>
      <c r="P7" s="2" t="s">
        <v>7</v>
      </c>
      <c r="Q7" s="2" t="s">
        <v>8</v>
      </c>
      <c r="R7" s="2" t="s">
        <v>9</v>
      </c>
      <c r="S7" s="2" t="s">
        <v>10</v>
      </c>
      <c r="T7" s="4" t="s">
        <v>53</v>
      </c>
      <c r="U7" s="4" t="s">
        <v>56</v>
      </c>
      <c r="V7" s="4" t="s">
        <v>71</v>
      </c>
      <c r="W7" s="4" t="s">
        <v>72</v>
      </c>
      <c r="X7" s="3"/>
    </row>
    <row r="8" spans="4:24">
      <c r="D8" s="5"/>
      <c r="E8" s="624"/>
      <c r="F8" s="624"/>
      <c r="G8" s="624"/>
      <c r="H8" s="624"/>
      <c r="I8" s="624"/>
      <c r="J8" s="624"/>
      <c r="K8" s="624"/>
      <c r="L8" s="5"/>
      <c r="M8" s="5"/>
      <c r="N8" s="5"/>
      <c r="O8" s="5"/>
      <c r="P8" s="5"/>
      <c r="Q8" s="5"/>
      <c r="R8" s="5"/>
      <c r="S8" s="5"/>
      <c r="U8" s="3"/>
    </row>
    <row r="9" spans="4:24">
      <c r="D9" s="6">
        <v>1</v>
      </c>
      <c r="E9" s="621" t="s">
        <v>11</v>
      </c>
      <c r="F9" s="621"/>
      <c r="G9" s="621"/>
      <c r="H9" s="621"/>
      <c r="I9" s="6">
        <v>523987092</v>
      </c>
      <c r="J9" s="6" t="s">
        <v>2811</v>
      </c>
      <c r="K9" s="6" t="s">
        <v>2812</v>
      </c>
      <c r="L9" s="6">
        <v>199</v>
      </c>
      <c r="M9" s="6" t="s">
        <v>12</v>
      </c>
      <c r="N9" s="6" t="s">
        <v>13</v>
      </c>
      <c r="O9" s="7">
        <v>44476</v>
      </c>
      <c r="P9" s="6" t="s">
        <v>14</v>
      </c>
      <c r="Q9" s="6" t="s">
        <v>15</v>
      </c>
      <c r="R9" s="6"/>
      <c r="S9" s="6">
        <v>1.42937216</v>
      </c>
      <c r="T9" s="6" t="s">
        <v>54</v>
      </c>
      <c r="U9" s="8" t="s">
        <v>59</v>
      </c>
      <c r="V9" s="3"/>
      <c r="X9" s="3"/>
    </row>
    <row r="10" spans="4:24">
      <c r="D10" s="5">
        <v>2</v>
      </c>
      <c r="E10" s="625" t="s">
        <v>16</v>
      </c>
      <c r="F10" s="625"/>
      <c r="G10" s="625"/>
      <c r="H10" s="625"/>
      <c r="I10" s="15">
        <v>529685826</v>
      </c>
      <c r="J10" s="15" t="s">
        <v>2813</v>
      </c>
      <c r="K10" s="15"/>
      <c r="L10" s="15">
        <v>199</v>
      </c>
      <c r="M10" s="15" t="s">
        <v>12</v>
      </c>
      <c r="N10" s="15" t="s">
        <v>13</v>
      </c>
      <c r="O10" s="16">
        <v>44479</v>
      </c>
      <c r="P10" s="15" t="s">
        <v>14</v>
      </c>
      <c r="Q10" s="15" t="s">
        <v>15</v>
      </c>
      <c r="R10" s="15"/>
      <c r="S10" s="15">
        <v>1.4300777200000001</v>
      </c>
      <c r="T10" s="15" t="s">
        <v>54</v>
      </c>
      <c r="U10" s="17" t="s">
        <v>59</v>
      </c>
      <c r="V10" s="3">
        <v>100</v>
      </c>
      <c r="W10" s="5" t="s">
        <v>73</v>
      </c>
      <c r="X10" s="3"/>
    </row>
    <row r="11" spans="4:24">
      <c r="D11" s="5">
        <v>3</v>
      </c>
      <c r="E11" s="625" t="s">
        <v>17</v>
      </c>
      <c r="F11" s="625"/>
      <c r="G11" s="625"/>
      <c r="H11" s="625"/>
      <c r="I11" s="15" t="s">
        <v>18</v>
      </c>
      <c r="J11" s="284">
        <v>45464</v>
      </c>
      <c r="K11" s="15" t="s">
        <v>2814</v>
      </c>
      <c r="L11" s="15">
        <v>199</v>
      </c>
      <c r="M11" s="15" t="s">
        <v>12</v>
      </c>
      <c r="N11" s="15" t="s">
        <v>13</v>
      </c>
      <c r="O11" s="16">
        <v>44479</v>
      </c>
      <c r="P11" s="15" t="s">
        <v>14</v>
      </c>
      <c r="Q11" s="15" t="s">
        <v>15</v>
      </c>
      <c r="R11" s="15"/>
      <c r="S11" s="15">
        <v>1.4300874400000001</v>
      </c>
      <c r="T11" s="15" t="s">
        <v>54</v>
      </c>
      <c r="U11" s="17" t="s">
        <v>59</v>
      </c>
      <c r="V11" s="3">
        <v>100</v>
      </c>
      <c r="W11" s="5" t="s">
        <v>73</v>
      </c>
      <c r="X11" s="3"/>
    </row>
    <row r="12" spans="4:24">
      <c r="D12" s="5">
        <v>4</v>
      </c>
      <c r="E12" s="625" t="s">
        <v>19</v>
      </c>
      <c r="F12" s="625"/>
      <c r="G12" s="625"/>
      <c r="H12" s="625"/>
      <c r="I12" s="15">
        <v>553354623</v>
      </c>
      <c r="J12" s="15"/>
      <c r="K12" s="15"/>
      <c r="L12" s="15">
        <v>269</v>
      </c>
      <c r="M12" s="15" t="s">
        <v>20</v>
      </c>
      <c r="N12" s="15" t="s">
        <v>21</v>
      </c>
      <c r="O12" s="16">
        <v>44481</v>
      </c>
      <c r="P12" s="15" t="s">
        <v>14</v>
      </c>
      <c r="Q12" s="15" t="s">
        <v>22</v>
      </c>
      <c r="R12" s="15"/>
      <c r="S12" s="15">
        <v>1.18907399</v>
      </c>
      <c r="T12" s="15" t="s">
        <v>54</v>
      </c>
      <c r="U12" s="17" t="s">
        <v>59</v>
      </c>
      <c r="V12" s="3">
        <v>100</v>
      </c>
      <c r="W12" s="5" t="s">
        <v>73</v>
      </c>
      <c r="X12" s="3"/>
    </row>
    <row r="13" spans="4:24">
      <c r="D13" s="5">
        <v>5</v>
      </c>
      <c r="E13" s="625" t="s">
        <v>23</v>
      </c>
      <c r="F13" s="625"/>
      <c r="G13" s="625"/>
      <c r="H13" s="625"/>
      <c r="I13" s="15">
        <v>566098202</v>
      </c>
      <c r="J13" s="15"/>
      <c r="K13" s="15"/>
      <c r="L13" s="15">
        <v>199</v>
      </c>
      <c r="M13" s="15" t="s">
        <v>12</v>
      </c>
      <c r="N13" s="15" t="s">
        <v>13</v>
      </c>
      <c r="O13" s="16">
        <v>44481</v>
      </c>
      <c r="P13" s="15" t="s">
        <v>14</v>
      </c>
      <c r="Q13" s="15" t="s">
        <v>15</v>
      </c>
      <c r="R13" s="15"/>
      <c r="S13" s="15">
        <v>1.4304595899999999</v>
      </c>
      <c r="T13" s="15" t="s">
        <v>54</v>
      </c>
      <c r="U13" s="17" t="s">
        <v>59</v>
      </c>
      <c r="V13" s="3">
        <v>100</v>
      </c>
      <c r="W13" s="5" t="s">
        <v>73</v>
      </c>
      <c r="X13" s="3"/>
    </row>
    <row r="14" spans="4:24">
      <c r="D14" s="5">
        <v>6</v>
      </c>
      <c r="E14" s="625" t="s">
        <v>24</v>
      </c>
      <c r="F14" s="625"/>
      <c r="G14" s="625"/>
      <c r="H14" s="625"/>
      <c r="I14" s="15">
        <v>556345838</v>
      </c>
      <c r="J14" s="15"/>
      <c r="K14" s="15"/>
      <c r="L14" s="15">
        <v>199</v>
      </c>
      <c r="M14" s="15" t="s">
        <v>12</v>
      </c>
      <c r="N14" s="15" t="s">
        <v>13</v>
      </c>
      <c r="O14" s="16">
        <v>44481</v>
      </c>
      <c r="P14" s="15" t="s">
        <v>14</v>
      </c>
      <c r="Q14" s="15" t="s">
        <v>15</v>
      </c>
      <c r="R14" s="15"/>
      <c r="S14" s="15">
        <v>1.15181472</v>
      </c>
      <c r="T14" s="15" t="s">
        <v>54</v>
      </c>
      <c r="U14" s="17" t="s">
        <v>59</v>
      </c>
      <c r="V14" s="3">
        <v>100</v>
      </c>
      <c r="W14" s="5" t="s">
        <v>73</v>
      </c>
      <c r="X14" s="3"/>
    </row>
    <row r="15" spans="4:24">
      <c r="D15" s="5">
        <v>7</v>
      </c>
      <c r="E15" s="625" t="s">
        <v>25</v>
      </c>
      <c r="F15" s="625"/>
      <c r="G15" s="625"/>
      <c r="H15" s="625"/>
      <c r="I15" s="15">
        <v>558775882</v>
      </c>
      <c r="J15" s="15"/>
      <c r="K15" s="15"/>
      <c r="L15" s="15">
        <v>199</v>
      </c>
      <c r="M15" s="15" t="s">
        <v>12</v>
      </c>
      <c r="N15" s="15" t="s">
        <v>13</v>
      </c>
      <c r="O15" s="16">
        <v>44481</v>
      </c>
      <c r="P15" s="15" t="s">
        <v>14</v>
      </c>
      <c r="Q15" s="15" t="s">
        <v>15</v>
      </c>
      <c r="R15" s="15"/>
      <c r="S15" s="15">
        <v>1.4304879399999999</v>
      </c>
      <c r="T15" s="15" t="s">
        <v>54</v>
      </c>
      <c r="U15" s="17" t="s">
        <v>59</v>
      </c>
      <c r="V15" s="3">
        <v>100</v>
      </c>
      <c r="W15" s="5" t="s">
        <v>73</v>
      </c>
      <c r="X15" s="3"/>
    </row>
    <row r="16" spans="4:24">
      <c r="D16" s="5">
        <v>8</v>
      </c>
      <c r="E16" s="625" t="s">
        <v>26</v>
      </c>
      <c r="F16" s="625"/>
      <c r="G16" s="625"/>
      <c r="H16" s="625"/>
      <c r="I16" s="15">
        <v>529733130</v>
      </c>
      <c r="J16" s="15"/>
      <c r="K16" s="15"/>
      <c r="L16" s="15" t="s">
        <v>27</v>
      </c>
      <c r="M16" s="15" t="s">
        <v>12</v>
      </c>
      <c r="N16" s="15" t="s">
        <v>21</v>
      </c>
      <c r="O16" s="16">
        <v>44486</v>
      </c>
      <c r="P16" s="15" t="s">
        <v>28</v>
      </c>
      <c r="Q16" s="15" t="s">
        <v>22</v>
      </c>
      <c r="R16" s="15" t="s">
        <v>29</v>
      </c>
      <c r="S16" s="15" t="s">
        <v>30</v>
      </c>
      <c r="T16" s="15" t="s">
        <v>54</v>
      </c>
      <c r="U16" s="17" t="s">
        <v>59</v>
      </c>
      <c r="V16" s="3">
        <v>100</v>
      </c>
      <c r="W16" s="5" t="s">
        <v>73</v>
      </c>
      <c r="X16" s="3"/>
    </row>
    <row r="17" spans="4:24">
      <c r="D17" s="5">
        <v>9</v>
      </c>
      <c r="E17" s="625" t="s">
        <v>31</v>
      </c>
      <c r="F17" s="625"/>
      <c r="G17" s="625"/>
      <c r="H17" s="625"/>
      <c r="I17" s="15">
        <v>506762235</v>
      </c>
      <c r="J17" s="15"/>
      <c r="K17" s="15"/>
      <c r="L17" s="15">
        <v>199</v>
      </c>
      <c r="M17" s="15" t="s">
        <v>12</v>
      </c>
      <c r="N17" s="15" t="s">
        <v>21</v>
      </c>
      <c r="O17" s="16">
        <v>44486</v>
      </c>
      <c r="P17" s="15" t="s">
        <v>14</v>
      </c>
      <c r="Q17" s="15" t="s">
        <v>22</v>
      </c>
      <c r="R17" s="15" t="s">
        <v>32</v>
      </c>
      <c r="S17" s="15"/>
      <c r="T17" s="15" t="s">
        <v>54</v>
      </c>
      <c r="U17" s="17" t="s">
        <v>59</v>
      </c>
      <c r="V17" s="3">
        <v>100</v>
      </c>
      <c r="W17" s="5" t="s">
        <v>73</v>
      </c>
      <c r="X17" s="3"/>
    </row>
    <row r="18" spans="4:24">
      <c r="D18" s="5">
        <v>10</v>
      </c>
      <c r="E18" s="626" t="s">
        <v>33</v>
      </c>
      <c r="F18" s="626"/>
      <c r="G18" s="626"/>
      <c r="H18" s="626"/>
      <c r="I18" s="10">
        <v>568617734</v>
      </c>
      <c r="J18" s="10"/>
      <c r="K18" s="10"/>
      <c r="L18" s="10">
        <v>199</v>
      </c>
      <c r="M18" s="10" t="s">
        <v>12</v>
      </c>
      <c r="N18" s="10" t="s">
        <v>13</v>
      </c>
      <c r="O18" s="11">
        <v>44486</v>
      </c>
      <c r="P18" s="10" t="s">
        <v>14</v>
      </c>
      <c r="Q18" s="10" t="s">
        <v>15</v>
      </c>
      <c r="R18" s="10"/>
      <c r="S18" s="10">
        <v>1.43145773</v>
      </c>
      <c r="T18" s="10" t="s">
        <v>54</v>
      </c>
      <c r="U18" s="12" t="s">
        <v>58</v>
      </c>
      <c r="V18" s="3">
        <v>100</v>
      </c>
      <c r="W18" s="5" t="s">
        <v>73</v>
      </c>
      <c r="X18" s="3"/>
    </row>
    <row r="19" spans="4:24">
      <c r="D19" s="6">
        <v>11</v>
      </c>
      <c r="E19" s="621" t="s">
        <v>34</v>
      </c>
      <c r="F19" s="621"/>
      <c r="G19" s="621"/>
      <c r="H19" s="621"/>
      <c r="I19" s="6">
        <v>553574036</v>
      </c>
      <c r="J19" s="6"/>
      <c r="K19" s="6"/>
      <c r="L19" s="6">
        <v>199</v>
      </c>
      <c r="M19" s="6" t="s">
        <v>12</v>
      </c>
      <c r="N19" s="6" t="s">
        <v>13</v>
      </c>
      <c r="O19" s="7">
        <v>44488</v>
      </c>
      <c r="P19" s="6" t="s">
        <v>14</v>
      </c>
      <c r="Q19" s="6" t="s">
        <v>15</v>
      </c>
      <c r="R19" s="6"/>
      <c r="S19" s="6">
        <v>1.43168034</v>
      </c>
      <c r="T19" s="6" t="s">
        <v>54</v>
      </c>
      <c r="U19" s="8" t="s">
        <v>57</v>
      </c>
      <c r="V19" s="3">
        <v>100</v>
      </c>
      <c r="W19" s="5" t="s">
        <v>73</v>
      </c>
      <c r="X19" s="3"/>
    </row>
    <row r="20" spans="4:24">
      <c r="D20" s="6">
        <v>12</v>
      </c>
      <c r="E20" s="621" t="s">
        <v>35</v>
      </c>
      <c r="F20" s="621"/>
      <c r="G20" s="621"/>
      <c r="H20" s="621"/>
      <c r="I20" s="6">
        <v>508613912</v>
      </c>
      <c r="J20" s="6"/>
      <c r="K20" s="6"/>
      <c r="L20" s="6">
        <v>199</v>
      </c>
      <c r="M20" s="6" t="s">
        <v>12</v>
      </c>
      <c r="N20" s="6" t="s">
        <v>13</v>
      </c>
      <c r="O20" s="7">
        <v>44488</v>
      </c>
      <c r="P20" s="6" t="s">
        <v>14</v>
      </c>
      <c r="Q20" s="6" t="s">
        <v>15</v>
      </c>
      <c r="R20" s="6"/>
      <c r="S20" s="6" t="s">
        <v>36</v>
      </c>
      <c r="T20" s="6" t="s">
        <v>54</v>
      </c>
      <c r="U20" s="8" t="s">
        <v>57</v>
      </c>
      <c r="V20" s="3">
        <v>100</v>
      </c>
      <c r="W20" s="5" t="s">
        <v>73</v>
      </c>
      <c r="X20" s="3"/>
    </row>
    <row r="21" spans="4:24">
      <c r="D21" s="5">
        <v>13</v>
      </c>
      <c r="E21" s="626" t="s">
        <v>37</v>
      </c>
      <c r="F21" s="626"/>
      <c r="G21" s="626"/>
      <c r="H21" s="626"/>
      <c r="I21" s="10">
        <v>504343157</v>
      </c>
      <c r="J21" s="10"/>
      <c r="K21" s="10"/>
      <c r="L21" s="10">
        <v>199</v>
      </c>
      <c r="M21" s="10" t="s">
        <v>12</v>
      </c>
      <c r="N21" s="10" t="s">
        <v>13</v>
      </c>
      <c r="O21" s="11">
        <v>44489</v>
      </c>
      <c r="P21" s="10" t="s">
        <v>14</v>
      </c>
      <c r="Q21" s="10" t="s">
        <v>15</v>
      </c>
      <c r="R21" s="10"/>
      <c r="S21" s="10">
        <v>1.4317808599999999</v>
      </c>
      <c r="T21" s="10" t="s">
        <v>54</v>
      </c>
      <c r="U21" s="12" t="s">
        <v>58</v>
      </c>
      <c r="V21" s="3">
        <v>100</v>
      </c>
      <c r="W21" s="5" t="s">
        <v>73</v>
      </c>
      <c r="X21" s="3"/>
    </row>
    <row r="22" spans="4:24">
      <c r="D22" s="6">
        <v>14</v>
      </c>
      <c r="E22" s="621" t="s">
        <v>38</v>
      </c>
      <c r="F22" s="621"/>
      <c r="G22" s="621"/>
      <c r="H22" s="621"/>
      <c r="I22" s="6">
        <v>588379004</v>
      </c>
      <c r="J22" s="6"/>
      <c r="K22" s="6"/>
      <c r="L22" s="6">
        <v>199</v>
      </c>
      <c r="M22" s="6" t="s">
        <v>12</v>
      </c>
      <c r="N22" s="6" t="s">
        <v>13</v>
      </c>
      <c r="O22" s="7">
        <v>44489</v>
      </c>
      <c r="P22" s="6" t="s">
        <v>14</v>
      </c>
      <c r="Q22" s="6" t="s">
        <v>15</v>
      </c>
      <c r="R22" s="6"/>
      <c r="S22" s="6">
        <v>1.43181428</v>
      </c>
      <c r="T22" s="6" t="s">
        <v>54</v>
      </c>
      <c r="U22" s="8" t="s">
        <v>57</v>
      </c>
      <c r="V22" s="3">
        <v>100</v>
      </c>
      <c r="W22" s="5" t="s">
        <v>73</v>
      </c>
      <c r="X22" s="3"/>
    </row>
    <row r="23" spans="4:24">
      <c r="D23" s="5">
        <v>15</v>
      </c>
      <c r="E23" s="625" t="s">
        <v>39</v>
      </c>
      <c r="F23" s="625"/>
      <c r="G23" s="625"/>
      <c r="H23" s="625"/>
      <c r="I23" s="15">
        <v>563441113</v>
      </c>
      <c r="J23" s="15"/>
      <c r="K23" s="15"/>
      <c r="L23" s="15">
        <v>199</v>
      </c>
      <c r="M23" s="15" t="s">
        <v>12</v>
      </c>
      <c r="N23" s="15" t="s">
        <v>13</v>
      </c>
      <c r="O23" s="16">
        <v>44489</v>
      </c>
      <c r="P23" s="15" t="s">
        <v>14</v>
      </c>
      <c r="Q23" s="15" t="s">
        <v>15</v>
      </c>
      <c r="R23" s="15"/>
      <c r="S23" s="15">
        <v>1.43181476</v>
      </c>
      <c r="T23" s="15" t="s">
        <v>54</v>
      </c>
      <c r="U23" s="17" t="s">
        <v>59</v>
      </c>
      <c r="V23" s="3">
        <v>100</v>
      </c>
      <c r="W23" s="5" t="s">
        <v>73</v>
      </c>
      <c r="X23" s="3"/>
    </row>
    <row r="24" spans="4:24">
      <c r="D24" s="5">
        <v>16</v>
      </c>
      <c r="E24" s="625" t="s">
        <v>41</v>
      </c>
      <c r="F24" s="625"/>
      <c r="G24" s="625"/>
      <c r="H24" s="625"/>
      <c r="I24" s="15">
        <v>522171291</v>
      </c>
      <c r="J24" s="15"/>
      <c r="K24" s="15"/>
      <c r="L24" s="15">
        <v>199</v>
      </c>
      <c r="M24" s="15" t="s">
        <v>49</v>
      </c>
      <c r="N24" s="15" t="s">
        <v>51</v>
      </c>
      <c r="O24" s="16">
        <v>44475</v>
      </c>
      <c r="P24" s="15" t="s">
        <v>14</v>
      </c>
      <c r="Q24" s="15" t="s">
        <v>15</v>
      </c>
      <c r="R24" s="15"/>
      <c r="S24" s="15"/>
      <c r="T24" s="15" t="s">
        <v>55</v>
      </c>
      <c r="U24" s="17" t="s">
        <v>59</v>
      </c>
      <c r="V24" s="3">
        <v>100</v>
      </c>
      <c r="W24" s="5" t="s">
        <v>73</v>
      </c>
    </row>
    <row r="25" spans="4:24">
      <c r="D25" s="5">
        <v>17</v>
      </c>
      <c r="E25" s="625" t="s">
        <v>42</v>
      </c>
      <c r="F25" s="625"/>
      <c r="G25" s="625"/>
      <c r="H25" s="625"/>
      <c r="I25" s="15">
        <v>563702130</v>
      </c>
      <c r="J25" s="15"/>
      <c r="K25" s="15"/>
      <c r="L25" s="15">
        <v>199</v>
      </c>
      <c r="M25" s="15" t="s">
        <v>50</v>
      </c>
      <c r="N25" s="15" t="s">
        <v>52</v>
      </c>
      <c r="O25" s="16">
        <v>44477</v>
      </c>
      <c r="P25" s="15" t="s">
        <v>14</v>
      </c>
      <c r="Q25" s="15" t="s">
        <v>15</v>
      </c>
      <c r="R25" s="15"/>
      <c r="S25" s="15">
        <v>1.4297548200000001</v>
      </c>
      <c r="T25" s="15" t="s">
        <v>55</v>
      </c>
      <c r="U25" s="17" t="s">
        <v>59</v>
      </c>
      <c r="V25" s="3">
        <v>100</v>
      </c>
      <c r="W25" s="5" t="s">
        <v>73</v>
      </c>
    </row>
    <row r="26" spans="4:24">
      <c r="D26" s="5">
        <v>18</v>
      </c>
      <c r="E26" s="625" t="s">
        <v>43</v>
      </c>
      <c r="F26" s="625"/>
      <c r="G26" s="625"/>
      <c r="H26" s="625"/>
      <c r="I26" s="15">
        <v>523310008</v>
      </c>
      <c r="J26" s="15"/>
      <c r="K26" s="15"/>
      <c r="L26" s="15">
        <v>199</v>
      </c>
      <c r="M26" s="15" t="s">
        <v>49</v>
      </c>
      <c r="N26" s="15" t="s">
        <v>51</v>
      </c>
      <c r="O26" s="16">
        <v>44478</v>
      </c>
      <c r="P26" s="15" t="s">
        <v>14</v>
      </c>
      <c r="Q26" s="15" t="s">
        <v>15</v>
      </c>
      <c r="R26" s="15"/>
      <c r="S26" s="15"/>
      <c r="T26" s="15" t="s">
        <v>55</v>
      </c>
      <c r="U26" s="17" t="s">
        <v>59</v>
      </c>
      <c r="V26" s="3">
        <v>100</v>
      </c>
      <c r="W26" s="5" t="s">
        <v>73</v>
      </c>
    </row>
    <row r="27" spans="4:24">
      <c r="D27" s="5">
        <v>19</v>
      </c>
      <c r="E27" s="625" t="s">
        <v>44</v>
      </c>
      <c r="F27" s="625"/>
      <c r="G27" s="625"/>
      <c r="H27" s="625"/>
      <c r="I27" s="15">
        <v>565015162</v>
      </c>
      <c r="J27" s="15"/>
      <c r="K27" s="15"/>
      <c r="L27" s="15">
        <v>199</v>
      </c>
      <c r="M27" s="15" t="s">
        <v>49</v>
      </c>
      <c r="N27" s="15" t="s">
        <v>51</v>
      </c>
      <c r="O27" s="16">
        <v>44478</v>
      </c>
      <c r="P27" s="15" t="s">
        <v>14</v>
      </c>
      <c r="Q27" s="15" t="s">
        <v>15</v>
      </c>
      <c r="R27" s="15"/>
      <c r="S27" s="15"/>
      <c r="T27" s="15" t="s">
        <v>55</v>
      </c>
      <c r="U27" s="17" t="s">
        <v>59</v>
      </c>
      <c r="V27" s="3">
        <v>100</v>
      </c>
      <c r="W27" s="5" t="s">
        <v>73</v>
      </c>
    </row>
    <row r="28" spans="4:24">
      <c r="D28" s="5">
        <v>20</v>
      </c>
      <c r="E28" s="625" t="s">
        <v>45</v>
      </c>
      <c r="F28" s="625"/>
      <c r="G28" s="625"/>
      <c r="H28" s="625"/>
      <c r="I28" s="15">
        <v>568748722</v>
      </c>
      <c r="J28" s="15"/>
      <c r="K28" s="15"/>
      <c r="L28" s="15">
        <v>199</v>
      </c>
      <c r="M28" s="15" t="s">
        <v>49</v>
      </c>
      <c r="N28" s="15" t="s">
        <v>51</v>
      </c>
      <c r="O28" s="16">
        <v>44482</v>
      </c>
      <c r="P28" s="15" t="s">
        <v>14</v>
      </c>
      <c r="Q28" s="15" t="s">
        <v>15</v>
      </c>
      <c r="R28" s="15"/>
      <c r="S28" s="15"/>
      <c r="T28" s="15" t="s">
        <v>55</v>
      </c>
      <c r="U28" s="17" t="s">
        <v>59</v>
      </c>
      <c r="V28" s="3">
        <v>100</v>
      </c>
      <c r="W28" s="5" t="s">
        <v>73</v>
      </c>
    </row>
    <row r="29" spans="4:24">
      <c r="D29" s="5">
        <v>21</v>
      </c>
      <c r="E29" s="625" t="s">
        <v>46</v>
      </c>
      <c r="F29" s="625"/>
      <c r="G29" s="625"/>
      <c r="H29" s="625"/>
      <c r="I29" s="15">
        <v>567174214</v>
      </c>
      <c r="J29" s="15"/>
      <c r="K29" s="15"/>
      <c r="L29" s="15">
        <v>199</v>
      </c>
      <c r="M29" s="15" t="s">
        <v>49</v>
      </c>
      <c r="N29" s="15" t="s">
        <v>51</v>
      </c>
      <c r="O29" s="16">
        <v>44486</v>
      </c>
      <c r="P29" s="15" t="s">
        <v>14</v>
      </c>
      <c r="Q29" s="15" t="s">
        <v>22</v>
      </c>
      <c r="R29" s="15"/>
      <c r="S29" s="15"/>
      <c r="T29" s="15" t="s">
        <v>55</v>
      </c>
      <c r="U29" s="17" t="s">
        <v>59</v>
      </c>
      <c r="V29" s="3">
        <v>100</v>
      </c>
      <c r="W29" s="5" t="s">
        <v>73</v>
      </c>
    </row>
    <row r="30" spans="4:24">
      <c r="D30" s="5">
        <v>22</v>
      </c>
      <c r="E30" s="625" t="s">
        <v>47</v>
      </c>
      <c r="F30" s="625"/>
      <c r="G30" s="625"/>
      <c r="H30" s="625"/>
      <c r="I30" s="15">
        <v>567460644</v>
      </c>
      <c r="J30" s="15"/>
      <c r="K30" s="15"/>
      <c r="L30" s="15">
        <v>199</v>
      </c>
      <c r="M30" s="15" t="s">
        <v>49</v>
      </c>
      <c r="N30" s="15" t="s">
        <v>51</v>
      </c>
      <c r="O30" s="16">
        <v>44486</v>
      </c>
      <c r="P30" s="15" t="s">
        <v>14</v>
      </c>
      <c r="Q30" s="15" t="s">
        <v>22</v>
      </c>
      <c r="R30" s="15"/>
      <c r="S30" s="15"/>
      <c r="T30" s="15" t="s">
        <v>55</v>
      </c>
      <c r="U30" s="17" t="s">
        <v>59</v>
      </c>
      <c r="V30" s="3">
        <v>100</v>
      </c>
      <c r="W30" s="5" t="s">
        <v>73</v>
      </c>
    </row>
    <row r="31" spans="4:24">
      <c r="D31" s="5">
        <v>23</v>
      </c>
      <c r="E31" s="625" t="s">
        <v>48</v>
      </c>
      <c r="F31" s="625"/>
      <c r="G31" s="625"/>
      <c r="H31" s="625"/>
      <c r="I31" s="15">
        <v>559613541</v>
      </c>
      <c r="J31" s="15"/>
      <c r="K31" s="15"/>
      <c r="L31" s="15">
        <v>199</v>
      </c>
      <c r="M31" s="15" t="s">
        <v>49</v>
      </c>
      <c r="N31" s="15" t="s">
        <v>51</v>
      </c>
      <c r="O31" s="16">
        <v>44486</v>
      </c>
      <c r="P31" s="15" t="s">
        <v>14</v>
      </c>
      <c r="Q31" s="15" t="s">
        <v>22</v>
      </c>
      <c r="R31" s="17"/>
      <c r="S31" s="15"/>
      <c r="T31" s="15" t="s">
        <v>55</v>
      </c>
      <c r="U31" s="17" t="s">
        <v>59</v>
      </c>
      <c r="V31" s="3">
        <v>100</v>
      </c>
      <c r="W31" s="5" t="s">
        <v>73</v>
      </c>
    </row>
    <row r="32" spans="4:24">
      <c r="D32" s="5">
        <v>24</v>
      </c>
      <c r="E32" s="627" t="s">
        <v>60</v>
      </c>
      <c r="F32" s="627"/>
      <c r="G32" s="627"/>
      <c r="H32" s="627"/>
      <c r="I32" s="17">
        <v>557736824</v>
      </c>
      <c r="J32" s="17"/>
      <c r="K32" s="17"/>
      <c r="L32" s="15">
        <v>199</v>
      </c>
      <c r="M32" s="17" t="s">
        <v>61</v>
      </c>
      <c r="N32" s="17" t="s">
        <v>13</v>
      </c>
      <c r="O32" s="19">
        <v>44491</v>
      </c>
      <c r="P32" s="17" t="s">
        <v>14</v>
      </c>
      <c r="Q32" s="17" t="s">
        <v>15</v>
      </c>
      <c r="R32" s="17"/>
      <c r="S32" s="17"/>
      <c r="T32" s="17" t="s">
        <v>54</v>
      </c>
      <c r="U32" s="15" t="s">
        <v>59</v>
      </c>
      <c r="V32" s="3">
        <v>100</v>
      </c>
      <c r="W32" s="5" t="s">
        <v>73</v>
      </c>
    </row>
    <row r="33" spans="4:23">
      <c r="D33" s="5">
        <v>25</v>
      </c>
      <c r="E33" s="627" t="s">
        <v>62</v>
      </c>
      <c r="F33" s="627"/>
      <c r="G33" s="627"/>
      <c r="H33" s="627"/>
      <c r="I33" s="17">
        <v>522330015</v>
      </c>
      <c r="J33" s="17"/>
      <c r="K33" s="17"/>
      <c r="L33" s="15">
        <v>199</v>
      </c>
      <c r="M33" s="17" t="s">
        <v>12</v>
      </c>
      <c r="N33" s="17" t="s">
        <v>13</v>
      </c>
      <c r="O33" s="19">
        <v>44492</v>
      </c>
      <c r="P33" s="17" t="s">
        <v>14</v>
      </c>
      <c r="Q33" s="17" t="s">
        <v>15</v>
      </c>
      <c r="R33" s="17"/>
      <c r="S33" s="17">
        <v>1.4322526799999999</v>
      </c>
      <c r="T33" s="17" t="s">
        <v>54</v>
      </c>
      <c r="U33" s="15" t="s">
        <v>59</v>
      </c>
      <c r="V33" s="3">
        <v>100</v>
      </c>
      <c r="W33" s="5" t="s">
        <v>73</v>
      </c>
    </row>
    <row r="34" spans="4:23">
      <c r="D34" s="6">
        <v>26</v>
      </c>
      <c r="E34" s="628" t="s">
        <v>63</v>
      </c>
      <c r="F34" s="628"/>
      <c r="G34" s="628"/>
      <c r="H34" s="628"/>
      <c r="I34" s="8">
        <v>566265855</v>
      </c>
      <c r="J34" s="8"/>
      <c r="K34" s="8"/>
      <c r="L34" s="6">
        <v>199</v>
      </c>
      <c r="M34" s="8" t="s">
        <v>12</v>
      </c>
      <c r="N34" s="8" t="s">
        <v>13</v>
      </c>
      <c r="O34" s="9">
        <v>44494</v>
      </c>
      <c r="P34" s="8" t="s">
        <v>14</v>
      </c>
      <c r="Q34" s="8" t="s">
        <v>15</v>
      </c>
      <c r="R34" s="8"/>
      <c r="S34" s="8">
        <v>1.43240809</v>
      </c>
      <c r="T34" s="8" t="s">
        <v>54</v>
      </c>
      <c r="U34" s="6" t="s">
        <v>57</v>
      </c>
      <c r="V34" s="3">
        <v>100</v>
      </c>
      <c r="W34" s="5" t="s">
        <v>73</v>
      </c>
    </row>
    <row r="35" spans="4:23">
      <c r="D35" s="5">
        <v>27</v>
      </c>
      <c r="E35" s="629" t="s">
        <v>64</v>
      </c>
      <c r="F35" s="629"/>
      <c r="G35" s="629"/>
      <c r="H35" s="629"/>
      <c r="I35" s="12">
        <v>567045039</v>
      </c>
      <c r="J35" s="12"/>
      <c r="K35" s="12"/>
      <c r="L35" s="10">
        <v>199</v>
      </c>
      <c r="M35" s="12" t="s">
        <v>61</v>
      </c>
      <c r="N35" s="12" t="s">
        <v>13</v>
      </c>
      <c r="O35" s="13">
        <v>44495</v>
      </c>
      <c r="P35" s="12" t="s">
        <v>14</v>
      </c>
      <c r="Q35" s="12" t="s">
        <v>15</v>
      </c>
      <c r="R35" s="12"/>
      <c r="S35" s="12">
        <v>1.4324699299999999</v>
      </c>
      <c r="T35" s="12" t="s">
        <v>54</v>
      </c>
      <c r="U35" s="10" t="s">
        <v>58</v>
      </c>
      <c r="V35" s="3">
        <v>100</v>
      </c>
      <c r="W35" s="5" t="s">
        <v>73</v>
      </c>
    </row>
    <row r="36" spans="4:23">
      <c r="D36" s="6">
        <v>28</v>
      </c>
      <c r="E36" s="628" t="s">
        <v>65</v>
      </c>
      <c r="F36" s="628"/>
      <c r="G36" s="628"/>
      <c r="H36" s="628"/>
      <c r="I36" s="8">
        <v>507877275</v>
      </c>
      <c r="J36" s="8"/>
      <c r="K36" s="8"/>
      <c r="L36" s="6">
        <v>199</v>
      </c>
      <c r="M36" s="8" t="s">
        <v>12</v>
      </c>
      <c r="N36" s="8" t="s">
        <v>13</v>
      </c>
      <c r="O36" s="9">
        <v>44496</v>
      </c>
      <c r="P36" s="8" t="s">
        <v>14</v>
      </c>
      <c r="Q36" s="8" t="s">
        <v>15</v>
      </c>
      <c r="R36" s="8"/>
      <c r="S36" s="8">
        <v>1.43259549</v>
      </c>
      <c r="T36" s="8" t="s">
        <v>54</v>
      </c>
      <c r="U36" s="6" t="s">
        <v>57</v>
      </c>
      <c r="V36" s="3">
        <v>100</v>
      </c>
      <c r="W36" s="5" t="s">
        <v>73</v>
      </c>
    </row>
    <row r="37" spans="4:23">
      <c r="D37" s="5">
        <v>29</v>
      </c>
      <c r="E37" s="629" t="s">
        <v>66</v>
      </c>
      <c r="F37" s="629"/>
      <c r="G37" s="629"/>
      <c r="H37" s="629"/>
      <c r="I37" s="12">
        <v>564326287</v>
      </c>
      <c r="J37" s="12"/>
      <c r="K37" s="12"/>
      <c r="L37" s="10">
        <v>199</v>
      </c>
      <c r="M37" s="12" t="s">
        <v>12</v>
      </c>
      <c r="N37" s="12" t="s">
        <v>13</v>
      </c>
      <c r="O37" s="13">
        <v>44496</v>
      </c>
      <c r="P37" s="12" t="s">
        <v>14</v>
      </c>
      <c r="Q37" s="12" t="s">
        <v>15</v>
      </c>
      <c r="R37" s="12"/>
      <c r="S37" s="12">
        <v>1.43320154</v>
      </c>
      <c r="T37" s="12" t="s">
        <v>54</v>
      </c>
      <c r="U37" s="10" t="s">
        <v>58</v>
      </c>
      <c r="V37" s="3">
        <v>100</v>
      </c>
      <c r="W37" s="5" t="s">
        <v>73</v>
      </c>
    </row>
    <row r="38" spans="4:23">
      <c r="D38" s="5">
        <v>30</v>
      </c>
      <c r="E38" s="627" t="s">
        <v>67</v>
      </c>
      <c r="F38" s="627"/>
      <c r="G38" s="627"/>
      <c r="H38" s="627"/>
      <c r="I38" s="17">
        <v>503529609</v>
      </c>
      <c r="J38" s="17"/>
      <c r="K38" s="17"/>
      <c r="L38" s="15">
        <v>199</v>
      </c>
      <c r="M38" s="17" t="s">
        <v>61</v>
      </c>
      <c r="N38" s="17" t="s">
        <v>13</v>
      </c>
      <c r="O38" s="19">
        <v>44497</v>
      </c>
      <c r="P38" s="17" t="s">
        <v>14</v>
      </c>
      <c r="Q38" s="17" t="s">
        <v>15</v>
      </c>
      <c r="R38" s="17"/>
      <c r="S38" s="17">
        <v>1.4332595400000001</v>
      </c>
      <c r="T38" s="17" t="s">
        <v>54</v>
      </c>
      <c r="U38" s="15" t="s">
        <v>59</v>
      </c>
      <c r="V38" s="3">
        <v>100</v>
      </c>
      <c r="W38" s="5" t="s">
        <v>73</v>
      </c>
    </row>
    <row r="39" spans="4:23">
      <c r="D39" s="5">
        <v>32</v>
      </c>
      <c r="E39" s="629" t="s">
        <v>68</v>
      </c>
      <c r="F39" s="629"/>
      <c r="G39" s="629"/>
      <c r="H39" s="629"/>
      <c r="I39" s="12">
        <v>545950013</v>
      </c>
      <c r="J39" s="12"/>
      <c r="K39" s="12"/>
      <c r="L39" s="10">
        <v>199</v>
      </c>
      <c r="M39" s="12" t="s">
        <v>12</v>
      </c>
      <c r="N39" s="12" t="s">
        <v>13</v>
      </c>
      <c r="O39" s="13">
        <v>44498</v>
      </c>
      <c r="P39" s="12" t="s">
        <v>14</v>
      </c>
      <c r="Q39" s="12" t="s">
        <v>15</v>
      </c>
      <c r="R39" s="12"/>
      <c r="S39" s="12">
        <v>1.4334698299999999</v>
      </c>
      <c r="T39" s="14"/>
      <c r="U39" s="10" t="s">
        <v>58</v>
      </c>
      <c r="V39" s="3">
        <v>100</v>
      </c>
      <c r="W39" s="5" t="s">
        <v>73</v>
      </c>
    </row>
    <row r="40" spans="4:23">
      <c r="D40" s="3">
        <v>31</v>
      </c>
      <c r="E40" s="627" t="s">
        <v>69</v>
      </c>
      <c r="F40" s="627"/>
      <c r="G40" s="627"/>
      <c r="H40" s="627"/>
      <c r="I40" s="17">
        <v>502087384</v>
      </c>
      <c r="J40" s="17"/>
      <c r="K40" s="17"/>
      <c r="L40" s="15">
        <v>199</v>
      </c>
      <c r="M40" s="17" t="s">
        <v>61</v>
      </c>
      <c r="N40" s="17" t="s">
        <v>13</v>
      </c>
      <c r="O40" s="19">
        <v>44499</v>
      </c>
      <c r="P40" s="17" t="s">
        <v>14</v>
      </c>
      <c r="Q40" s="17" t="s">
        <v>15</v>
      </c>
      <c r="R40" s="17"/>
      <c r="S40" s="17">
        <v>1.4336803600000001</v>
      </c>
      <c r="T40" s="18"/>
      <c r="U40" s="17" t="s">
        <v>59</v>
      </c>
      <c r="V40" s="3">
        <v>100</v>
      </c>
      <c r="W40" s="5" t="s">
        <v>73</v>
      </c>
    </row>
    <row r="41" spans="4:23">
      <c r="D41" s="6">
        <v>29</v>
      </c>
      <c r="E41" s="630" t="s">
        <v>70</v>
      </c>
      <c r="F41" s="631"/>
      <c r="G41" s="631"/>
      <c r="H41" s="632"/>
      <c r="I41" s="281">
        <v>563563922</v>
      </c>
      <c r="J41" s="282"/>
      <c r="K41" s="283"/>
      <c r="L41" s="10">
        <v>199</v>
      </c>
      <c r="M41" s="12" t="s">
        <v>12</v>
      </c>
      <c r="N41" s="12" t="s">
        <v>13</v>
      </c>
      <c r="O41" s="13">
        <v>44500</v>
      </c>
      <c r="P41" s="12" t="s">
        <v>14</v>
      </c>
      <c r="Q41" s="12" t="s">
        <v>15</v>
      </c>
      <c r="R41" s="12"/>
      <c r="S41" s="12">
        <v>1.4339033000000001</v>
      </c>
      <c r="T41" s="8" t="s">
        <v>54</v>
      </c>
      <c r="U41" s="12" t="s">
        <v>58</v>
      </c>
      <c r="V41" s="3">
        <v>100</v>
      </c>
      <c r="W41" s="5" t="s">
        <v>73</v>
      </c>
    </row>
    <row r="42" spans="4:23">
      <c r="E42" s="620"/>
      <c r="F42" s="620"/>
      <c r="G42" s="620"/>
      <c r="H42" s="620"/>
      <c r="I42" s="620"/>
      <c r="J42" s="620"/>
      <c r="K42" s="620"/>
      <c r="L42" s="5"/>
      <c r="M42" s="3"/>
      <c r="N42" s="3"/>
      <c r="O42" s="20"/>
      <c r="P42" s="3"/>
      <c r="Q42" s="3"/>
      <c r="R42" s="3"/>
      <c r="S42" s="3"/>
    </row>
    <row r="43" spans="4:23">
      <c r="E43" s="624"/>
      <c r="F43" s="624"/>
      <c r="G43" s="624"/>
      <c r="H43" s="624"/>
    </row>
    <row r="44" spans="4:23" ht="18.5">
      <c r="E44" s="624"/>
      <c r="F44" s="624"/>
      <c r="G44" s="624"/>
      <c r="H44" s="624"/>
      <c r="Q44" s="4"/>
      <c r="R44" s="22"/>
      <c r="U44" s="21"/>
      <c r="V44" s="4"/>
    </row>
    <row r="45" spans="4:23" ht="18.5">
      <c r="E45" s="624"/>
      <c r="F45" s="624"/>
      <c r="G45" s="624"/>
      <c r="H45" s="624"/>
      <c r="U45" s="21"/>
      <c r="V45" s="4"/>
    </row>
    <row r="46" spans="4:23" ht="18.5">
      <c r="E46" s="624"/>
      <c r="F46" s="624"/>
      <c r="G46" s="624"/>
      <c r="H46" s="624"/>
      <c r="U46" s="21"/>
      <c r="V46" s="4"/>
    </row>
    <row r="47" spans="4:23">
      <c r="E47" s="624"/>
      <c r="F47" s="624"/>
      <c r="G47" s="624"/>
      <c r="H47" s="624"/>
    </row>
  </sheetData>
  <autoFilter ref="T9:U41" xr:uid="{00000000-0009-0000-0000-000000000000}"/>
  <mergeCells count="45">
    <mergeCell ref="E43:H43"/>
    <mergeCell ref="E44:H44"/>
    <mergeCell ref="E45:H45"/>
    <mergeCell ref="E46:H46"/>
    <mergeCell ref="E47:H47"/>
    <mergeCell ref="E29:H29"/>
    <mergeCell ref="E30:H30"/>
    <mergeCell ref="E42:H42"/>
    <mergeCell ref="E31:H31"/>
    <mergeCell ref="E32:H32"/>
    <mergeCell ref="E33:H33"/>
    <mergeCell ref="E34:H34"/>
    <mergeCell ref="E35:H35"/>
    <mergeCell ref="E36:H36"/>
    <mergeCell ref="E37:H37"/>
    <mergeCell ref="E38:H38"/>
    <mergeCell ref="E39:H39"/>
    <mergeCell ref="E40:H40"/>
    <mergeCell ref="E41:H41"/>
    <mergeCell ref="E24:H24"/>
    <mergeCell ref="E25:H25"/>
    <mergeCell ref="E26:H26"/>
    <mergeCell ref="E27:H27"/>
    <mergeCell ref="E28:H28"/>
    <mergeCell ref="E19:H19"/>
    <mergeCell ref="E20:H20"/>
    <mergeCell ref="E21:H21"/>
    <mergeCell ref="E22:H22"/>
    <mergeCell ref="E23:H23"/>
    <mergeCell ref="I42:K42"/>
    <mergeCell ref="E9:H9"/>
    <mergeCell ref="E4:X6"/>
    <mergeCell ref="E7:H7"/>
    <mergeCell ref="I7:K7"/>
    <mergeCell ref="E8:H8"/>
    <mergeCell ref="I8:K8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</mergeCells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Y57"/>
  <sheetViews>
    <sheetView topLeftCell="C1" zoomScale="70" zoomScaleNormal="70" workbookViewId="0">
      <selection activeCell="H8" sqref="H8:H52"/>
    </sheetView>
  </sheetViews>
  <sheetFormatPr defaultRowHeight="14.5"/>
  <cols>
    <col min="8" max="8" width="10.81640625" bestFit="1" customWidth="1"/>
    <col min="11" max="11" width="15.54296875" bestFit="1" customWidth="1"/>
    <col min="12" max="12" width="13" bestFit="1" customWidth="1"/>
    <col min="13" max="13" width="11.54296875" bestFit="1" customWidth="1"/>
    <col min="14" max="14" width="23.81640625" customWidth="1"/>
    <col min="15" max="15" width="14.81640625" bestFit="1" customWidth="1"/>
    <col min="16" max="16" width="17.54296875" bestFit="1" customWidth="1"/>
    <col min="17" max="17" width="15.54296875" bestFit="1" customWidth="1"/>
    <col min="18" max="18" width="28.54296875" bestFit="1" customWidth="1"/>
    <col min="19" max="19" width="24.54296875" bestFit="1" customWidth="1"/>
    <col min="20" max="20" width="21.54296875" bestFit="1" customWidth="1"/>
    <col min="21" max="21" width="21.54296875" customWidth="1"/>
    <col min="22" max="22" width="20.1796875" bestFit="1" customWidth="1"/>
    <col min="23" max="23" width="33.54296875" bestFit="1" customWidth="1"/>
    <col min="24" max="24" width="13" bestFit="1" customWidth="1"/>
  </cols>
  <sheetData>
    <row r="3" spans="3:25">
      <c r="C3" s="1"/>
      <c r="D3" s="622" t="s">
        <v>40</v>
      </c>
      <c r="E3" s="622"/>
      <c r="F3" s="622"/>
      <c r="G3" s="622"/>
      <c r="H3" s="622"/>
      <c r="I3" s="622"/>
      <c r="J3" s="622"/>
      <c r="K3" s="622"/>
      <c r="L3" s="622"/>
      <c r="M3" s="622"/>
      <c r="N3" s="622"/>
      <c r="O3" s="622"/>
      <c r="P3" s="622"/>
      <c r="Q3" s="622"/>
      <c r="R3" s="622"/>
      <c r="S3" s="622"/>
      <c r="T3" s="622"/>
      <c r="U3" s="622"/>
      <c r="V3" s="622"/>
      <c r="W3" s="622"/>
      <c r="X3" s="622"/>
      <c r="Y3" s="622"/>
    </row>
    <row r="4" spans="3:25">
      <c r="C4" s="1"/>
      <c r="D4" s="622"/>
      <c r="E4" s="622"/>
      <c r="F4" s="622"/>
      <c r="G4" s="622"/>
      <c r="H4" s="622"/>
      <c r="I4" s="622"/>
      <c r="J4" s="622"/>
      <c r="K4" s="622"/>
      <c r="L4" s="622"/>
      <c r="M4" s="622"/>
      <c r="N4" s="622"/>
      <c r="O4" s="622"/>
      <c r="P4" s="622"/>
      <c r="Q4" s="622"/>
      <c r="R4" s="622"/>
      <c r="S4" s="622"/>
      <c r="T4" s="622"/>
      <c r="U4" s="622"/>
      <c r="V4" s="622"/>
      <c r="W4" s="622"/>
      <c r="X4" s="622"/>
      <c r="Y4" s="622"/>
    </row>
    <row r="5" spans="3:25">
      <c r="C5" s="1"/>
      <c r="D5" s="622"/>
      <c r="E5" s="622"/>
      <c r="F5" s="622"/>
      <c r="G5" s="622"/>
      <c r="H5" s="622"/>
      <c r="I5" s="622"/>
      <c r="J5" s="622"/>
      <c r="K5" s="622"/>
      <c r="L5" s="622"/>
      <c r="M5" s="622"/>
      <c r="N5" s="622"/>
      <c r="O5" s="622"/>
      <c r="P5" s="622"/>
      <c r="Q5" s="622"/>
      <c r="R5" s="622"/>
      <c r="S5" s="622"/>
      <c r="T5" s="622"/>
      <c r="U5" s="622"/>
      <c r="V5" s="622"/>
      <c r="W5" s="622"/>
      <c r="X5" s="622"/>
      <c r="Y5" s="622"/>
    </row>
    <row r="6" spans="3:25" ht="18.5">
      <c r="C6" s="2" t="s">
        <v>0</v>
      </c>
      <c r="D6" s="623" t="s">
        <v>1</v>
      </c>
      <c r="E6" s="623"/>
      <c r="F6" s="623"/>
      <c r="G6" s="623"/>
      <c r="H6" s="623" t="s">
        <v>2</v>
      </c>
      <c r="I6" s="623"/>
      <c r="J6" s="623"/>
      <c r="K6" s="2" t="s">
        <v>128</v>
      </c>
      <c r="L6" s="2" t="s">
        <v>3</v>
      </c>
      <c r="M6" s="2" t="s">
        <v>4</v>
      </c>
      <c r="N6" s="2" t="s">
        <v>5</v>
      </c>
      <c r="O6" s="2" t="s">
        <v>6</v>
      </c>
      <c r="P6" s="2" t="s">
        <v>7</v>
      </c>
      <c r="Q6" s="2" t="s">
        <v>8</v>
      </c>
      <c r="R6" s="2" t="s">
        <v>9</v>
      </c>
      <c r="S6" s="2" t="s">
        <v>10</v>
      </c>
      <c r="T6" s="4" t="s">
        <v>139</v>
      </c>
      <c r="U6" s="4" t="s">
        <v>141</v>
      </c>
      <c r="V6" s="4" t="s">
        <v>56</v>
      </c>
      <c r="W6" s="4" t="s">
        <v>212</v>
      </c>
      <c r="X6" s="4" t="s">
        <v>72</v>
      </c>
      <c r="Y6" s="3"/>
    </row>
    <row r="7" spans="3:25">
      <c r="C7" s="5"/>
      <c r="D7" s="624"/>
      <c r="E7" s="624"/>
      <c r="F7" s="624"/>
      <c r="G7" s="624"/>
      <c r="H7" s="624"/>
      <c r="I7" s="624"/>
      <c r="J7" s="624"/>
      <c r="K7" s="5"/>
      <c r="L7" s="5"/>
      <c r="M7" s="5"/>
      <c r="N7" s="5"/>
      <c r="O7" s="5"/>
      <c r="P7" s="5"/>
      <c r="Q7" s="5"/>
      <c r="R7" s="5"/>
      <c r="S7" s="5"/>
      <c r="T7" s="1"/>
      <c r="U7" s="1"/>
      <c r="V7" s="23"/>
      <c r="W7" s="1"/>
      <c r="X7" s="1"/>
      <c r="Y7" s="1"/>
    </row>
    <row r="8" spans="3:25">
      <c r="C8" s="6">
        <v>1</v>
      </c>
      <c r="D8" s="620" t="s">
        <v>74</v>
      </c>
      <c r="E8" s="620"/>
      <c r="F8" s="620"/>
      <c r="G8" s="620"/>
      <c r="H8" s="1">
        <v>503255264</v>
      </c>
      <c r="I8" s="1"/>
      <c r="J8" s="1"/>
      <c r="K8" s="3" t="s">
        <v>100</v>
      </c>
      <c r="L8" s="5">
        <v>199</v>
      </c>
      <c r="M8" s="3" t="s">
        <v>12</v>
      </c>
      <c r="N8" s="3" t="s">
        <v>13</v>
      </c>
      <c r="O8" s="20">
        <v>44502</v>
      </c>
      <c r="P8" s="3" t="s">
        <v>14</v>
      </c>
      <c r="Q8" s="3" t="s">
        <v>15</v>
      </c>
      <c r="R8" s="3">
        <v>1.4343387400000001</v>
      </c>
      <c r="S8" s="3" t="s">
        <v>57</v>
      </c>
      <c r="T8" s="3"/>
      <c r="U8" s="3">
        <v>100</v>
      </c>
      <c r="V8" s="24" t="s">
        <v>126</v>
      </c>
      <c r="W8" s="3"/>
      <c r="X8" s="3" t="s">
        <v>145</v>
      </c>
      <c r="Y8" s="3"/>
    </row>
    <row r="9" spans="3:25">
      <c r="C9" s="5">
        <v>2</v>
      </c>
      <c r="D9" s="620" t="s">
        <v>75</v>
      </c>
      <c r="E9" s="620"/>
      <c r="F9" s="620"/>
      <c r="G9" s="620"/>
      <c r="H9" s="1">
        <v>528388625</v>
      </c>
      <c r="I9" s="1"/>
      <c r="J9" s="1"/>
      <c r="K9" s="3" t="s">
        <v>100</v>
      </c>
      <c r="L9" s="5">
        <v>199</v>
      </c>
      <c r="M9" s="3" t="s">
        <v>12</v>
      </c>
      <c r="N9" s="3" t="s">
        <v>13</v>
      </c>
      <c r="O9" s="20">
        <v>44503</v>
      </c>
      <c r="P9" s="3" t="s">
        <v>14</v>
      </c>
      <c r="Q9" s="3" t="s">
        <v>15</v>
      </c>
      <c r="R9" s="3">
        <v>1.43430361</v>
      </c>
      <c r="S9" s="3" t="s">
        <v>57</v>
      </c>
      <c r="T9" s="3"/>
      <c r="U9" s="3">
        <v>100</v>
      </c>
      <c r="V9" s="29" t="s">
        <v>126</v>
      </c>
      <c r="W9" s="3"/>
      <c r="X9" s="3" t="s">
        <v>145</v>
      </c>
      <c r="Y9" s="3"/>
    </row>
    <row r="10" spans="3:25">
      <c r="C10" s="5">
        <v>3</v>
      </c>
      <c r="D10" s="620" t="s">
        <v>76</v>
      </c>
      <c r="E10" s="620"/>
      <c r="F10" s="620"/>
      <c r="G10" s="620"/>
      <c r="H10" s="1">
        <v>5062565065</v>
      </c>
      <c r="I10" s="1"/>
      <c r="J10" s="1"/>
      <c r="K10" s="3" t="s">
        <v>100</v>
      </c>
      <c r="L10" s="5">
        <v>199</v>
      </c>
      <c r="M10" s="3" t="s">
        <v>12</v>
      </c>
      <c r="N10" s="3" t="s">
        <v>13</v>
      </c>
      <c r="O10" s="20">
        <v>44504</v>
      </c>
      <c r="P10" s="3" t="s">
        <v>14</v>
      </c>
      <c r="Q10" s="3" t="s">
        <v>15</v>
      </c>
      <c r="R10" s="3">
        <v>1.4345410199999999</v>
      </c>
      <c r="S10" s="3" t="s">
        <v>58</v>
      </c>
      <c r="T10" s="3"/>
      <c r="U10" s="3">
        <v>100</v>
      </c>
      <c r="V10" s="29" t="s">
        <v>126</v>
      </c>
      <c r="W10" s="3"/>
      <c r="X10" s="3" t="s">
        <v>145</v>
      </c>
      <c r="Y10" s="3"/>
    </row>
    <row r="11" spans="3:25">
      <c r="C11" s="25">
        <v>4</v>
      </c>
      <c r="D11" s="633" t="s">
        <v>77</v>
      </c>
      <c r="E11" s="633"/>
      <c r="F11" s="633"/>
      <c r="G11" s="633"/>
      <c r="H11" s="36">
        <v>529002068</v>
      </c>
      <c r="I11" s="36"/>
      <c r="J11" s="36"/>
      <c r="K11" s="35" t="s">
        <v>100</v>
      </c>
      <c r="L11" s="25">
        <v>199</v>
      </c>
      <c r="M11" s="35" t="s">
        <v>20</v>
      </c>
      <c r="N11" s="35" t="s">
        <v>13</v>
      </c>
      <c r="O11" s="26">
        <v>44508</v>
      </c>
      <c r="P11" s="35" t="s">
        <v>14</v>
      </c>
      <c r="Q11" s="35" t="s">
        <v>15</v>
      </c>
      <c r="R11" s="35">
        <v>1.4354365499999999</v>
      </c>
      <c r="S11" s="35" t="s">
        <v>58</v>
      </c>
      <c r="T11" s="35"/>
      <c r="U11" s="35"/>
      <c r="V11" s="27" t="s">
        <v>126</v>
      </c>
      <c r="W11" s="35" t="s">
        <v>213</v>
      </c>
      <c r="X11" s="35" t="s">
        <v>214</v>
      </c>
      <c r="Y11" s="3"/>
    </row>
    <row r="12" spans="3:25">
      <c r="C12" s="5">
        <v>5</v>
      </c>
      <c r="D12" s="620" t="s">
        <v>78</v>
      </c>
      <c r="E12" s="620"/>
      <c r="F12" s="620"/>
      <c r="G12" s="620"/>
      <c r="H12" s="1">
        <v>566653374</v>
      </c>
      <c r="I12" s="1"/>
      <c r="J12" s="1"/>
      <c r="K12" s="3" t="s">
        <v>100</v>
      </c>
      <c r="L12" s="5">
        <v>199</v>
      </c>
      <c r="M12" s="3" t="s">
        <v>12</v>
      </c>
      <c r="N12" s="3" t="s">
        <v>13</v>
      </c>
      <c r="O12" s="20">
        <v>44504</v>
      </c>
      <c r="P12" s="3" t="s">
        <v>14</v>
      </c>
      <c r="Q12" s="3" t="s">
        <v>15</v>
      </c>
      <c r="R12" s="3">
        <v>1.43474434</v>
      </c>
      <c r="S12" s="3" t="s">
        <v>88</v>
      </c>
      <c r="T12" s="3"/>
      <c r="U12" s="3">
        <v>100</v>
      </c>
      <c r="V12" s="29" t="s">
        <v>126</v>
      </c>
      <c r="W12" s="3"/>
      <c r="X12" s="3" t="s">
        <v>145</v>
      </c>
      <c r="Y12" s="3"/>
    </row>
    <row r="13" spans="3:25">
      <c r="C13" s="5">
        <v>6</v>
      </c>
      <c r="D13" s="620" t="s">
        <v>95</v>
      </c>
      <c r="E13" s="620"/>
      <c r="F13" s="620"/>
      <c r="G13" s="620"/>
      <c r="H13" s="1">
        <v>567952755</v>
      </c>
      <c r="I13" s="1"/>
      <c r="J13" s="1"/>
      <c r="K13" s="3" t="s">
        <v>100</v>
      </c>
      <c r="L13" s="5">
        <v>199</v>
      </c>
      <c r="M13" s="3" t="s">
        <v>12</v>
      </c>
      <c r="N13" s="3" t="s">
        <v>13</v>
      </c>
      <c r="O13" s="20">
        <v>44504</v>
      </c>
      <c r="P13" s="3" t="s">
        <v>14</v>
      </c>
      <c r="Q13" s="3" t="s">
        <v>15</v>
      </c>
      <c r="R13" s="3">
        <v>1.4365459700000001</v>
      </c>
      <c r="S13" s="3" t="s">
        <v>57</v>
      </c>
      <c r="T13" s="3"/>
      <c r="U13" s="3">
        <v>100</v>
      </c>
      <c r="V13" s="29" t="s">
        <v>126</v>
      </c>
      <c r="W13" s="3"/>
      <c r="X13" s="3" t="s">
        <v>145</v>
      </c>
      <c r="Y13" s="3"/>
    </row>
    <row r="14" spans="3:25">
      <c r="C14" s="5">
        <v>7</v>
      </c>
      <c r="D14" s="620" t="s">
        <v>96</v>
      </c>
      <c r="E14" s="620"/>
      <c r="F14" s="620"/>
      <c r="G14" s="620"/>
      <c r="H14" s="1">
        <v>545236550</v>
      </c>
      <c r="I14" s="1"/>
      <c r="J14" s="1"/>
      <c r="K14" s="3" t="s">
        <v>100</v>
      </c>
      <c r="L14" s="5">
        <v>199</v>
      </c>
      <c r="M14" s="3" t="s">
        <v>12</v>
      </c>
      <c r="N14" s="3" t="s">
        <v>13</v>
      </c>
      <c r="O14" s="20">
        <v>44504</v>
      </c>
      <c r="P14" s="3" t="s">
        <v>14</v>
      </c>
      <c r="Q14" s="3" t="s">
        <v>15</v>
      </c>
      <c r="R14" s="3">
        <v>1.3970737799999999</v>
      </c>
      <c r="S14" s="3" t="s">
        <v>80</v>
      </c>
      <c r="T14" s="3"/>
      <c r="U14" s="3">
        <v>100</v>
      </c>
      <c r="V14" s="29" t="s">
        <v>126</v>
      </c>
      <c r="W14" s="3"/>
      <c r="X14" s="3" t="s">
        <v>145</v>
      </c>
      <c r="Y14" s="3"/>
    </row>
    <row r="15" spans="3:25">
      <c r="C15" s="5">
        <v>8</v>
      </c>
      <c r="D15" s="620" t="s">
        <v>79</v>
      </c>
      <c r="E15" s="620"/>
      <c r="F15" s="620"/>
      <c r="G15" s="620"/>
      <c r="H15" s="1">
        <v>544044006</v>
      </c>
      <c r="I15" s="1"/>
      <c r="J15" s="1"/>
      <c r="K15" s="3" t="s">
        <v>100</v>
      </c>
      <c r="L15" s="5">
        <v>199</v>
      </c>
      <c r="M15" s="3" t="s">
        <v>12</v>
      </c>
      <c r="N15" s="3" t="s">
        <v>13</v>
      </c>
      <c r="O15" s="20">
        <v>44510</v>
      </c>
      <c r="P15" s="3" t="s">
        <v>14</v>
      </c>
      <c r="Q15" s="3" t="s">
        <v>15</v>
      </c>
      <c r="R15" s="3">
        <v>1.23415707</v>
      </c>
      <c r="S15" s="3" t="s">
        <v>57</v>
      </c>
      <c r="T15" s="3"/>
      <c r="U15" s="3">
        <v>100</v>
      </c>
      <c r="V15" s="29" t="s">
        <v>126</v>
      </c>
      <c r="W15" s="3"/>
      <c r="X15" s="3" t="s">
        <v>145</v>
      </c>
      <c r="Y15" s="3"/>
    </row>
    <row r="16" spans="3:25">
      <c r="C16" s="5">
        <v>9</v>
      </c>
      <c r="D16" s="620" t="s">
        <v>81</v>
      </c>
      <c r="E16" s="620"/>
      <c r="F16" s="620"/>
      <c r="G16" s="620"/>
      <c r="H16" s="1">
        <v>525118837</v>
      </c>
      <c r="I16" s="1"/>
      <c r="J16" s="1"/>
      <c r="K16" s="3" t="s">
        <v>100</v>
      </c>
      <c r="L16" s="5">
        <v>199</v>
      </c>
      <c r="M16" s="3" t="s">
        <v>12</v>
      </c>
      <c r="N16" s="3" t="s">
        <v>13</v>
      </c>
      <c r="O16" s="20">
        <v>44511</v>
      </c>
      <c r="P16" s="3" t="s">
        <v>14</v>
      </c>
      <c r="Q16" s="3" t="s">
        <v>15</v>
      </c>
      <c r="R16" s="3" t="s">
        <v>82</v>
      </c>
      <c r="S16" s="3" t="s">
        <v>83</v>
      </c>
      <c r="T16" s="3"/>
      <c r="U16" s="3">
        <v>100</v>
      </c>
      <c r="V16" s="29" t="s">
        <v>126</v>
      </c>
      <c r="W16" s="3"/>
      <c r="X16" s="3" t="s">
        <v>145</v>
      </c>
      <c r="Y16" s="3"/>
    </row>
    <row r="17" spans="3:25">
      <c r="C17" s="5">
        <v>10</v>
      </c>
      <c r="D17" s="620" t="s">
        <v>84</v>
      </c>
      <c r="E17" s="620"/>
      <c r="F17" s="620"/>
      <c r="G17" s="620"/>
      <c r="H17" s="1">
        <v>582270544</v>
      </c>
      <c r="I17" s="1"/>
      <c r="J17" s="1"/>
      <c r="K17" s="3" t="s">
        <v>100</v>
      </c>
      <c r="L17" s="5">
        <v>199</v>
      </c>
      <c r="M17" s="3" t="s">
        <v>12</v>
      </c>
      <c r="N17" s="3" t="s">
        <v>13</v>
      </c>
      <c r="O17" s="20">
        <v>44509</v>
      </c>
      <c r="P17" s="3" t="s">
        <v>14</v>
      </c>
      <c r="Q17" s="3" t="s">
        <v>22</v>
      </c>
      <c r="R17" s="3" t="s">
        <v>129</v>
      </c>
      <c r="S17" s="3" t="s">
        <v>85</v>
      </c>
      <c r="T17" s="3"/>
      <c r="U17" s="3">
        <v>100</v>
      </c>
      <c r="V17" s="29" t="s">
        <v>126</v>
      </c>
      <c r="W17" s="3"/>
      <c r="X17" s="3" t="s">
        <v>145</v>
      </c>
      <c r="Y17" s="3"/>
    </row>
    <row r="18" spans="3:25">
      <c r="C18" s="5">
        <v>11</v>
      </c>
      <c r="D18" s="620" t="s">
        <v>86</v>
      </c>
      <c r="E18" s="620"/>
      <c r="F18" s="620"/>
      <c r="G18" s="620"/>
      <c r="H18" s="1">
        <v>507771378</v>
      </c>
      <c r="I18" s="1"/>
      <c r="J18" s="1"/>
      <c r="K18" s="3" t="s">
        <v>100</v>
      </c>
      <c r="L18" s="5">
        <v>199</v>
      </c>
      <c r="M18" s="3" t="s">
        <v>12</v>
      </c>
      <c r="N18" s="3" t="s">
        <v>13</v>
      </c>
      <c r="O18" s="20">
        <v>44510</v>
      </c>
      <c r="P18" s="3" t="s">
        <v>14</v>
      </c>
      <c r="Q18" s="3" t="s">
        <v>22</v>
      </c>
      <c r="R18" s="3" t="s">
        <v>130</v>
      </c>
      <c r="S18" s="3" t="s">
        <v>83</v>
      </c>
      <c r="T18" s="3"/>
      <c r="U18" s="3">
        <v>100</v>
      </c>
      <c r="V18" s="29" t="s">
        <v>126</v>
      </c>
      <c r="W18" s="3"/>
      <c r="X18" s="3" t="s">
        <v>145</v>
      </c>
      <c r="Y18" s="3"/>
    </row>
    <row r="19" spans="3:25">
      <c r="C19" s="5">
        <v>12</v>
      </c>
      <c r="D19" s="620" t="s">
        <v>87</v>
      </c>
      <c r="E19" s="620"/>
      <c r="F19" s="620"/>
      <c r="G19" s="620"/>
      <c r="H19" s="1">
        <v>569816150</v>
      </c>
      <c r="I19" s="1"/>
      <c r="J19" s="1"/>
      <c r="K19" s="3" t="s">
        <v>100</v>
      </c>
      <c r="L19" s="5">
        <v>199</v>
      </c>
      <c r="M19" s="3" t="s">
        <v>12</v>
      </c>
      <c r="N19" s="3" t="s">
        <v>13</v>
      </c>
      <c r="O19" s="20">
        <v>44513</v>
      </c>
      <c r="P19" s="3" t="s">
        <v>14</v>
      </c>
      <c r="Q19" s="3" t="s">
        <v>15</v>
      </c>
      <c r="R19" s="3">
        <v>1.29989427</v>
      </c>
      <c r="S19" s="3" t="s">
        <v>88</v>
      </c>
      <c r="T19" s="3"/>
      <c r="U19" s="3">
        <v>100</v>
      </c>
      <c r="V19" s="29" t="s">
        <v>126</v>
      </c>
      <c r="W19" s="3"/>
      <c r="X19" s="3" t="s">
        <v>145</v>
      </c>
      <c r="Y19" s="3"/>
    </row>
    <row r="20" spans="3:25">
      <c r="C20" s="5">
        <v>13</v>
      </c>
      <c r="D20" s="620" t="s">
        <v>89</v>
      </c>
      <c r="E20" s="620"/>
      <c r="F20" s="620"/>
      <c r="G20" s="620"/>
      <c r="H20" s="1">
        <v>564410758</v>
      </c>
      <c r="I20" s="1"/>
      <c r="J20" s="1"/>
      <c r="K20" s="3" t="s">
        <v>100</v>
      </c>
      <c r="L20" s="5">
        <v>199</v>
      </c>
      <c r="M20" s="3" t="s">
        <v>12</v>
      </c>
      <c r="N20" s="3" t="s">
        <v>13</v>
      </c>
      <c r="O20" s="20">
        <v>44514</v>
      </c>
      <c r="P20" s="3" t="s">
        <v>14</v>
      </c>
      <c r="Q20" s="3" t="s">
        <v>15</v>
      </c>
      <c r="R20" s="3" t="s">
        <v>90</v>
      </c>
      <c r="S20" s="3" t="s">
        <v>83</v>
      </c>
      <c r="T20" s="3"/>
      <c r="U20" s="3">
        <v>100</v>
      </c>
      <c r="V20" s="29" t="s">
        <v>126</v>
      </c>
      <c r="W20" s="3"/>
      <c r="X20" s="3" t="s">
        <v>145</v>
      </c>
      <c r="Y20" s="3"/>
    </row>
    <row r="21" spans="3:25">
      <c r="C21" s="5">
        <v>14</v>
      </c>
      <c r="D21" s="620" t="s">
        <v>91</v>
      </c>
      <c r="E21" s="620"/>
      <c r="F21" s="620"/>
      <c r="G21" s="620"/>
      <c r="H21" s="1">
        <v>543010258</v>
      </c>
      <c r="I21" s="1"/>
      <c r="J21" s="1"/>
      <c r="K21" s="3" t="s">
        <v>100</v>
      </c>
      <c r="L21" s="5">
        <v>199</v>
      </c>
      <c r="M21" s="3" t="s">
        <v>12</v>
      </c>
      <c r="N21" s="3" t="s">
        <v>13</v>
      </c>
      <c r="O21" s="20">
        <v>44514</v>
      </c>
      <c r="P21" s="3" t="s">
        <v>14</v>
      </c>
      <c r="Q21" s="3" t="s">
        <v>15</v>
      </c>
      <c r="R21" s="3">
        <v>1.4369578300000001</v>
      </c>
      <c r="S21" s="3" t="s">
        <v>58</v>
      </c>
      <c r="T21" s="3"/>
      <c r="U21" s="3">
        <v>100</v>
      </c>
      <c r="V21" s="29" t="s">
        <v>126</v>
      </c>
      <c r="W21" s="3"/>
      <c r="X21" s="3" t="s">
        <v>145</v>
      </c>
      <c r="Y21" s="3"/>
    </row>
    <row r="22" spans="3:25">
      <c r="C22" s="5">
        <v>15</v>
      </c>
      <c r="D22" s="620" t="s">
        <v>92</v>
      </c>
      <c r="E22" s="620"/>
      <c r="F22" s="620"/>
      <c r="G22" s="620"/>
      <c r="H22" s="1">
        <v>527451478</v>
      </c>
      <c r="I22" s="1"/>
      <c r="J22" s="1"/>
      <c r="K22" s="3" t="s">
        <v>100</v>
      </c>
      <c r="L22" s="5">
        <v>199</v>
      </c>
      <c r="M22" s="3" t="s">
        <v>12</v>
      </c>
      <c r="N22" s="3" t="s">
        <v>13</v>
      </c>
      <c r="O22" s="20">
        <v>44514</v>
      </c>
      <c r="P22" s="3" t="s">
        <v>14</v>
      </c>
      <c r="Q22" s="3" t="s">
        <v>15</v>
      </c>
      <c r="R22" s="3">
        <v>1.4369612899999999</v>
      </c>
      <c r="S22" s="3" t="s">
        <v>85</v>
      </c>
      <c r="T22" s="3"/>
      <c r="U22" s="3">
        <v>100</v>
      </c>
      <c r="V22" s="29" t="s">
        <v>126</v>
      </c>
      <c r="W22" s="3"/>
      <c r="X22" s="3" t="s">
        <v>145</v>
      </c>
      <c r="Y22" s="3"/>
    </row>
    <row r="23" spans="3:25">
      <c r="C23" s="5">
        <v>16</v>
      </c>
      <c r="D23" s="620" t="s">
        <v>93</v>
      </c>
      <c r="E23" s="620"/>
      <c r="F23" s="620"/>
      <c r="G23" s="620"/>
      <c r="H23" s="1">
        <v>564325939</v>
      </c>
      <c r="I23" s="1"/>
      <c r="J23" s="1"/>
      <c r="K23" s="3" t="s">
        <v>100</v>
      </c>
      <c r="L23" s="5">
        <v>199</v>
      </c>
      <c r="M23" s="3" t="s">
        <v>12</v>
      </c>
      <c r="N23" s="3" t="s">
        <v>13</v>
      </c>
      <c r="O23" s="20">
        <v>44514</v>
      </c>
      <c r="P23" s="3" t="s">
        <v>14</v>
      </c>
      <c r="Q23" s="3" t="s">
        <v>15</v>
      </c>
      <c r="R23" s="3">
        <v>1.4100772420000001</v>
      </c>
      <c r="S23" s="3" t="s">
        <v>80</v>
      </c>
      <c r="T23" s="3"/>
      <c r="U23" s="3">
        <v>100</v>
      </c>
      <c r="V23" s="29" t="s">
        <v>126</v>
      </c>
      <c r="W23" s="3"/>
      <c r="X23" s="3" t="s">
        <v>145</v>
      </c>
      <c r="Y23" s="1"/>
    </row>
    <row r="24" spans="3:25">
      <c r="C24" s="5">
        <v>17</v>
      </c>
      <c r="D24" s="620" t="s">
        <v>94</v>
      </c>
      <c r="E24" s="620"/>
      <c r="F24" s="620"/>
      <c r="G24" s="620"/>
      <c r="H24" s="1">
        <v>502540246</v>
      </c>
      <c r="I24" s="1"/>
      <c r="J24" s="1"/>
      <c r="K24" s="3" t="s">
        <v>100</v>
      </c>
      <c r="L24" s="5">
        <v>199</v>
      </c>
      <c r="M24" s="3" t="s">
        <v>12</v>
      </c>
      <c r="N24" s="3" t="s">
        <v>13</v>
      </c>
      <c r="O24" s="20">
        <v>44514</v>
      </c>
      <c r="P24" s="3" t="s">
        <v>14</v>
      </c>
      <c r="Q24" s="3" t="s">
        <v>15</v>
      </c>
      <c r="R24" s="3">
        <v>1.43699767</v>
      </c>
      <c r="S24" s="3" t="s">
        <v>88</v>
      </c>
      <c r="T24" s="3"/>
      <c r="U24" s="3">
        <v>100</v>
      </c>
      <c r="V24" s="29" t="s">
        <v>126</v>
      </c>
      <c r="W24" s="3"/>
      <c r="X24" s="3" t="s">
        <v>145</v>
      </c>
      <c r="Y24" s="1"/>
    </row>
    <row r="25" spans="3:25">
      <c r="C25" s="5">
        <v>18</v>
      </c>
      <c r="D25" s="620" t="s">
        <v>97</v>
      </c>
      <c r="E25" s="620"/>
      <c r="F25" s="620"/>
      <c r="G25" s="620"/>
      <c r="H25" s="1">
        <v>567914096</v>
      </c>
      <c r="I25" s="1"/>
      <c r="J25" s="1"/>
      <c r="K25" s="3" t="s">
        <v>98</v>
      </c>
      <c r="L25" s="5">
        <v>399</v>
      </c>
      <c r="M25" s="3" t="s">
        <v>20</v>
      </c>
      <c r="N25" s="3" t="s">
        <v>13</v>
      </c>
      <c r="O25" s="20">
        <v>44515</v>
      </c>
      <c r="P25" s="3" t="s">
        <v>14</v>
      </c>
      <c r="Q25" s="3" t="s">
        <v>15</v>
      </c>
      <c r="R25" s="28">
        <v>65316068</v>
      </c>
      <c r="S25" s="5" t="s">
        <v>83</v>
      </c>
      <c r="T25" s="3"/>
      <c r="U25" s="3">
        <v>100</v>
      </c>
      <c r="V25" s="29" t="s">
        <v>126</v>
      </c>
      <c r="W25" s="3"/>
      <c r="X25" s="3" t="s">
        <v>145</v>
      </c>
      <c r="Y25" s="1"/>
    </row>
    <row r="26" spans="3:25">
      <c r="C26" s="5">
        <v>19</v>
      </c>
      <c r="D26" s="620" t="s">
        <v>99</v>
      </c>
      <c r="E26" s="620"/>
      <c r="F26" s="620"/>
      <c r="G26" s="620"/>
      <c r="H26" s="1">
        <v>566194617</v>
      </c>
      <c r="I26" s="1"/>
      <c r="J26" s="1"/>
      <c r="K26" s="3" t="s">
        <v>100</v>
      </c>
      <c r="L26" s="5">
        <v>199</v>
      </c>
      <c r="M26" s="3" t="s">
        <v>12</v>
      </c>
      <c r="N26" s="3" t="s">
        <v>13</v>
      </c>
      <c r="O26" s="20">
        <v>44517</v>
      </c>
      <c r="P26" s="3" t="s">
        <v>14</v>
      </c>
      <c r="Q26" s="3" t="s">
        <v>15</v>
      </c>
      <c r="R26" s="3">
        <v>1.43758169</v>
      </c>
      <c r="S26" s="5" t="s">
        <v>58</v>
      </c>
      <c r="T26" s="3"/>
      <c r="U26" s="3">
        <v>100</v>
      </c>
      <c r="V26" s="29" t="s">
        <v>126</v>
      </c>
      <c r="W26" s="3"/>
      <c r="X26" s="3" t="s">
        <v>145</v>
      </c>
      <c r="Y26" s="1"/>
    </row>
    <row r="27" spans="3:25">
      <c r="C27" s="5">
        <v>20</v>
      </c>
      <c r="D27" s="620" t="s">
        <v>101</v>
      </c>
      <c r="E27" s="620"/>
      <c r="F27" s="620"/>
      <c r="G27" s="620"/>
      <c r="H27" s="1">
        <v>555108555</v>
      </c>
      <c r="I27" s="1"/>
      <c r="J27" s="1"/>
      <c r="K27" s="3" t="s">
        <v>100</v>
      </c>
      <c r="L27" s="5">
        <v>199</v>
      </c>
      <c r="M27" s="3" t="s">
        <v>102</v>
      </c>
      <c r="N27" s="3" t="s">
        <v>13</v>
      </c>
      <c r="O27" s="20">
        <v>44519</v>
      </c>
      <c r="P27" s="3" t="s">
        <v>14</v>
      </c>
      <c r="Q27" s="3" t="s">
        <v>15</v>
      </c>
      <c r="R27" s="3">
        <v>1.43766302</v>
      </c>
      <c r="S27" s="5" t="s">
        <v>83</v>
      </c>
      <c r="T27" s="3"/>
      <c r="U27" s="3">
        <v>100</v>
      </c>
      <c r="V27" s="29" t="s">
        <v>126</v>
      </c>
      <c r="W27" s="3"/>
      <c r="X27" s="3" t="s">
        <v>145</v>
      </c>
      <c r="Y27" s="1"/>
    </row>
    <row r="28" spans="3:25">
      <c r="C28" s="5">
        <v>21</v>
      </c>
      <c r="D28" s="620" t="s">
        <v>103</v>
      </c>
      <c r="E28" s="620"/>
      <c r="F28" s="620"/>
      <c r="G28" s="620"/>
      <c r="H28" s="1">
        <v>551538416</v>
      </c>
      <c r="I28" s="1"/>
      <c r="J28" s="1"/>
      <c r="K28" s="3" t="s">
        <v>100</v>
      </c>
      <c r="L28" s="5">
        <v>199</v>
      </c>
      <c r="M28" s="3" t="s">
        <v>12</v>
      </c>
      <c r="N28" s="3" t="s">
        <v>13</v>
      </c>
      <c r="O28" s="20">
        <v>44519</v>
      </c>
      <c r="P28" s="3" t="s">
        <v>14</v>
      </c>
      <c r="Q28" s="3" t="s">
        <v>15</v>
      </c>
      <c r="R28" s="3">
        <v>1.2855420099999999</v>
      </c>
      <c r="S28" s="5" t="s">
        <v>131</v>
      </c>
      <c r="T28" s="3"/>
      <c r="U28" s="3">
        <v>100</v>
      </c>
      <c r="V28" s="29" t="s">
        <v>126</v>
      </c>
      <c r="W28" s="3"/>
      <c r="X28" s="3" t="s">
        <v>145</v>
      </c>
      <c r="Y28" s="1"/>
    </row>
    <row r="29" spans="3:25">
      <c r="C29" s="5">
        <v>22</v>
      </c>
      <c r="D29" s="620" t="s">
        <v>104</v>
      </c>
      <c r="E29" s="620"/>
      <c r="F29" s="620"/>
      <c r="G29" s="620"/>
      <c r="H29" s="1">
        <v>564730751</v>
      </c>
      <c r="I29" s="1"/>
      <c r="J29" s="1"/>
      <c r="K29" s="3" t="s">
        <v>100</v>
      </c>
      <c r="L29" s="5">
        <v>199</v>
      </c>
      <c r="M29" s="3" t="s">
        <v>12</v>
      </c>
      <c r="N29" s="3" t="s">
        <v>13</v>
      </c>
      <c r="O29" s="20">
        <v>44519</v>
      </c>
      <c r="P29" s="3" t="s">
        <v>14</v>
      </c>
      <c r="Q29" s="3" t="s">
        <v>15</v>
      </c>
      <c r="R29" s="3">
        <v>1.4380999800000001</v>
      </c>
      <c r="S29" s="5" t="s">
        <v>80</v>
      </c>
      <c r="T29" s="3"/>
      <c r="U29" s="3">
        <v>100</v>
      </c>
      <c r="V29" s="29" t="s">
        <v>126</v>
      </c>
      <c r="W29" s="3"/>
      <c r="X29" s="3" t="s">
        <v>145</v>
      </c>
      <c r="Y29" s="1"/>
    </row>
    <row r="30" spans="3:25">
      <c r="C30" s="5">
        <v>23</v>
      </c>
      <c r="D30" s="620" t="s">
        <v>105</v>
      </c>
      <c r="E30" s="620"/>
      <c r="F30" s="620"/>
      <c r="G30" s="620"/>
      <c r="H30" s="1">
        <v>551312617</v>
      </c>
      <c r="I30" s="1"/>
      <c r="J30" s="1"/>
      <c r="K30" s="3" t="s">
        <v>100</v>
      </c>
      <c r="L30" s="5">
        <v>199</v>
      </c>
      <c r="M30" s="3" t="s">
        <v>12</v>
      </c>
      <c r="N30" s="3" t="s">
        <v>13</v>
      </c>
      <c r="O30" s="20">
        <v>44520</v>
      </c>
      <c r="P30" s="3" t="s">
        <v>14</v>
      </c>
      <c r="Q30" s="3" t="s">
        <v>15</v>
      </c>
      <c r="R30" s="3">
        <v>1.43838003</v>
      </c>
      <c r="S30" s="5" t="s">
        <v>57</v>
      </c>
      <c r="T30" s="3"/>
      <c r="U30" s="3">
        <v>100</v>
      </c>
      <c r="V30" s="29" t="s">
        <v>126</v>
      </c>
      <c r="W30" s="3"/>
      <c r="X30" s="3" t="s">
        <v>145</v>
      </c>
      <c r="Y30" s="1"/>
    </row>
    <row r="31" spans="3:25">
      <c r="C31" s="5">
        <v>24</v>
      </c>
      <c r="D31" s="620" t="s">
        <v>106</v>
      </c>
      <c r="E31" s="620"/>
      <c r="F31" s="620"/>
      <c r="G31" s="620"/>
      <c r="H31" s="1">
        <v>509250865</v>
      </c>
      <c r="I31" s="1"/>
      <c r="J31" s="1"/>
      <c r="K31" s="3" t="s">
        <v>100</v>
      </c>
      <c r="L31" s="5">
        <v>199</v>
      </c>
      <c r="M31" s="3" t="s">
        <v>12</v>
      </c>
      <c r="N31" s="3" t="s">
        <v>13</v>
      </c>
      <c r="O31" s="20" t="s">
        <v>107</v>
      </c>
      <c r="P31" s="3" t="s">
        <v>14</v>
      </c>
      <c r="Q31" s="3" t="s">
        <v>15</v>
      </c>
      <c r="R31" s="3">
        <v>1.43837554</v>
      </c>
      <c r="S31" s="5" t="s">
        <v>58</v>
      </c>
      <c r="T31" s="3"/>
      <c r="U31" s="3">
        <v>100</v>
      </c>
      <c r="V31" s="29" t="s">
        <v>126</v>
      </c>
      <c r="W31" s="3"/>
      <c r="X31" s="3" t="s">
        <v>145</v>
      </c>
      <c r="Y31" s="1"/>
    </row>
    <row r="32" spans="3:25">
      <c r="C32" s="5">
        <v>25</v>
      </c>
      <c r="D32" s="620" t="s">
        <v>108</v>
      </c>
      <c r="E32" s="620"/>
      <c r="F32" s="620"/>
      <c r="G32" s="620"/>
      <c r="H32" s="1">
        <v>547891489</v>
      </c>
      <c r="I32" s="1"/>
      <c r="J32" s="1"/>
      <c r="K32" s="3" t="s">
        <v>100</v>
      </c>
      <c r="L32" s="5">
        <v>199</v>
      </c>
      <c r="M32" s="3" t="s">
        <v>12</v>
      </c>
      <c r="N32" s="3" t="s">
        <v>13</v>
      </c>
      <c r="O32" s="20">
        <v>44521</v>
      </c>
      <c r="P32" s="3" t="s">
        <v>14</v>
      </c>
      <c r="Q32" s="3" t="s">
        <v>15</v>
      </c>
      <c r="R32" s="3">
        <v>1.4386038999999999</v>
      </c>
      <c r="S32" s="5" t="s">
        <v>85</v>
      </c>
      <c r="T32" s="3" t="s">
        <v>142</v>
      </c>
      <c r="U32" s="3">
        <v>100</v>
      </c>
      <c r="V32" s="29" t="s">
        <v>126</v>
      </c>
      <c r="W32" s="3"/>
      <c r="X32" s="3" t="s">
        <v>145</v>
      </c>
      <c r="Y32" s="1"/>
    </row>
    <row r="33" spans="3:25">
      <c r="C33" s="5">
        <v>26</v>
      </c>
      <c r="D33" s="620" t="s">
        <v>109</v>
      </c>
      <c r="E33" s="620"/>
      <c r="F33" s="620"/>
      <c r="G33" s="620"/>
      <c r="H33" s="1">
        <v>509876086</v>
      </c>
      <c r="I33" s="1"/>
      <c r="J33" s="1"/>
      <c r="K33" s="3" t="s">
        <v>100</v>
      </c>
      <c r="L33" s="5">
        <v>199</v>
      </c>
      <c r="M33" s="3" t="s">
        <v>12</v>
      </c>
      <c r="N33" s="3" t="s">
        <v>13</v>
      </c>
      <c r="O33" s="20">
        <v>44521</v>
      </c>
      <c r="P33" s="3" t="s">
        <v>14</v>
      </c>
      <c r="Q33" s="3" t="s">
        <v>15</v>
      </c>
      <c r="R33" s="28" t="s">
        <v>132</v>
      </c>
      <c r="S33" s="5" t="s">
        <v>85</v>
      </c>
      <c r="T33" s="3"/>
      <c r="U33" s="3">
        <v>100</v>
      </c>
      <c r="V33" s="23" t="s">
        <v>127</v>
      </c>
      <c r="W33" s="3"/>
      <c r="X33" s="5" t="s">
        <v>145</v>
      </c>
      <c r="Y33" s="1"/>
    </row>
    <row r="34" spans="3:25">
      <c r="C34" s="5">
        <v>27</v>
      </c>
      <c r="D34" s="620" t="s">
        <v>108</v>
      </c>
      <c r="E34" s="620"/>
      <c r="F34" s="620"/>
      <c r="G34" s="620"/>
      <c r="H34" s="1">
        <v>547891489</v>
      </c>
      <c r="I34" s="1"/>
      <c r="J34" s="1"/>
      <c r="K34" s="3" t="s">
        <v>100</v>
      </c>
      <c r="L34" s="5">
        <v>199</v>
      </c>
      <c r="M34" s="3" t="s">
        <v>12</v>
      </c>
      <c r="N34" s="3" t="s">
        <v>13</v>
      </c>
      <c r="O34" s="20">
        <v>44521</v>
      </c>
      <c r="P34" s="3" t="s">
        <v>14</v>
      </c>
      <c r="Q34" s="3" t="s">
        <v>15</v>
      </c>
      <c r="R34" s="3">
        <v>1.4386038999999999</v>
      </c>
      <c r="S34" s="5" t="s">
        <v>58</v>
      </c>
      <c r="T34" s="3"/>
      <c r="U34" s="3">
        <v>100</v>
      </c>
      <c r="V34" s="29" t="s">
        <v>126</v>
      </c>
      <c r="W34" s="3"/>
      <c r="X34" s="5" t="s">
        <v>145</v>
      </c>
      <c r="Y34" s="1"/>
    </row>
    <row r="35" spans="3:25">
      <c r="C35" s="5">
        <v>28</v>
      </c>
      <c r="D35" s="620" t="s">
        <v>110</v>
      </c>
      <c r="E35" s="620"/>
      <c r="F35" s="620"/>
      <c r="G35" s="620"/>
      <c r="H35" s="1">
        <v>564424141</v>
      </c>
      <c r="I35" s="1"/>
      <c r="J35" s="1"/>
      <c r="K35" s="3" t="s">
        <v>111</v>
      </c>
      <c r="L35" s="5">
        <v>386</v>
      </c>
      <c r="M35" s="3" t="s">
        <v>112</v>
      </c>
      <c r="N35" s="3" t="s">
        <v>113</v>
      </c>
      <c r="O35" s="20">
        <v>44521</v>
      </c>
      <c r="P35" s="3" t="s">
        <v>14</v>
      </c>
      <c r="Q35" s="3" t="s">
        <v>15</v>
      </c>
      <c r="R35" s="3">
        <v>1.41036644</v>
      </c>
      <c r="S35" s="5" t="s">
        <v>83</v>
      </c>
      <c r="T35" s="3" t="s">
        <v>140</v>
      </c>
      <c r="U35" s="3">
        <v>200</v>
      </c>
      <c r="V35" s="29" t="s">
        <v>126</v>
      </c>
      <c r="W35" s="3"/>
      <c r="X35" s="5" t="s">
        <v>145</v>
      </c>
      <c r="Y35" s="1"/>
    </row>
    <row r="36" spans="3:25">
      <c r="C36" s="5">
        <v>29</v>
      </c>
      <c r="D36" s="620" t="s">
        <v>114</v>
      </c>
      <c r="E36" s="620"/>
      <c r="F36" s="620"/>
      <c r="G36" s="620"/>
      <c r="H36" s="1">
        <v>585908685</v>
      </c>
      <c r="I36" s="1"/>
      <c r="J36" s="1"/>
      <c r="K36" s="3" t="s">
        <v>98</v>
      </c>
      <c r="L36" s="5">
        <v>399</v>
      </c>
      <c r="M36" s="3" t="s">
        <v>12</v>
      </c>
      <c r="N36" s="3" t="s">
        <v>115</v>
      </c>
      <c r="O36" s="20">
        <v>44521</v>
      </c>
      <c r="P36" s="3" t="s">
        <v>14</v>
      </c>
      <c r="Q36" s="3" t="s">
        <v>15</v>
      </c>
      <c r="R36" s="28" t="s">
        <v>132</v>
      </c>
      <c r="S36" s="5" t="s">
        <v>133</v>
      </c>
      <c r="T36" s="3"/>
      <c r="U36" s="3">
        <v>100</v>
      </c>
      <c r="V36" s="29" t="s">
        <v>126</v>
      </c>
      <c r="W36" s="3"/>
      <c r="X36" s="5" t="s">
        <v>145</v>
      </c>
      <c r="Y36" s="1"/>
    </row>
    <row r="37" spans="3:25">
      <c r="C37" s="5">
        <v>30</v>
      </c>
      <c r="D37" s="620" t="s">
        <v>116</v>
      </c>
      <c r="E37" s="620"/>
      <c r="F37" s="620"/>
      <c r="G37" s="620"/>
      <c r="H37" s="1">
        <v>551072306</v>
      </c>
      <c r="I37" s="1"/>
      <c r="J37" s="1"/>
      <c r="K37" s="3" t="s">
        <v>100</v>
      </c>
      <c r="L37" s="5">
        <v>199</v>
      </c>
      <c r="M37" s="3" t="s">
        <v>12</v>
      </c>
      <c r="N37" s="3" t="s">
        <v>13</v>
      </c>
      <c r="O37" s="20">
        <v>44521</v>
      </c>
      <c r="P37" s="3" t="s">
        <v>14</v>
      </c>
      <c r="Q37" s="3" t="s">
        <v>22</v>
      </c>
      <c r="R37" s="3" t="s">
        <v>22</v>
      </c>
      <c r="S37" s="5" t="s">
        <v>85</v>
      </c>
      <c r="T37" s="3"/>
      <c r="U37" s="3">
        <v>100</v>
      </c>
      <c r="V37" s="29" t="s">
        <v>126</v>
      </c>
      <c r="W37" s="3"/>
      <c r="X37" s="5" t="s">
        <v>145</v>
      </c>
      <c r="Y37" s="1"/>
    </row>
    <row r="38" spans="3:25">
      <c r="C38" s="5">
        <v>32</v>
      </c>
      <c r="D38" s="620" t="s">
        <v>117</v>
      </c>
      <c r="E38" s="620"/>
      <c r="F38" s="620"/>
      <c r="G38" s="620"/>
      <c r="H38" s="1">
        <v>558451835</v>
      </c>
      <c r="I38" s="1"/>
      <c r="J38" s="1"/>
      <c r="K38" s="3" t="s">
        <v>100</v>
      </c>
      <c r="L38" s="5">
        <v>199</v>
      </c>
      <c r="M38" s="3" t="s">
        <v>12</v>
      </c>
      <c r="N38" s="3" t="s">
        <v>13</v>
      </c>
      <c r="O38" s="20">
        <v>44522</v>
      </c>
      <c r="P38" s="3" t="s">
        <v>14</v>
      </c>
      <c r="Q38" s="3" t="s">
        <v>15</v>
      </c>
      <c r="R38" s="3">
        <v>1.43676465</v>
      </c>
      <c r="S38" s="5" t="s">
        <v>58</v>
      </c>
      <c r="T38" s="3"/>
      <c r="U38" s="3">
        <v>100</v>
      </c>
      <c r="V38" s="29" t="s">
        <v>126</v>
      </c>
      <c r="W38" s="3"/>
      <c r="X38" s="5" t="s">
        <v>145</v>
      </c>
      <c r="Y38" s="1"/>
    </row>
    <row r="39" spans="3:25">
      <c r="C39" s="35">
        <v>31</v>
      </c>
      <c r="D39" s="633" t="s">
        <v>118</v>
      </c>
      <c r="E39" s="633"/>
      <c r="F39" s="633"/>
      <c r="G39" s="633"/>
      <c r="H39" s="36">
        <v>527468889</v>
      </c>
      <c r="I39" s="36"/>
      <c r="J39" s="36"/>
      <c r="K39" s="35" t="s">
        <v>100</v>
      </c>
      <c r="L39" s="25">
        <v>199</v>
      </c>
      <c r="M39" s="35" t="s">
        <v>12</v>
      </c>
      <c r="N39" s="35" t="s">
        <v>13</v>
      </c>
      <c r="O39" s="26">
        <v>44523</v>
      </c>
      <c r="P39" s="35" t="s">
        <v>14</v>
      </c>
      <c r="Q39" s="35" t="s">
        <v>15</v>
      </c>
      <c r="R39" s="35">
        <v>1.3377158600000001</v>
      </c>
      <c r="S39" s="25" t="s">
        <v>58</v>
      </c>
      <c r="T39" s="35"/>
      <c r="U39" s="35"/>
      <c r="V39" s="27" t="s">
        <v>126</v>
      </c>
      <c r="W39" s="35" t="s">
        <v>213</v>
      </c>
      <c r="X39" s="25" t="s">
        <v>214</v>
      </c>
      <c r="Y39" s="1"/>
    </row>
    <row r="40" spans="3:25">
      <c r="C40" s="25">
        <v>32</v>
      </c>
      <c r="D40" s="633" t="s">
        <v>119</v>
      </c>
      <c r="E40" s="633"/>
      <c r="F40" s="633"/>
      <c r="G40" s="633"/>
      <c r="H40" s="36">
        <v>543096666</v>
      </c>
      <c r="I40" s="36"/>
      <c r="J40" s="36"/>
      <c r="K40" s="35" t="s">
        <v>100</v>
      </c>
      <c r="L40" s="25">
        <v>199</v>
      </c>
      <c r="M40" s="35" t="s">
        <v>12</v>
      </c>
      <c r="N40" s="35" t="s">
        <v>13</v>
      </c>
      <c r="O40" s="26">
        <v>44523</v>
      </c>
      <c r="P40" s="35" t="s">
        <v>14</v>
      </c>
      <c r="Q40" s="35" t="s">
        <v>15</v>
      </c>
      <c r="R40" s="35">
        <v>1.4389478899999999</v>
      </c>
      <c r="S40" s="25" t="s">
        <v>80</v>
      </c>
      <c r="T40" s="35"/>
      <c r="U40" s="35"/>
      <c r="V40" s="27" t="s">
        <v>126</v>
      </c>
      <c r="W40" s="35" t="s">
        <v>213</v>
      </c>
      <c r="X40" s="25" t="s">
        <v>214</v>
      </c>
      <c r="Y40" s="1"/>
    </row>
    <row r="41" spans="3:25">
      <c r="C41" s="5">
        <v>33</v>
      </c>
      <c r="D41" s="620" t="s">
        <v>120</v>
      </c>
      <c r="E41" s="620"/>
      <c r="F41" s="620"/>
      <c r="G41" s="620"/>
      <c r="H41" s="1">
        <v>545723299</v>
      </c>
      <c r="I41" s="1"/>
      <c r="J41" s="1"/>
      <c r="K41" s="3" t="s">
        <v>100</v>
      </c>
      <c r="L41" s="5">
        <v>199</v>
      </c>
      <c r="M41" s="3" t="s">
        <v>12</v>
      </c>
      <c r="N41" s="3" t="s">
        <v>13</v>
      </c>
      <c r="O41" s="20">
        <v>44525</v>
      </c>
      <c r="P41" s="3" t="s">
        <v>14</v>
      </c>
      <c r="Q41" s="3" t="s">
        <v>15</v>
      </c>
      <c r="R41" s="3">
        <v>1.33215759</v>
      </c>
      <c r="S41" s="5" t="s">
        <v>134</v>
      </c>
      <c r="T41" s="3"/>
      <c r="U41" s="3">
        <v>100</v>
      </c>
      <c r="V41" s="24" t="s">
        <v>126</v>
      </c>
      <c r="W41" s="1"/>
      <c r="X41" s="5" t="s">
        <v>145</v>
      </c>
      <c r="Y41" s="1"/>
    </row>
    <row r="42" spans="3:25">
      <c r="C42" s="5">
        <v>34</v>
      </c>
      <c r="D42" s="620" t="s">
        <v>121</v>
      </c>
      <c r="E42" s="620"/>
      <c r="F42" s="620"/>
      <c r="G42" s="620"/>
      <c r="H42" s="1">
        <v>506886679</v>
      </c>
      <c r="I42" s="1"/>
      <c r="J42" s="1"/>
      <c r="K42" s="3" t="s">
        <v>100</v>
      </c>
      <c r="L42" s="5">
        <v>199</v>
      </c>
      <c r="M42" s="3" t="s">
        <v>12</v>
      </c>
      <c r="N42" s="3" t="s">
        <v>13</v>
      </c>
      <c r="O42" s="20">
        <v>44525</v>
      </c>
      <c r="P42" s="3" t="s">
        <v>14</v>
      </c>
      <c r="Q42" s="3" t="s">
        <v>15</v>
      </c>
      <c r="R42" s="3">
        <v>1.43943642</v>
      </c>
      <c r="S42" s="5" t="s">
        <v>80</v>
      </c>
      <c r="T42" s="3"/>
      <c r="U42" s="3">
        <v>100</v>
      </c>
      <c r="V42" s="24" t="s">
        <v>126</v>
      </c>
      <c r="W42" s="3"/>
      <c r="X42" s="5" t="s">
        <v>145</v>
      </c>
      <c r="Y42" s="3"/>
    </row>
    <row r="43" spans="3:25">
      <c r="C43" s="5">
        <v>35</v>
      </c>
      <c r="D43" s="620" t="s">
        <v>122</v>
      </c>
      <c r="E43" s="620"/>
      <c r="F43" s="620"/>
      <c r="G43" s="620"/>
      <c r="H43" s="1">
        <v>551913291</v>
      </c>
      <c r="I43" s="1"/>
      <c r="J43" s="1"/>
      <c r="K43" s="3" t="s">
        <v>100</v>
      </c>
      <c r="L43" s="5">
        <v>199</v>
      </c>
      <c r="M43" s="3" t="s">
        <v>12</v>
      </c>
      <c r="N43" s="3" t="s">
        <v>13</v>
      </c>
      <c r="O43" s="20">
        <v>44527</v>
      </c>
      <c r="P43" s="3" t="s">
        <v>14</v>
      </c>
      <c r="Q43" s="3" t="s">
        <v>15</v>
      </c>
      <c r="R43" s="3">
        <v>1.43980212</v>
      </c>
      <c r="S43" s="5" t="s">
        <v>134</v>
      </c>
      <c r="T43" s="3"/>
      <c r="U43" s="3">
        <v>100</v>
      </c>
      <c r="V43" s="24" t="s">
        <v>126</v>
      </c>
      <c r="W43" s="3"/>
      <c r="X43" s="5" t="s">
        <v>145</v>
      </c>
      <c r="Y43" s="3"/>
    </row>
    <row r="44" spans="3:25">
      <c r="C44" s="5">
        <v>36</v>
      </c>
      <c r="D44" s="620" t="s">
        <v>123</v>
      </c>
      <c r="E44" s="620"/>
      <c r="F44" s="620"/>
      <c r="G44" s="620"/>
      <c r="H44" s="1">
        <v>566290065</v>
      </c>
      <c r="I44" s="1"/>
      <c r="J44" s="1"/>
      <c r="K44" s="3" t="s">
        <v>100</v>
      </c>
      <c r="L44" s="5">
        <v>199</v>
      </c>
      <c r="M44" s="3" t="s">
        <v>12</v>
      </c>
      <c r="N44" s="3" t="s">
        <v>13</v>
      </c>
      <c r="O44" s="20">
        <v>44527</v>
      </c>
      <c r="P44" s="3" t="s">
        <v>14</v>
      </c>
      <c r="Q44" s="3" t="s">
        <v>15</v>
      </c>
      <c r="R44" s="3">
        <v>1.4398143999999999</v>
      </c>
      <c r="S44" s="5" t="s">
        <v>134</v>
      </c>
      <c r="T44" s="3"/>
      <c r="U44" s="3">
        <v>100</v>
      </c>
      <c r="V44" s="24" t="s">
        <v>126</v>
      </c>
      <c r="W44" s="3"/>
      <c r="X44" s="5" t="s">
        <v>145</v>
      </c>
      <c r="Y44" s="3"/>
    </row>
    <row r="45" spans="3:25">
      <c r="C45" s="5">
        <v>37</v>
      </c>
      <c r="D45" s="620" t="s">
        <v>124</v>
      </c>
      <c r="E45" s="620"/>
      <c r="F45" s="620"/>
      <c r="G45" s="620"/>
      <c r="H45" s="1">
        <v>509931260</v>
      </c>
      <c r="I45" s="1"/>
      <c r="J45" s="1"/>
      <c r="K45" s="3" t="s">
        <v>100</v>
      </c>
      <c r="L45" s="5">
        <v>199</v>
      </c>
      <c r="M45" s="3" t="s">
        <v>12</v>
      </c>
      <c r="N45" s="3" t="s">
        <v>13</v>
      </c>
      <c r="O45" s="20">
        <v>44527</v>
      </c>
      <c r="P45" s="3" t="s">
        <v>14</v>
      </c>
      <c r="Q45" s="3" t="s">
        <v>15</v>
      </c>
      <c r="R45" s="3">
        <v>1.2412110000000001</v>
      </c>
      <c r="S45" s="5" t="s">
        <v>58</v>
      </c>
      <c r="T45" s="3"/>
      <c r="U45" s="3">
        <v>100</v>
      </c>
      <c r="V45" s="24" t="s">
        <v>126</v>
      </c>
      <c r="W45" s="3"/>
      <c r="X45" s="5" t="s">
        <v>145</v>
      </c>
      <c r="Y45" s="3"/>
    </row>
    <row r="46" spans="3:25">
      <c r="C46" s="5">
        <v>38</v>
      </c>
      <c r="D46" s="620" t="s">
        <v>125</v>
      </c>
      <c r="E46" s="620"/>
      <c r="F46" s="620"/>
      <c r="G46" s="620"/>
      <c r="H46" s="1">
        <v>569886656</v>
      </c>
      <c r="I46" s="1"/>
      <c r="J46" s="1"/>
      <c r="K46" s="3" t="s">
        <v>100</v>
      </c>
      <c r="L46" s="5">
        <v>199</v>
      </c>
      <c r="M46" s="3" t="s">
        <v>12</v>
      </c>
      <c r="N46" s="3" t="s">
        <v>13</v>
      </c>
      <c r="O46" s="20">
        <v>44527</v>
      </c>
      <c r="P46" s="3" t="s">
        <v>14</v>
      </c>
      <c r="Q46" s="3" t="s">
        <v>15</v>
      </c>
      <c r="R46" s="3">
        <v>1.3702501899999999</v>
      </c>
      <c r="S46" s="5" t="s">
        <v>80</v>
      </c>
      <c r="T46" s="3"/>
      <c r="U46" s="3">
        <v>100</v>
      </c>
      <c r="V46" s="24" t="s">
        <v>126</v>
      </c>
      <c r="W46" s="3"/>
      <c r="X46" s="5" t="s">
        <v>145</v>
      </c>
      <c r="Y46" s="3"/>
    </row>
    <row r="47" spans="3:25">
      <c r="C47" s="3">
        <v>39</v>
      </c>
      <c r="D47" s="620" t="s">
        <v>135</v>
      </c>
      <c r="E47" s="620"/>
      <c r="F47" s="620"/>
      <c r="G47" s="620"/>
      <c r="H47" s="1">
        <v>543501856</v>
      </c>
      <c r="I47" s="1"/>
      <c r="J47" s="1"/>
      <c r="K47" s="3" t="s">
        <v>100</v>
      </c>
      <c r="L47" s="3">
        <v>199</v>
      </c>
      <c r="M47" s="3" t="s">
        <v>12</v>
      </c>
      <c r="N47" s="20" t="s">
        <v>13</v>
      </c>
      <c r="O47" s="20">
        <v>44528</v>
      </c>
      <c r="P47" s="3" t="s">
        <v>14</v>
      </c>
      <c r="Q47" s="3" t="s">
        <v>15</v>
      </c>
      <c r="R47" s="3">
        <v>1.4398711500000001</v>
      </c>
      <c r="S47" s="5" t="s">
        <v>80</v>
      </c>
      <c r="T47" s="3"/>
      <c r="U47" s="3">
        <v>100</v>
      </c>
      <c r="V47" s="24" t="s">
        <v>126</v>
      </c>
      <c r="W47" s="3">
        <v>100</v>
      </c>
      <c r="X47" s="5" t="s">
        <v>73</v>
      </c>
      <c r="Y47" s="3"/>
    </row>
    <row r="48" spans="3:25">
      <c r="C48" s="5">
        <v>40</v>
      </c>
      <c r="D48" s="620" t="s">
        <v>136</v>
      </c>
      <c r="E48" s="620"/>
      <c r="F48" s="620"/>
      <c r="G48" s="620"/>
      <c r="H48" s="1">
        <v>502446394</v>
      </c>
      <c r="I48" s="1"/>
      <c r="J48" s="1"/>
      <c r="K48" s="3" t="s">
        <v>100</v>
      </c>
      <c r="L48" s="5">
        <v>199</v>
      </c>
      <c r="M48" s="3" t="s">
        <v>12</v>
      </c>
      <c r="N48" s="3" t="s">
        <v>13</v>
      </c>
      <c r="O48" s="20">
        <v>44527</v>
      </c>
      <c r="P48" s="3" t="s">
        <v>14</v>
      </c>
      <c r="Q48" s="3" t="s">
        <v>15</v>
      </c>
      <c r="R48" s="3">
        <v>1.4125533400000001</v>
      </c>
      <c r="S48" s="3" t="s">
        <v>58</v>
      </c>
      <c r="T48" s="3"/>
      <c r="U48" s="3">
        <v>100</v>
      </c>
      <c r="V48" s="24" t="s">
        <v>126</v>
      </c>
      <c r="W48" s="3"/>
      <c r="X48" s="5" t="s">
        <v>73</v>
      </c>
      <c r="Y48" s="3"/>
    </row>
    <row r="49" spans="3:25">
      <c r="C49" s="3">
        <v>41</v>
      </c>
      <c r="D49" s="620" t="s">
        <v>137</v>
      </c>
      <c r="E49" s="620"/>
      <c r="F49" s="620"/>
      <c r="G49" s="620"/>
      <c r="H49" s="1">
        <v>565220161</v>
      </c>
      <c r="I49" s="1"/>
      <c r="J49" s="1"/>
      <c r="K49" s="3" t="s">
        <v>100</v>
      </c>
      <c r="L49" s="3">
        <v>199</v>
      </c>
      <c r="M49" s="3" t="s">
        <v>12</v>
      </c>
      <c r="N49" s="20" t="s">
        <v>13</v>
      </c>
      <c r="O49" s="20">
        <v>44528</v>
      </c>
      <c r="P49" s="3" t="s">
        <v>14</v>
      </c>
      <c r="Q49" s="3" t="s">
        <v>15</v>
      </c>
      <c r="R49" s="3">
        <v>1.44028376</v>
      </c>
      <c r="S49" s="3" t="s">
        <v>85</v>
      </c>
      <c r="T49" s="3"/>
      <c r="U49" s="3">
        <v>100</v>
      </c>
      <c r="V49" s="23" t="s">
        <v>127</v>
      </c>
      <c r="W49" s="3"/>
      <c r="X49" s="5" t="s">
        <v>145</v>
      </c>
      <c r="Y49" s="3"/>
    </row>
    <row r="50" spans="3:25">
      <c r="C50" s="3">
        <v>42</v>
      </c>
      <c r="D50" s="620" t="s">
        <v>138</v>
      </c>
      <c r="E50" s="620"/>
      <c r="F50" s="620"/>
      <c r="G50" s="620"/>
      <c r="H50" s="1">
        <v>504179092</v>
      </c>
      <c r="I50" s="1"/>
      <c r="J50" s="1"/>
      <c r="K50" s="3" t="s">
        <v>100</v>
      </c>
      <c r="L50" s="5">
        <v>199</v>
      </c>
      <c r="M50" s="3" t="s">
        <v>12</v>
      </c>
      <c r="N50" s="3" t="s">
        <v>13</v>
      </c>
      <c r="O50" s="20">
        <v>44527</v>
      </c>
      <c r="P50" s="3" t="s">
        <v>14</v>
      </c>
      <c r="Q50" s="3" t="s">
        <v>15</v>
      </c>
      <c r="R50" s="3">
        <v>1.4399062300000001</v>
      </c>
      <c r="S50" s="3" t="s">
        <v>85</v>
      </c>
      <c r="T50" s="3"/>
      <c r="U50" s="3">
        <v>100</v>
      </c>
      <c r="V50" s="23" t="s">
        <v>127</v>
      </c>
      <c r="W50" s="3"/>
      <c r="X50" s="5" t="s">
        <v>145</v>
      </c>
      <c r="Y50" s="3"/>
    </row>
    <row r="51" spans="3:25">
      <c r="C51" s="5">
        <v>43</v>
      </c>
      <c r="D51" s="620" t="s">
        <v>143</v>
      </c>
      <c r="E51" s="620"/>
      <c r="F51" s="620"/>
      <c r="G51" s="620"/>
      <c r="H51" s="1">
        <v>505244812</v>
      </c>
      <c r="I51" s="1"/>
      <c r="J51" s="1"/>
      <c r="K51" s="3" t="s">
        <v>100</v>
      </c>
      <c r="L51" s="3">
        <v>199</v>
      </c>
      <c r="M51" s="3" t="s">
        <v>12</v>
      </c>
      <c r="N51" s="20" t="s">
        <v>13</v>
      </c>
      <c r="O51" s="20">
        <v>44529</v>
      </c>
      <c r="P51" s="3" t="s">
        <v>14</v>
      </c>
      <c r="Q51" s="3" t="s">
        <v>15</v>
      </c>
      <c r="R51" s="5">
        <v>1.44045555</v>
      </c>
      <c r="S51" s="5" t="s">
        <v>131</v>
      </c>
      <c r="T51" s="3"/>
      <c r="U51" s="3">
        <v>100</v>
      </c>
      <c r="V51" s="29" t="s">
        <v>126</v>
      </c>
      <c r="W51" s="3"/>
      <c r="X51" s="5" t="s">
        <v>73</v>
      </c>
      <c r="Y51" s="3"/>
    </row>
    <row r="52" spans="3:25">
      <c r="C52" s="5">
        <v>44</v>
      </c>
      <c r="D52" s="620" t="s">
        <v>144</v>
      </c>
      <c r="E52" s="620"/>
      <c r="F52" s="620"/>
      <c r="G52" s="620"/>
      <c r="H52" s="1">
        <v>525647379</v>
      </c>
      <c r="I52" s="1"/>
      <c r="J52" s="1"/>
      <c r="K52" s="3" t="s">
        <v>100</v>
      </c>
      <c r="L52" s="3">
        <v>199</v>
      </c>
      <c r="M52" s="3" t="s">
        <v>12</v>
      </c>
      <c r="N52" s="20" t="s">
        <v>13</v>
      </c>
      <c r="O52" s="20">
        <v>44529</v>
      </c>
      <c r="P52" s="3" t="s">
        <v>14</v>
      </c>
      <c r="Q52" s="3" t="s">
        <v>15</v>
      </c>
      <c r="R52" s="5">
        <v>1.3390092199999999</v>
      </c>
      <c r="S52" s="5" t="s">
        <v>131</v>
      </c>
      <c r="T52" s="3"/>
      <c r="U52" s="3">
        <v>100</v>
      </c>
      <c r="V52" s="29" t="s">
        <v>126</v>
      </c>
      <c r="W52" s="3"/>
      <c r="X52" s="5" t="s">
        <v>73</v>
      </c>
      <c r="Y52" s="3"/>
    </row>
    <row r="53" spans="3:25">
      <c r="C53" s="5">
        <v>45</v>
      </c>
      <c r="D53" s="620"/>
      <c r="E53" s="620"/>
      <c r="F53" s="620"/>
      <c r="G53" s="620"/>
      <c r="H53" s="620"/>
      <c r="I53" s="620"/>
      <c r="J53" s="620"/>
      <c r="K53" s="3"/>
      <c r="L53" s="3"/>
      <c r="M53" s="5"/>
      <c r="N53" s="3"/>
      <c r="O53" s="3"/>
      <c r="P53" s="20"/>
      <c r="Q53" s="3"/>
      <c r="R53" s="3"/>
      <c r="S53" s="3"/>
      <c r="T53" s="3"/>
      <c r="U53" s="3"/>
      <c r="V53" s="23"/>
      <c r="W53" s="3"/>
      <c r="X53" s="5"/>
      <c r="Y53" s="3"/>
    </row>
    <row r="54" spans="3:25">
      <c r="C54" s="1"/>
      <c r="D54" s="620"/>
      <c r="E54" s="620"/>
      <c r="F54" s="620"/>
      <c r="G54" s="620"/>
      <c r="H54" s="620"/>
      <c r="I54" s="620"/>
      <c r="J54" s="620"/>
      <c r="K54" s="3"/>
      <c r="L54" s="3"/>
      <c r="M54" s="5"/>
      <c r="N54" s="3"/>
      <c r="O54" s="3"/>
      <c r="P54" s="20"/>
      <c r="Q54" s="3"/>
      <c r="R54" s="3"/>
      <c r="S54" s="3"/>
      <c r="T54" s="3"/>
      <c r="U54" s="3"/>
      <c r="V54" s="23"/>
      <c r="W54" s="3"/>
      <c r="X54" s="5"/>
      <c r="Y54" s="3"/>
    </row>
    <row r="55" spans="3:25">
      <c r="C55" s="1"/>
      <c r="D55" s="620"/>
      <c r="E55" s="620"/>
      <c r="F55" s="620"/>
      <c r="G55" s="620"/>
      <c r="H55" s="620"/>
      <c r="I55" s="620"/>
      <c r="J55" s="620"/>
      <c r="K55" s="3"/>
      <c r="L55" s="3"/>
      <c r="M55" s="5"/>
      <c r="N55" s="3"/>
      <c r="O55" s="3"/>
      <c r="P55" s="20"/>
      <c r="Q55" s="3"/>
      <c r="R55" s="3"/>
      <c r="S55" s="3"/>
      <c r="T55" s="3"/>
      <c r="U55" s="3"/>
      <c r="V55" s="23"/>
      <c r="W55" s="3"/>
      <c r="X55" s="5"/>
      <c r="Y55" s="3"/>
    </row>
    <row r="56" spans="3:25">
      <c r="C56" s="1"/>
      <c r="D56" s="620"/>
      <c r="E56" s="620"/>
      <c r="F56" s="620"/>
      <c r="G56" s="620"/>
      <c r="H56" s="620"/>
      <c r="I56" s="620"/>
      <c r="J56" s="620"/>
      <c r="K56" s="3"/>
      <c r="L56" s="3"/>
      <c r="M56" s="5"/>
      <c r="N56" s="3"/>
      <c r="O56" s="3"/>
      <c r="P56" s="20"/>
      <c r="Q56" s="3"/>
      <c r="R56" s="3"/>
      <c r="S56" s="3"/>
      <c r="T56" s="3"/>
      <c r="U56" s="3"/>
      <c r="V56" s="23"/>
      <c r="W56" s="3"/>
      <c r="X56" s="5"/>
      <c r="Y56" s="3"/>
    </row>
    <row r="57" spans="3:25">
      <c r="C57" s="1"/>
      <c r="D57" s="620"/>
      <c r="E57" s="620"/>
      <c r="F57" s="620"/>
      <c r="G57" s="620"/>
      <c r="H57" s="620"/>
      <c r="I57" s="620"/>
      <c r="J57" s="620"/>
      <c r="K57" s="3"/>
      <c r="L57" s="3"/>
      <c r="M57" s="5"/>
      <c r="N57" s="3"/>
      <c r="O57" s="3"/>
      <c r="P57" s="20"/>
      <c r="Q57" s="3"/>
      <c r="R57" s="3"/>
      <c r="S57" s="3"/>
      <c r="T57" s="3"/>
      <c r="U57" s="3"/>
      <c r="V57" s="23"/>
      <c r="W57" s="3"/>
      <c r="X57" s="5"/>
      <c r="Y57" s="1"/>
    </row>
  </sheetData>
  <autoFilter ref="C8:X53" xr:uid="{00000000-0009-0000-0000-000001000000}">
    <filterColumn colId="1" showButton="0"/>
    <filterColumn colId="2" showButton="0"/>
    <filterColumn colId="3" showButton="0"/>
    <filterColumn colId="5" showButton="0"/>
    <filterColumn colId="6" showButton="0"/>
  </autoFilter>
  <mergeCells count="60">
    <mergeCell ref="D56:G56"/>
    <mergeCell ref="H56:J56"/>
    <mergeCell ref="D57:G57"/>
    <mergeCell ref="H57:J57"/>
    <mergeCell ref="D53:G53"/>
    <mergeCell ref="H53:J53"/>
    <mergeCell ref="D54:G54"/>
    <mergeCell ref="H54:J54"/>
    <mergeCell ref="D55:G55"/>
    <mergeCell ref="H55:J55"/>
    <mergeCell ref="D50:G50"/>
    <mergeCell ref="D51:G51"/>
    <mergeCell ref="D52:G52"/>
    <mergeCell ref="D47:G47"/>
    <mergeCell ref="D48:G48"/>
    <mergeCell ref="D49:G49"/>
    <mergeCell ref="D39:G39"/>
    <mergeCell ref="D40:G40"/>
    <mergeCell ref="D36:G36"/>
    <mergeCell ref="D37:G37"/>
    <mergeCell ref="D38:G38"/>
    <mergeCell ref="D33:G33"/>
    <mergeCell ref="D34:G34"/>
    <mergeCell ref="D35:G35"/>
    <mergeCell ref="D30:G30"/>
    <mergeCell ref="D31:G31"/>
    <mergeCell ref="D32:G32"/>
    <mergeCell ref="D27:G27"/>
    <mergeCell ref="D28:G28"/>
    <mergeCell ref="D29:G29"/>
    <mergeCell ref="D24:G24"/>
    <mergeCell ref="D25:G25"/>
    <mergeCell ref="D26:G26"/>
    <mergeCell ref="D21:G21"/>
    <mergeCell ref="D22:G22"/>
    <mergeCell ref="D23:G23"/>
    <mergeCell ref="D18:G18"/>
    <mergeCell ref="D19:G19"/>
    <mergeCell ref="D20:G20"/>
    <mergeCell ref="D15:G15"/>
    <mergeCell ref="D16:G16"/>
    <mergeCell ref="D17:G17"/>
    <mergeCell ref="D12:G12"/>
    <mergeCell ref="D13:G13"/>
    <mergeCell ref="D14:G14"/>
    <mergeCell ref="D9:G9"/>
    <mergeCell ref="D10:G10"/>
    <mergeCell ref="D11:G11"/>
    <mergeCell ref="D8:G8"/>
    <mergeCell ref="D3:Y5"/>
    <mergeCell ref="D6:G6"/>
    <mergeCell ref="H6:J6"/>
    <mergeCell ref="D7:G7"/>
    <mergeCell ref="H7:J7"/>
    <mergeCell ref="D46:G46"/>
    <mergeCell ref="D41:G41"/>
    <mergeCell ref="D42:G42"/>
    <mergeCell ref="D43:G43"/>
    <mergeCell ref="D44:G44"/>
    <mergeCell ref="D45:G4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E8:AA121"/>
  <sheetViews>
    <sheetView topLeftCell="A64" zoomScale="55" zoomScaleNormal="55" workbookViewId="0">
      <selection activeCell="J12" sqref="J12:J104"/>
    </sheetView>
  </sheetViews>
  <sheetFormatPr defaultRowHeight="14.5"/>
  <cols>
    <col min="10" max="10" width="10" bestFit="1" customWidth="1"/>
    <col min="12" max="12" width="6.54296875" customWidth="1"/>
    <col min="13" max="13" width="15.54296875" bestFit="1" customWidth="1"/>
    <col min="14" max="14" width="13" bestFit="1" customWidth="1"/>
    <col min="15" max="15" width="13.453125" bestFit="1" customWidth="1"/>
    <col min="16" max="16" width="20.1796875" bestFit="1" customWidth="1"/>
    <col min="17" max="17" width="15.81640625" bestFit="1" customWidth="1"/>
    <col min="18" max="18" width="16.453125" bestFit="1" customWidth="1"/>
    <col min="19" max="19" width="16.54296875" bestFit="1" customWidth="1"/>
    <col min="20" max="20" width="27.1796875" bestFit="1" customWidth="1"/>
    <col min="21" max="21" width="26" bestFit="1" customWidth="1"/>
    <col min="22" max="22" width="15.81640625" bestFit="1" customWidth="1"/>
    <col min="23" max="23" width="20.453125" customWidth="1"/>
    <col min="24" max="24" width="20.81640625" bestFit="1" customWidth="1"/>
    <col min="25" max="25" width="20.54296875" bestFit="1" customWidth="1"/>
    <col min="26" max="26" width="13.453125" bestFit="1" customWidth="1"/>
  </cols>
  <sheetData>
    <row r="8" spans="5:27">
      <c r="E8" s="1"/>
      <c r="F8" s="622" t="s">
        <v>40</v>
      </c>
      <c r="G8" s="622"/>
      <c r="H8" s="622"/>
      <c r="I8" s="622"/>
      <c r="J8" s="622"/>
      <c r="K8" s="622"/>
      <c r="L8" s="622"/>
      <c r="M8" s="622"/>
      <c r="N8" s="622"/>
      <c r="O8" s="622"/>
      <c r="P8" s="622"/>
      <c r="Q8" s="622"/>
      <c r="R8" s="622"/>
      <c r="S8" s="622"/>
      <c r="T8" s="622"/>
      <c r="U8" s="622"/>
      <c r="V8" s="622"/>
      <c r="W8" s="622"/>
      <c r="X8" s="622"/>
      <c r="Y8" s="622"/>
      <c r="Z8" s="622"/>
      <c r="AA8" s="622"/>
    </row>
    <row r="9" spans="5:27">
      <c r="E9" s="1"/>
      <c r="F9" s="622"/>
      <c r="G9" s="622"/>
      <c r="H9" s="622"/>
      <c r="I9" s="622"/>
      <c r="J9" s="622"/>
      <c r="K9" s="622"/>
      <c r="L9" s="622"/>
      <c r="M9" s="622"/>
      <c r="N9" s="622"/>
      <c r="O9" s="622"/>
      <c r="P9" s="622"/>
      <c r="Q9" s="622"/>
      <c r="R9" s="622"/>
      <c r="S9" s="622"/>
      <c r="T9" s="622"/>
      <c r="U9" s="622"/>
      <c r="V9" s="622"/>
      <c r="W9" s="622"/>
      <c r="X9" s="622"/>
      <c r="Y9" s="622"/>
      <c r="Z9" s="622"/>
      <c r="AA9" s="622"/>
    </row>
    <row r="10" spans="5:27">
      <c r="E10" s="1"/>
      <c r="F10" s="622"/>
      <c r="G10" s="622"/>
      <c r="H10" s="622"/>
      <c r="I10" s="622"/>
      <c r="J10" s="622"/>
      <c r="K10" s="622"/>
      <c r="L10" s="622"/>
      <c r="M10" s="622"/>
      <c r="N10" s="622"/>
      <c r="O10" s="622"/>
      <c r="P10" s="622"/>
      <c r="Q10" s="622"/>
      <c r="R10" s="622"/>
      <c r="S10" s="622"/>
      <c r="T10" s="622"/>
      <c r="U10" s="622"/>
      <c r="V10" s="622"/>
      <c r="W10" s="622"/>
      <c r="X10" s="622"/>
      <c r="Y10" s="622"/>
      <c r="Z10" s="622"/>
      <c r="AA10" s="622"/>
    </row>
    <row r="11" spans="5:27" ht="15.5">
      <c r="E11" s="2" t="s">
        <v>0</v>
      </c>
      <c r="F11" s="642" t="s">
        <v>1</v>
      </c>
      <c r="G11" s="642"/>
      <c r="H11" s="642"/>
      <c r="I11" s="642"/>
      <c r="J11" s="642" t="s">
        <v>2</v>
      </c>
      <c r="K11" s="642"/>
      <c r="L11" s="642"/>
      <c r="M11" s="38" t="s">
        <v>128</v>
      </c>
      <c r="N11" s="38" t="s">
        <v>3</v>
      </c>
      <c r="O11" s="38" t="s">
        <v>4</v>
      </c>
      <c r="P11" s="38" t="s">
        <v>5</v>
      </c>
      <c r="Q11" s="38" t="s">
        <v>6</v>
      </c>
      <c r="R11" s="38" t="s">
        <v>7</v>
      </c>
      <c r="S11" s="38" t="s">
        <v>8</v>
      </c>
      <c r="T11" s="38" t="s">
        <v>9</v>
      </c>
      <c r="U11" s="38" t="s">
        <v>10</v>
      </c>
      <c r="V11" s="38" t="s">
        <v>139</v>
      </c>
      <c r="W11" s="38" t="s">
        <v>253</v>
      </c>
      <c r="X11" s="38" t="s">
        <v>56</v>
      </c>
      <c r="Y11" s="38" t="s">
        <v>141</v>
      </c>
      <c r="Z11" s="38" t="s">
        <v>243</v>
      </c>
      <c r="AA11" s="3"/>
    </row>
    <row r="12" spans="5:27">
      <c r="E12" s="5">
        <v>1</v>
      </c>
      <c r="F12" s="635" t="s">
        <v>146</v>
      </c>
      <c r="G12" s="636"/>
      <c r="H12" s="636"/>
      <c r="I12" s="637"/>
      <c r="J12" s="257">
        <v>503564756</v>
      </c>
      <c r="K12" s="258"/>
      <c r="L12" s="259"/>
      <c r="M12" s="3" t="s">
        <v>100</v>
      </c>
      <c r="N12" s="5">
        <v>199</v>
      </c>
      <c r="O12" s="3" t="s">
        <v>12</v>
      </c>
      <c r="P12" s="3" t="s">
        <v>13</v>
      </c>
      <c r="Q12" s="20">
        <v>44535</v>
      </c>
      <c r="R12" s="3" t="s">
        <v>14</v>
      </c>
      <c r="S12" s="3" t="s">
        <v>15</v>
      </c>
      <c r="T12" s="1"/>
      <c r="U12" s="3">
        <v>1.4415310400000001</v>
      </c>
      <c r="V12" s="3" t="s">
        <v>178</v>
      </c>
      <c r="W12" s="3"/>
      <c r="X12" s="30" t="s">
        <v>126</v>
      </c>
      <c r="Y12" s="3"/>
      <c r="Z12" s="3" t="s">
        <v>145</v>
      </c>
      <c r="AA12" s="3"/>
    </row>
    <row r="13" spans="5:27">
      <c r="E13" s="5">
        <v>2</v>
      </c>
      <c r="F13" s="635" t="s">
        <v>147</v>
      </c>
      <c r="G13" s="636"/>
      <c r="H13" s="636"/>
      <c r="I13" s="637"/>
      <c r="J13" s="257">
        <v>525118837</v>
      </c>
      <c r="K13" s="258"/>
      <c r="L13" s="259"/>
      <c r="M13" s="3" t="s">
        <v>100</v>
      </c>
      <c r="N13" s="5">
        <v>199</v>
      </c>
      <c r="O13" s="3" t="s">
        <v>12</v>
      </c>
      <c r="P13" s="3" t="s">
        <v>13</v>
      </c>
      <c r="Q13" s="20">
        <v>44535</v>
      </c>
      <c r="R13" s="3" t="s">
        <v>14</v>
      </c>
      <c r="S13" s="3" t="s">
        <v>15</v>
      </c>
      <c r="T13" s="1"/>
      <c r="U13" s="3">
        <v>1.40845541</v>
      </c>
      <c r="V13" s="3" t="s">
        <v>148</v>
      </c>
      <c r="W13" s="3"/>
      <c r="X13" s="30" t="s">
        <v>126</v>
      </c>
      <c r="Y13" s="3"/>
      <c r="Z13" s="3" t="s">
        <v>145</v>
      </c>
      <c r="AA13" s="3"/>
    </row>
    <row r="14" spans="5:27">
      <c r="E14" s="5">
        <v>3</v>
      </c>
      <c r="F14" s="635" t="s">
        <v>149</v>
      </c>
      <c r="G14" s="636"/>
      <c r="H14" s="636"/>
      <c r="I14" s="637"/>
      <c r="J14" s="257">
        <v>505747474</v>
      </c>
      <c r="K14" s="258"/>
      <c r="L14" s="259"/>
      <c r="M14" s="3" t="s">
        <v>100</v>
      </c>
      <c r="N14" s="5">
        <v>199</v>
      </c>
      <c r="O14" s="3" t="s">
        <v>12</v>
      </c>
      <c r="P14" s="3" t="s">
        <v>13</v>
      </c>
      <c r="Q14" s="20">
        <v>44536</v>
      </c>
      <c r="R14" s="3" t="s">
        <v>14</v>
      </c>
      <c r="S14" s="3" t="s">
        <v>15</v>
      </c>
      <c r="T14" s="1"/>
      <c r="U14" s="3">
        <v>1.2164842199999999</v>
      </c>
      <c r="V14" s="3" t="s">
        <v>176</v>
      </c>
      <c r="W14" s="3"/>
      <c r="X14" s="30" t="s">
        <v>126</v>
      </c>
      <c r="Y14" s="3"/>
      <c r="Z14" s="3" t="s">
        <v>145</v>
      </c>
      <c r="AA14" s="3"/>
    </row>
    <row r="15" spans="5:27">
      <c r="E15" s="5">
        <v>4</v>
      </c>
      <c r="F15" s="635" t="s">
        <v>150</v>
      </c>
      <c r="G15" s="636"/>
      <c r="H15" s="636"/>
      <c r="I15" s="637"/>
      <c r="J15" s="257">
        <v>544687799</v>
      </c>
      <c r="K15" s="258"/>
      <c r="L15" s="259"/>
      <c r="M15" s="3" t="s">
        <v>100</v>
      </c>
      <c r="N15" s="5">
        <v>199</v>
      </c>
      <c r="O15" s="3" t="s">
        <v>102</v>
      </c>
      <c r="P15" s="3" t="s">
        <v>13</v>
      </c>
      <c r="Q15" s="20">
        <v>44537</v>
      </c>
      <c r="R15" s="3" t="s">
        <v>14</v>
      </c>
      <c r="S15" s="3" t="s">
        <v>15</v>
      </c>
      <c r="T15" s="1"/>
      <c r="U15" s="3">
        <v>1.4416801299999999</v>
      </c>
      <c r="V15" s="3" t="s">
        <v>59</v>
      </c>
      <c r="W15" s="3"/>
      <c r="X15" s="30" t="s">
        <v>126</v>
      </c>
      <c r="Y15" s="3"/>
      <c r="Z15" s="3" t="s">
        <v>145</v>
      </c>
      <c r="AA15" s="3"/>
    </row>
    <row r="16" spans="5:27">
      <c r="E16" s="5">
        <v>5</v>
      </c>
      <c r="F16" s="635" t="s">
        <v>151</v>
      </c>
      <c r="G16" s="636"/>
      <c r="H16" s="636"/>
      <c r="I16" s="637"/>
      <c r="J16" s="257">
        <v>521189692</v>
      </c>
      <c r="K16" s="258"/>
      <c r="L16" s="259"/>
      <c r="M16" s="3" t="s">
        <v>100</v>
      </c>
      <c r="N16" s="5">
        <v>199</v>
      </c>
      <c r="O16" s="3" t="s">
        <v>102</v>
      </c>
      <c r="P16" s="3" t="s">
        <v>13</v>
      </c>
      <c r="Q16" s="20">
        <v>44537</v>
      </c>
      <c r="R16" s="3" t="s">
        <v>14</v>
      </c>
      <c r="S16" s="3" t="s">
        <v>15</v>
      </c>
      <c r="T16" s="1"/>
      <c r="U16" s="3">
        <v>1.4410666299999999</v>
      </c>
      <c r="V16" s="3" t="s">
        <v>59</v>
      </c>
      <c r="W16" s="3"/>
      <c r="X16" s="30" t="s">
        <v>126</v>
      </c>
      <c r="Y16" s="3"/>
      <c r="Z16" s="3" t="s">
        <v>145</v>
      </c>
      <c r="AA16" s="3"/>
    </row>
    <row r="17" spans="5:27">
      <c r="E17" s="5">
        <v>6</v>
      </c>
      <c r="F17" s="635" t="s">
        <v>152</v>
      </c>
      <c r="G17" s="636"/>
      <c r="H17" s="636"/>
      <c r="I17" s="637"/>
      <c r="J17" s="257">
        <v>526541009</v>
      </c>
      <c r="K17" s="258"/>
      <c r="L17" s="259"/>
      <c r="M17" s="3" t="s">
        <v>100</v>
      </c>
      <c r="N17" s="5">
        <v>199</v>
      </c>
      <c r="O17" s="3" t="s">
        <v>102</v>
      </c>
      <c r="P17" s="3" t="s">
        <v>13</v>
      </c>
      <c r="Q17" s="20">
        <v>44537</v>
      </c>
      <c r="R17" s="3" t="s">
        <v>14</v>
      </c>
      <c r="S17" s="3" t="s">
        <v>15</v>
      </c>
      <c r="T17" s="1"/>
      <c r="U17" s="3">
        <v>1.4417006000000001</v>
      </c>
      <c r="V17" s="3" t="s">
        <v>59</v>
      </c>
      <c r="W17" s="3"/>
      <c r="X17" s="30" t="s">
        <v>126</v>
      </c>
      <c r="Y17" s="3"/>
      <c r="Z17" s="3" t="s">
        <v>145</v>
      </c>
      <c r="AA17" s="3"/>
    </row>
    <row r="18" spans="5:27">
      <c r="E18" s="5">
        <v>7</v>
      </c>
      <c r="F18" s="635" t="s">
        <v>153</v>
      </c>
      <c r="G18" s="636"/>
      <c r="H18" s="636"/>
      <c r="I18" s="637"/>
      <c r="J18" s="257">
        <v>568415557</v>
      </c>
      <c r="K18" s="258"/>
      <c r="L18" s="259"/>
      <c r="M18" s="3" t="s">
        <v>100</v>
      </c>
      <c r="N18" s="5">
        <v>199</v>
      </c>
      <c r="O18" s="3" t="s">
        <v>102</v>
      </c>
      <c r="P18" s="3" t="s">
        <v>13</v>
      </c>
      <c r="Q18" s="20">
        <v>44537</v>
      </c>
      <c r="R18" s="3" t="s">
        <v>14</v>
      </c>
      <c r="S18" s="3" t="s">
        <v>15</v>
      </c>
      <c r="T18" s="1"/>
      <c r="U18" s="3">
        <v>1.44170328</v>
      </c>
      <c r="V18" s="3" t="s">
        <v>59</v>
      </c>
      <c r="W18" s="3"/>
      <c r="X18" s="30" t="s">
        <v>126</v>
      </c>
      <c r="Y18" s="3"/>
      <c r="Z18" s="3" t="s">
        <v>145</v>
      </c>
      <c r="AA18" s="3"/>
    </row>
    <row r="19" spans="5:27">
      <c r="E19" s="5">
        <v>8</v>
      </c>
      <c r="F19" s="635" t="s">
        <v>154</v>
      </c>
      <c r="G19" s="636"/>
      <c r="H19" s="636"/>
      <c r="I19" s="637"/>
      <c r="J19" s="257">
        <v>545413141</v>
      </c>
      <c r="K19" s="258"/>
      <c r="L19" s="259"/>
      <c r="M19" s="3" t="s">
        <v>100</v>
      </c>
      <c r="N19" s="5">
        <v>199</v>
      </c>
      <c r="O19" s="3" t="s">
        <v>102</v>
      </c>
      <c r="P19" s="3" t="s">
        <v>13</v>
      </c>
      <c r="Q19" s="20">
        <v>44537</v>
      </c>
      <c r="R19" s="3" t="s">
        <v>14</v>
      </c>
      <c r="S19" s="3" t="s">
        <v>15</v>
      </c>
      <c r="T19" s="1"/>
      <c r="U19" s="3">
        <v>1.43912982</v>
      </c>
      <c r="V19" s="3" t="s">
        <v>59</v>
      </c>
      <c r="W19" s="3"/>
      <c r="X19" s="30" t="s">
        <v>126</v>
      </c>
      <c r="Y19" s="3"/>
      <c r="Z19" s="3" t="s">
        <v>145</v>
      </c>
      <c r="AA19" s="3"/>
    </row>
    <row r="20" spans="5:27">
      <c r="E20" s="5">
        <v>9</v>
      </c>
      <c r="F20" s="635" t="s">
        <v>155</v>
      </c>
      <c r="G20" s="636"/>
      <c r="H20" s="636"/>
      <c r="I20" s="637"/>
      <c r="J20" s="257">
        <v>561030917</v>
      </c>
      <c r="K20" s="258"/>
      <c r="L20" s="259"/>
      <c r="M20" s="3" t="s">
        <v>100</v>
      </c>
      <c r="N20" s="5">
        <v>199</v>
      </c>
      <c r="O20" s="3" t="s">
        <v>102</v>
      </c>
      <c r="P20" s="3" t="s">
        <v>13</v>
      </c>
      <c r="Q20" s="20">
        <v>44537</v>
      </c>
      <c r="R20" s="3" t="s">
        <v>14</v>
      </c>
      <c r="S20" s="3" t="s">
        <v>15</v>
      </c>
      <c r="T20" s="1"/>
      <c r="U20" s="3">
        <v>1.44171172</v>
      </c>
      <c r="V20" s="3" t="s">
        <v>59</v>
      </c>
      <c r="W20" s="3"/>
      <c r="X20" s="30" t="s">
        <v>126</v>
      </c>
      <c r="Y20" s="3"/>
      <c r="Z20" s="3" t="s">
        <v>145</v>
      </c>
      <c r="AA20" s="3"/>
    </row>
    <row r="21" spans="5:27">
      <c r="E21" s="5">
        <v>10</v>
      </c>
      <c r="F21" s="635" t="s">
        <v>156</v>
      </c>
      <c r="G21" s="636"/>
      <c r="H21" s="636"/>
      <c r="I21" s="637"/>
      <c r="J21" s="257">
        <v>566348809</v>
      </c>
      <c r="K21" s="258"/>
      <c r="L21" s="259"/>
      <c r="M21" s="3" t="s">
        <v>100</v>
      </c>
      <c r="N21" s="5">
        <v>199</v>
      </c>
      <c r="O21" s="3" t="s">
        <v>102</v>
      </c>
      <c r="P21" s="3" t="s">
        <v>13</v>
      </c>
      <c r="Q21" s="20">
        <v>44537</v>
      </c>
      <c r="R21" s="3" t="s">
        <v>14</v>
      </c>
      <c r="S21" s="3" t="s">
        <v>15</v>
      </c>
      <c r="T21" s="1"/>
      <c r="U21" s="3">
        <v>1.4417134700000001</v>
      </c>
      <c r="V21" s="3" t="s">
        <v>59</v>
      </c>
      <c r="W21" s="3"/>
      <c r="X21" s="30" t="s">
        <v>126</v>
      </c>
      <c r="Y21" s="3"/>
      <c r="Z21" s="3" t="s">
        <v>145</v>
      </c>
      <c r="AA21" s="3"/>
    </row>
    <row r="22" spans="5:27">
      <c r="E22" s="5">
        <v>11</v>
      </c>
      <c r="F22" s="635" t="s">
        <v>157</v>
      </c>
      <c r="G22" s="636"/>
      <c r="H22" s="636"/>
      <c r="I22" s="637"/>
      <c r="J22" s="257">
        <v>561095921</v>
      </c>
      <c r="K22" s="258"/>
      <c r="L22" s="259"/>
      <c r="M22" s="3" t="s">
        <v>100</v>
      </c>
      <c r="N22" s="5">
        <v>199</v>
      </c>
      <c r="O22" s="3" t="s">
        <v>102</v>
      </c>
      <c r="P22" s="3" t="s">
        <v>13</v>
      </c>
      <c r="Q22" s="20">
        <v>44537</v>
      </c>
      <c r="R22" s="3" t="s">
        <v>14</v>
      </c>
      <c r="S22" s="3" t="s">
        <v>15</v>
      </c>
      <c r="T22" s="1"/>
      <c r="U22" s="3">
        <v>1.44171626</v>
      </c>
      <c r="V22" s="3" t="s">
        <v>59</v>
      </c>
      <c r="W22" s="3"/>
      <c r="X22" s="30" t="s">
        <v>126</v>
      </c>
      <c r="Y22" s="3"/>
      <c r="Z22" s="3" t="s">
        <v>145</v>
      </c>
      <c r="AA22" s="3"/>
    </row>
    <row r="23" spans="5:27">
      <c r="E23" s="5">
        <v>12</v>
      </c>
      <c r="F23" s="635" t="s">
        <v>158</v>
      </c>
      <c r="G23" s="636"/>
      <c r="H23" s="636"/>
      <c r="I23" s="637"/>
      <c r="J23" s="257">
        <v>526210626</v>
      </c>
      <c r="K23" s="258"/>
      <c r="L23" s="259"/>
      <c r="M23" s="3" t="s">
        <v>100</v>
      </c>
      <c r="N23" s="5">
        <v>199</v>
      </c>
      <c r="O23" s="3" t="s">
        <v>102</v>
      </c>
      <c r="P23" s="3" t="s">
        <v>13</v>
      </c>
      <c r="Q23" s="20">
        <v>44537</v>
      </c>
      <c r="R23" s="3" t="s">
        <v>14</v>
      </c>
      <c r="S23" s="3" t="s">
        <v>15</v>
      </c>
      <c r="T23" s="1"/>
      <c r="U23" s="3">
        <v>1.4417323399999999</v>
      </c>
      <c r="V23" s="3" t="s">
        <v>59</v>
      </c>
      <c r="W23" s="3"/>
      <c r="X23" s="30" t="s">
        <v>126</v>
      </c>
      <c r="Y23" s="3"/>
      <c r="Z23" s="3" t="s">
        <v>145</v>
      </c>
      <c r="AA23" s="3"/>
    </row>
    <row r="24" spans="5:27">
      <c r="E24" s="5">
        <v>13</v>
      </c>
      <c r="F24" s="635" t="s">
        <v>170</v>
      </c>
      <c r="G24" s="636"/>
      <c r="H24" s="636"/>
      <c r="I24" s="637"/>
      <c r="J24" s="257">
        <v>508808480</v>
      </c>
      <c r="K24" s="258"/>
      <c r="L24" s="259"/>
      <c r="M24" s="3" t="s">
        <v>100</v>
      </c>
      <c r="N24" s="5">
        <v>199</v>
      </c>
      <c r="O24" s="3" t="s">
        <v>102</v>
      </c>
      <c r="P24" s="3" t="s">
        <v>13</v>
      </c>
      <c r="Q24" s="20">
        <v>44538</v>
      </c>
      <c r="R24" s="3" t="s">
        <v>14</v>
      </c>
      <c r="S24" s="3" t="s">
        <v>15</v>
      </c>
      <c r="T24" s="1"/>
      <c r="U24" s="3">
        <v>1.44208468</v>
      </c>
      <c r="V24" s="3" t="s">
        <v>59</v>
      </c>
      <c r="W24" s="3"/>
      <c r="X24" s="30" t="s">
        <v>126</v>
      </c>
      <c r="Y24" s="3"/>
      <c r="Z24" s="3" t="s">
        <v>145</v>
      </c>
      <c r="AA24" s="3"/>
    </row>
    <row r="25" spans="5:27">
      <c r="E25" s="5">
        <v>14</v>
      </c>
      <c r="F25" s="635" t="s">
        <v>171</v>
      </c>
      <c r="G25" s="636"/>
      <c r="H25" s="636"/>
      <c r="I25" s="637"/>
      <c r="J25" s="257">
        <v>503903016</v>
      </c>
      <c r="K25" s="258"/>
      <c r="L25" s="259"/>
      <c r="M25" s="3" t="s">
        <v>100</v>
      </c>
      <c r="N25" s="5">
        <v>199</v>
      </c>
      <c r="O25" s="3" t="s">
        <v>102</v>
      </c>
      <c r="P25" s="3" t="s">
        <v>13</v>
      </c>
      <c r="Q25" s="20">
        <v>44508</v>
      </c>
      <c r="R25" s="3" t="s">
        <v>14</v>
      </c>
      <c r="S25" s="3" t="s">
        <v>15</v>
      </c>
      <c r="T25" s="1"/>
      <c r="U25" s="3">
        <v>1.44210426</v>
      </c>
      <c r="V25" s="3" t="s">
        <v>59</v>
      </c>
      <c r="W25" s="3"/>
      <c r="X25" s="30" t="s">
        <v>126</v>
      </c>
      <c r="Y25" s="3"/>
      <c r="Z25" s="3" t="s">
        <v>145</v>
      </c>
      <c r="AA25" s="3"/>
    </row>
    <row r="26" spans="5:27">
      <c r="E26" s="5">
        <v>15</v>
      </c>
      <c r="F26" s="635" t="s">
        <v>172</v>
      </c>
      <c r="G26" s="636"/>
      <c r="H26" s="636"/>
      <c r="I26" s="637"/>
      <c r="J26" s="257">
        <v>553342103</v>
      </c>
      <c r="K26" s="258"/>
      <c r="L26" s="259"/>
      <c r="M26" s="3" t="s">
        <v>100</v>
      </c>
      <c r="N26" s="5">
        <v>199</v>
      </c>
      <c r="O26" s="3" t="s">
        <v>102</v>
      </c>
      <c r="P26" s="3" t="s">
        <v>13</v>
      </c>
      <c r="Q26" s="20">
        <v>44508</v>
      </c>
      <c r="R26" s="3" t="s">
        <v>14</v>
      </c>
      <c r="S26" s="3" t="s">
        <v>15</v>
      </c>
      <c r="T26" s="1"/>
      <c r="U26" s="3">
        <v>1.4418670200000001</v>
      </c>
      <c r="V26" s="3" t="s">
        <v>59</v>
      </c>
      <c r="W26" s="3"/>
      <c r="X26" s="30" t="s">
        <v>126</v>
      </c>
      <c r="Y26" s="3"/>
      <c r="Z26" s="3" t="s">
        <v>145</v>
      </c>
      <c r="AA26" s="3"/>
    </row>
    <row r="27" spans="5:27">
      <c r="E27" s="5">
        <v>16</v>
      </c>
      <c r="F27" s="635" t="s">
        <v>173</v>
      </c>
      <c r="G27" s="636"/>
      <c r="H27" s="636"/>
      <c r="I27" s="637"/>
      <c r="J27" s="257">
        <v>529490538</v>
      </c>
      <c r="K27" s="258"/>
      <c r="L27" s="259"/>
      <c r="M27" s="3" t="s">
        <v>100</v>
      </c>
      <c r="N27" s="5">
        <v>199</v>
      </c>
      <c r="O27" s="3" t="s">
        <v>102</v>
      </c>
      <c r="P27" s="3" t="s">
        <v>13</v>
      </c>
      <c r="Q27" s="20">
        <v>44508</v>
      </c>
      <c r="R27" s="3" t="s">
        <v>14</v>
      </c>
      <c r="S27" s="3" t="s">
        <v>15</v>
      </c>
      <c r="T27" s="1"/>
      <c r="U27" s="3">
        <v>1.44211186</v>
      </c>
      <c r="V27" s="3" t="s">
        <v>59</v>
      </c>
      <c r="W27" s="3"/>
      <c r="X27" s="30" t="s">
        <v>126</v>
      </c>
      <c r="Y27" s="3"/>
      <c r="Z27" s="3" t="s">
        <v>145</v>
      </c>
      <c r="AA27" s="3"/>
    </row>
    <row r="28" spans="5:27">
      <c r="E28" s="5">
        <v>17</v>
      </c>
      <c r="F28" s="635" t="s">
        <v>174</v>
      </c>
      <c r="G28" s="636"/>
      <c r="H28" s="636"/>
      <c r="I28" s="637"/>
      <c r="J28" s="257">
        <v>524719684</v>
      </c>
      <c r="K28" s="258"/>
      <c r="L28" s="259"/>
      <c r="M28" s="3" t="s">
        <v>100</v>
      </c>
      <c r="N28" s="5">
        <v>199</v>
      </c>
      <c r="O28" s="3" t="s">
        <v>102</v>
      </c>
      <c r="P28" s="3" t="s">
        <v>13</v>
      </c>
      <c r="Q28" s="20">
        <v>44508</v>
      </c>
      <c r="R28" s="3" t="s">
        <v>14</v>
      </c>
      <c r="S28" s="3" t="s">
        <v>15</v>
      </c>
      <c r="T28" s="1"/>
      <c r="U28" s="28">
        <v>1.3225313700000001</v>
      </c>
      <c r="V28" s="3" t="s">
        <v>59</v>
      </c>
      <c r="W28" s="3"/>
      <c r="X28" s="30" t="s">
        <v>126</v>
      </c>
      <c r="Y28" s="3"/>
      <c r="Z28" s="3" t="s">
        <v>145</v>
      </c>
      <c r="AA28" s="3"/>
    </row>
    <row r="29" spans="5:27">
      <c r="E29" s="5">
        <v>18</v>
      </c>
      <c r="F29" s="635" t="s">
        <v>159</v>
      </c>
      <c r="G29" s="636"/>
      <c r="H29" s="636"/>
      <c r="I29" s="637"/>
      <c r="J29" s="257">
        <v>503525123</v>
      </c>
      <c r="K29" s="258"/>
      <c r="L29" s="259"/>
      <c r="M29" s="3" t="s">
        <v>100</v>
      </c>
      <c r="N29" s="5">
        <v>199</v>
      </c>
      <c r="O29" s="3" t="s">
        <v>12</v>
      </c>
      <c r="P29" s="3" t="s">
        <v>13</v>
      </c>
      <c r="Q29" s="20">
        <v>44538</v>
      </c>
      <c r="R29" s="3" t="s">
        <v>14</v>
      </c>
      <c r="S29" s="3" t="s">
        <v>15</v>
      </c>
      <c r="T29" s="1"/>
      <c r="U29" s="3">
        <v>1.44206955</v>
      </c>
      <c r="V29" s="3" t="s">
        <v>176</v>
      </c>
      <c r="W29" s="3"/>
      <c r="X29" s="30" t="s">
        <v>126</v>
      </c>
      <c r="Y29" s="3"/>
      <c r="Z29" s="3" t="s">
        <v>145</v>
      </c>
      <c r="AA29" s="3"/>
    </row>
    <row r="30" spans="5:27">
      <c r="E30" s="5">
        <v>19</v>
      </c>
      <c r="F30" s="635" t="s">
        <v>160</v>
      </c>
      <c r="G30" s="636"/>
      <c r="H30" s="636"/>
      <c r="I30" s="637"/>
      <c r="J30" s="257">
        <v>566732411</v>
      </c>
      <c r="K30" s="258"/>
      <c r="L30" s="259"/>
      <c r="M30" s="3" t="s">
        <v>100</v>
      </c>
      <c r="N30" s="5">
        <v>199</v>
      </c>
      <c r="O30" s="3" t="s">
        <v>61</v>
      </c>
      <c r="P30" s="3" t="s">
        <v>13</v>
      </c>
      <c r="Q30" s="20">
        <v>44538</v>
      </c>
      <c r="R30" s="3" t="s">
        <v>14</v>
      </c>
      <c r="S30" s="3" t="s">
        <v>15</v>
      </c>
      <c r="T30" s="1"/>
      <c r="U30" s="3">
        <v>1.44194793</v>
      </c>
      <c r="V30" s="3" t="s">
        <v>59</v>
      </c>
      <c r="W30" s="3"/>
      <c r="X30" s="30" t="s">
        <v>126</v>
      </c>
      <c r="Y30" s="3"/>
      <c r="Z30" s="3" t="s">
        <v>145</v>
      </c>
      <c r="AA30" s="3"/>
    </row>
    <row r="31" spans="5:27">
      <c r="E31" s="5">
        <v>20</v>
      </c>
      <c r="F31" s="635" t="s">
        <v>161</v>
      </c>
      <c r="G31" s="636"/>
      <c r="H31" s="636"/>
      <c r="I31" s="637"/>
      <c r="J31" s="257">
        <v>543816741</v>
      </c>
      <c r="K31" s="258"/>
      <c r="L31" s="259"/>
      <c r="M31" s="3" t="s">
        <v>100</v>
      </c>
      <c r="N31" s="5">
        <v>199</v>
      </c>
      <c r="O31" s="3" t="s">
        <v>61</v>
      </c>
      <c r="P31" s="3" t="s">
        <v>13</v>
      </c>
      <c r="Q31" s="20">
        <v>44538</v>
      </c>
      <c r="R31" s="3" t="s">
        <v>14</v>
      </c>
      <c r="S31" s="3" t="s">
        <v>15</v>
      </c>
      <c r="T31" s="1"/>
      <c r="U31" s="3">
        <v>1.4419506</v>
      </c>
      <c r="V31" s="3" t="s">
        <v>59</v>
      </c>
      <c r="W31" s="3"/>
      <c r="X31" s="30" t="s">
        <v>126</v>
      </c>
      <c r="Y31" s="3"/>
      <c r="Z31" s="3" t="s">
        <v>145</v>
      </c>
      <c r="AA31" s="3"/>
    </row>
    <row r="32" spans="5:27">
      <c r="E32" s="5">
        <v>21</v>
      </c>
      <c r="F32" s="635" t="s">
        <v>162</v>
      </c>
      <c r="G32" s="636"/>
      <c r="H32" s="636"/>
      <c r="I32" s="637"/>
      <c r="J32" s="257">
        <v>52403868</v>
      </c>
      <c r="K32" s="258"/>
      <c r="L32" s="259"/>
      <c r="M32" s="3" t="s">
        <v>100</v>
      </c>
      <c r="N32" s="5">
        <v>399</v>
      </c>
      <c r="O32" s="3" t="s">
        <v>61</v>
      </c>
      <c r="P32" s="3" t="s">
        <v>13</v>
      </c>
      <c r="Q32" s="20">
        <v>44538</v>
      </c>
      <c r="R32" s="3" t="s">
        <v>14</v>
      </c>
      <c r="S32" s="3" t="s">
        <v>15</v>
      </c>
      <c r="T32" s="1"/>
      <c r="U32" s="28">
        <v>1.4419527999999999</v>
      </c>
      <c r="V32" s="3" t="s">
        <v>59</v>
      </c>
      <c r="W32" s="3"/>
      <c r="X32" s="30" t="s">
        <v>126</v>
      </c>
      <c r="Y32" s="3"/>
      <c r="Z32" s="3" t="s">
        <v>145</v>
      </c>
      <c r="AA32" s="1"/>
    </row>
    <row r="33" spans="5:27">
      <c r="E33" s="5">
        <v>22</v>
      </c>
      <c r="F33" s="635" t="s">
        <v>163</v>
      </c>
      <c r="G33" s="636"/>
      <c r="H33" s="636"/>
      <c r="I33" s="637"/>
      <c r="J33" s="257">
        <v>566402718</v>
      </c>
      <c r="K33" s="258"/>
      <c r="L33" s="259"/>
      <c r="M33" s="3" t="s">
        <v>100</v>
      </c>
      <c r="N33" s="5">
        <v>199</v>
      </c>
      <c r="O33" s="3" t="s">
        <v>12</v>
      </c>
      <c r="P33" s="3" t="s">
        <v>13</v>
      </c>
      <c r="Q33" s="20">
        <v>44477</v>
      </c>
      <c r="R33" s="3" t="s">
        <v>14</v>
      </c>
      <c r="S33" s="3" t="s">
        <v>15</v>
      </c>
      <c r="T33" s="1"/>
      <c r="U33" s="3">
        <v>1.44193696</v>
      </c>
      <c r="V33" s="3" t="s">
        <v>59</v>
      </c>
      <c r="W33" s="3"/>
      <c r="X33" s="30" t="s">
        <v>126</v>
      </c>
      <c r="Y33" s="3"/>
      <c r="Z33" s="3" t="s">
        <v>145</v>
      </c>
      <c r="AA33" s="1"/>
    </row>
    <row r="34" spans="5:27">
      <c r="E34" s="5">
        <v>23</v>
      </c>
      <c r="F34" s="635" t="s">
        <v>164</v>
      </c>
      <c r="G34" s="636"/>
      <c r="H34" s="636"/>
      <c r="I34" s="637"/>
      <c r="J34" s="257">
        <v>506203802</v>
      </c>
      <c r="K34" s="258"/>
      <c r="L34" s="259"/>
      <c r="M34" s="3" t="s">
        <v>100</v>
      </c>
      <c r="N34" s="5">
        <v>199</v>
      </c>
      <c r="O34" s="3" t="s">
        <v>12</v>
      </c>
      <c r="P34" s="3" t="s">
        <v>13</v>
      </c>
      <c r="Q34" s="20">
        <v>44538</v>
      </c>
      <c r="R34" s="3" t="s">
        <v>14</v>
      </c>
      <c r="S34" s="3" t="s">
        <v>15</v>
      </c>
      <c r="T34" s="41" t="s">
        <v>255</v>
      </c>
      <c r="U34" s="3">
        <v>1.4421304699999999</v>
      </c>
      <c r="V34" s="3" t="s">
        <v>175</v>
      </c>
      <c r="X34" s="30" t="s">
        <v>126</v>
      </c>
      <c r="Y34" s="3"/>
      <c r="Z34" s="3" t="s">
        <v>145</v>
      </c>
      <c r="AA34" s="1"/>
    </row>
    <row r="35" spans="5:27">
      <c r="E35" s="5">
        <v>24</v>
      </c>
      <c r="F35" s="635" t="s">
        <v>165</v>
      </c>
      <c r="G35" s="636"/>
      <c r="H35" s="636"/>
      <c r="I35" s="637"/>
      <c r="J35" s="257">
        <v>501553640</v>
      </c>
      <c r="K35" s="258"/>
      <c r="L35" s="259"/>
      <c r="M35" s="3" t="s">
        <v>100</v>
      </c>
      <c r="N35" s="5">
        <v>199</v>
      </c>
      <c r="O35" s="3" t="s">
        <v>12</v>
      </c>
      <c r="P35" s="3" t="s">
        <v>13</v>
      </c>
      <c r="Q35" s="20">
        <v>44532</v>
      </c>
      <c r="R35" s="3" t="s">
        <v>14</v>
      </c>
      <c r="S35" s="3" t="s">
        <v>15</v>
      </c>
      <c r="T35" s="3"/>
      <c r="U35" s="5">
        <v>1.4407494999999999</v>
      </c>
      <c r="V35" s="3" t="s">
        <v>175</v>
      </c>
      <c r="W35" s="3"/>
      <c r="X35" s="30" t="s">
        <v>127</v>
      </c>
      <c r="Y35" s="3"/>
      <c r="Z35" s="3" t="s">
        <v>145</v>
      </c>
      <c r="AA35" s="1"/>
    </row>
    <row r="36" spans="5:27">
      <c r="E36" s="5">
        <v>25</v>
      </c>
      <c r="F36" s="635" t="s">
        <v>166</v>
      </c>
      <c r="G36" s="636"/>
      <c r="H36" s="636"/>
      <c r="I36" s="637"/>
      <c r="J36" s="257">
        <v>501508249</v>
      </c>
      <c r="K36" s="258"/>
      <c r="L36" s="259"/>
      <c r="M36" s="3" t="s">
        <v>100</v>
      </c>
      <c r="N36" s="5">
        <v>199</v>
      </c>
      <c r="O36" s="3" t="s">
        <v>12</v>
      </c>
      <c r="P36" s="3" t="s">
        <v>13</v>
      </c>
      <c r="Q36" s="20">
        <v>44532</v>
      </c>
      <c r="R36" s="3" t="s">
        <v>14</v>
      </c>
      <c r="S36" s="3" t="s">
        <v>15</v>
      </c>
      <c r="T36" s="3"/>
      <c r="U36" s="5">
        <v>1.3458687499999999</v>
      </c>
      <c r="V36" s="3" t="s">
        <v>176</v>
      </c>
      <c r="W36" s="3"/>
      <c r="X36" s="30" t="s">
        <v>127</v>
      </c>
      <c r="Y36" s="3"/>
      <c r="Z36" s="3" t="s">
        <v>145</v>
      </c>
      <c r="AA36" s="1"/>
    </row>
    <row r="37" spans="5:27">
      <c r="E37" s="5">
        <v>26</v>
      </c>
      <c r="F37" s="635" t="s">
        <v>167</v>
      </c>
      <c r="G37" s="636"/>
      <c r="H37" s="636"/>
      <c r="I37" s="637"/>
      <c r="J37" s="257">
        <v>565762174</v>
      </c>
      <c r="K37" s="258"/>
      <c r="L37" s="259"/>
      <c r="M37" s="3" t="s">
        <v>100</v>
      </c>
      <c r="N37" s="5">
        <v>199</v>
      </c>
      <c r="O37" s="3" t="s">
        <v>12</v>
      </c>
      <c r="P37" s="3" t="s">
        <v>13</v>
      </c>
      <c r="Q37" s="20">
        <v>44532</v>
      </c>
      <c r="R37" s="3" t="s">
        <v>14</v>
      </c>
      <c r="S37" s="3" t="s">
        <v>15</v>
      </c>
      <c r="T37" s="3"/>
      <c r="U37" s="5">
        <v>1.3677815</v>
      </c>
      <c r="V37" s="3" t="s">
        <v>177</v>
      </c>
      <c r="W37" s="3"/>
      <c r="X37" s="30" t="s">
        <v>127</v>
      </c>
      <c r="Y37" s="3"/>
      <c r="Z37" s="3" t="s">
        <v>145</v>
      </c>
      <c r="AA37" s="1"/>
    </row>
    <row r="38" spans="5:27">
      <c r="E38" s="5">
        <v>27</v>
      </c>
      <c r="F38" s="635" t="s">
        <v>168</v>
      </c>
      <c r="G38" s="636"/>
      <c r="H38" s="636"/>
      <c r="I38" s="637"/>
      <c r="J38" s="257">
        <v>561538629</v>
      </c>
      <c r="K38" s="258"/>
      <c r="L38" s="259"/>
      <c r="M38" s="3" t="s">
        <v>100</v>
      </c>
      <c r="N38" s="5">
        <v>199</v>
      </c>
      <c r="O38" s="3" t="s">
        <v>12</v>
      </c>
      <c r="P38" s="3" t="s">
        <v>13</v>
      </c>
      <c r="Q38" s="20">
        <v>44532</v>
      </c>
      <c r="R38" s="3" t="s">
        <v>14</v>
      </c>
      <c r="S38" s="3" t="s">
        <v>15</v>
      </c>
      <c r="T38" s="3"/>
      <c r="U38" s="5">
        <v>1.4413034600000001</v>
      </c>
      <c r="V38" s="3" t="s">
        <v>176</v>
      </c>
      <c r="W38" s="3"/>
      <c r="X38" s="30" t="s">
        <v>127</v>
      </c>
      <c r="Y38" s="3"/>
      <c r="Z38" s="3" t="s">
        <v>145</v>
      </c>
      <c r="AA38" s="1"/>
    </row>
    <row r="39" spans="5:27">
      <c r="E39" s="5">
        <v>28</v>
      </c>
      <c r="F39" s="635" t="s">
        <v>169</v>
      </c>
      <c r="G39" s="636"/>
      <c r="H39" s="636"/>
      <c r="I39" s="637"/>
      <c r="J39" s="257">
        <v>557950003</v>
      </c>
      <c r="K39" s="258"/>
      <c r="L39" s="259"/>
      <c r="M39" s="3" t="s">
        <v>100</v>
      </c>
      <c r="N39" s="5">
        <v>199</v>
      </c>
      <c r="O39" s="3" t="s">
        <v>12</v>
      </c>
      <c r="P39" s="3" t="s">
        <v>13</v>
      </c>
      <c r="Q39" s="20">
        <v>44533</v>
      </c>
      <c r="R39" s="3" t="s">
        <v>14</v>
      </c>
      <c r="S39" s="3" t="s">
        <v>15</v>
      </c>
      <c r="T39" s="3"/>
      <c r="U39" s="5">
        <v>1.4415029100000001</v>
      </c>
      <c r="V39" s="3" t="s">
        <v>176</v>
      </c>
      <c r="W39" s="3"/>
      <c r="X39" s="30" t="s">
        <v>127</v>
      </c>
      <c r="Y39" s="3"/>
      <c r="Z39" s="3" t="s">
        <v>145</v>
      </c>
      <c r="AA39" s="1"/>
    </row>
    <row r="40" spans="5:27">
      <c r="E40" s="5">
        <v>29</v>
      </c>
      <c r="F40" s="635" t="s">
        <v>179</v>
      </c>
      <c r="G40" s="636"/>
      <c r="H40" s="636"/>
      <c r="I40" s="637"/>
      <c r="J40" s="257">
        <v>561386697</v>
      </c>
      <c r="K40" s="258"/>
      <c r="L40" s="259"/>
      <c r="M40" s="3" t="s">
        <v>100</v>
      </c>
      <c r="N40" s="5">
        <v>199</v>
      </c>
      <c r="O40" s="3" t="s">
        <v>12</v>
      </c>
      <c r="P40" s="3" t="s">
        <v>13</v>
      </c>
      <c r="Q40" s="20">
        <v>44539</v>
      </c>
      <c r="R40" s="3" t="s">
        <v>14</v>
      </c>
      <c r="S40" s="3" t="s">
        <v>15</v>
      </c>
      <c r="T40" s="1"/>
      <c r="U40" s="3">
        <v>1.4422986099999999</v>
      </c>
      <c r="V40" s="3" t="s">
        <v>193</v>
      </c>
      <c r="W40" s="3"/>
      <c r="X40" s="30" t="s">
        <v>126</v>
      </c>
      <c r="Y40" s="3"/>
      <c r="Z40" s="3" t="s">
        <v>145</v>
      </c>
      <c r="AA40" s="1"/>
    </row>
    <row r="41" spans="5:27">
      <c r="E41" s="5">
        <v>30</v>
      </c>
      <c r="F41" s="635" t="s">
        <v>180</v>
      </c>
      <c r="G41" s="636"/>
      <c r="H41" s="636"/>
      <c r="I41" s="637"/>
      <c r="J41" s="257">
        <v>523350285</v>
      </c>
      <c r="K41" s="258"/>
      <c r="L41" s="259"/>
      <c r="M41" s="3" t="s">
        <v>100</v>
      </c>
      <c r="N41" s="5">
        <v>199</v>
      </c>
      <c r="O41" s="3" t="s">
        <v>12</v>
      </c>
      <c r="P41" s="3" t="s">
        <v>13</v>
      </c>
      <c r="Q41" s="20">
        <v>44541</v>
      </c>
      <c r="R41" s="3" t="s">
        <v>14</v>
      </c>
      <c r="S41" s="3" t="s">
        <v>15</v>
      </c>
      <c r="T41" s="1"/>
      <c r="U41" s="3">
        <v>1.41044401</v>
      </c>
      <c r="V41" s="3" t="s">
        <v>178</v>
      </c>
      <c r="W41" s="3"/>
      <c r="X41" s="30" t="s">
        <v>126</v>
      </c>
      <c r="Y41" s="3"/>
      <c r="Z41" s="3" t="s">
        <v>145</v>
      </c>
      <c r="AA41" s="1"/>
    </row>
    <row r="42" spans="5:27">
      <c r="E42" s="5">
        <v>31</v>
      </c>
      <c r="F42" s="620" t="s">
        <v>181</v>
      </c>
      <c r="G42" s="620"/>
      <c r="H42" s="620"/>
      <c r="I42" s="620"/>
      <c r="J42" s="1">
        <v>544200515</v>
      </c>
      <c r="K42" s="1"/>
      <c r="L42" s="1"/>
      <c r="M42" s="3" t="s">
        <v>100</v>
      </c>
      <c r="N42" s="5">
        <v>199</v>
      </c>
      <c r="O42" s="3" t="s">
        <v>12</v>
      </c>
      <c r="P42" s="3" t="s">
        <v>13</v>
      </c>
      <c r="Q42" s="20">
        <v>44541</v>
      </c>
      <c r="R42" s="3" t="s">
        <v>14</v>
      </c>
      <c r="S42" s="3" t="s">
        <v>15</v>
      </c>
      <c r="T42" s="1"/>
      <c r="U42" s="3">
        <v>1.44261566</v>
      </c>
      <c r="V42" s="3" t="s">
        <v>193</v>
      </c>
      <c r="W42" s="39" t="s">
        <v>254</v>
      </c>
      <c r="X42" s="30" t="s">
        <v>126</v>
      </c>
      <c r="Y42" s="3"/>
      <c r="Z42" s="3"/>
      <c r="AA42" s="1"/>
    </row>
    <row r="43" spans="5:27">
      <c r="E43" s="5">
        <v>32</v>
      </c>
      <c r="F43" s="620" t="s">
        <v>182</v>
      </c>
      <c r="G43" s="620"/>
      <c r="H43" s="620"/>
      <c r="I43" s="620"/>
      <c r="J43" s="1">
        <v>506704750</v>
      </c>
      <c r="K43" s="1"/>
      <c r="L43" s="1"/>
      <c r="M43" s="3" t="s">
        <v>100</v>
      </c>
      <c r="N43" s="5">
        <v>199</v>
      </c>
      <c r="O43" s="3" t="s">
        <v>12</v>
      </c>
      <c r="P43" s="3" t="s">
        <v>13</v>
      </c>
      <c r="Q43" s="20">
        <v>44541</v>
      </c>
      <c r="R43" s="3" t="s">
        <v>14</v>
      </c>
      <c r="S43" s="3" t="s">
        <v>15</v>
      </c>
      <c r="T43" s="41" t="s">
        <v>255</v>
      </c>
      <c r="U43" s="3">
        <v>1.4428226099999999</v>
      </c>
      <c r="V43" s="3" t="s">
        <v>193</v>
      </c>
      <c r="X43" s="30" t="s">
        <v>126</v>
      </c>
      <c r="Y43" s="3"/>
      <c r="Z43" s="3" t="s">
        <v>145</v>
      </c>
      <c r="AA43" s="1"/>
    </row>
    <row r="44" spans="5:27">
      <c r="E44" s="5">
        <v>33</v>
      </c>
      <c r="F44" s="635" t="s">
        <v>183</v>
      </c>
      <c r="G44" s="636"/>
      <c r="H44" s="636"/>
      <c r="I44" s="637"/>
      <c r="J44" s="257">
        <v>547137372</v>
      </c>
      <c r="K44" s="258"/>
      <c r="L44" s="259"/>
      <c r="M44" s="3" t="s">
        <v>100</v>
      </c>
      <c r="N44" s="5">
        <v>199</v>
      </c>
      <c r="O44" s="3" t="s">
        <v>12</v>
      </c>
      <c r="P44" s="3" t="s">
        <v>13</v>
      </c>
      <c r="Q44" s="20">
        <v>44542</v>
      </c>
      <c r="R44" s="3" t="s">
        <v>14</v>
      </c>
      <c r="S44" s="3" t="s">
        <v>15</v>
      </c>
      <c r="T44" s="3"/>
      <c r="U44" s="3">
        <v>1.4429791300000001</v>
      </c>
      <c r="V44" s="3" t="s">
        <v>59</v>
      </c>
      <c r="X44" s="30" t="s">
        <v>126</v>
      </c>
      <c r="Y44" s="3"/>
      <c r="Z44" s="3" t="s">
        <v>145</v>
      </c>
      <c r="AA44" s="1"/>
    </row>
    <row r="45" spans="5:27">
      <c r="E45" s="5">
        <v>34</v>
      </c>
      <c r="F45" s="635" t="s">
        <v>184</v>
      </c>
      <c r="G45" s="636"/>
      <c r="H45" s="636"/>
      <c r="I45" s="637"/>
      <c r="J45" s="257">
        <v>557131331</v>
      </c>
      <c r="K45" s="258"/>
      <c r="L45" s="259"/>
      <c r="M45" s="3" t="s">
        <v>100</v>
      </c>
      <c r="N45" s="5">
        <v>199</v>
      </c>
      <c r="O45" s="3" t="s">
        <v>102</v>
      </c>
      <c r="P45" s="3" t="s">
        <v>13</v>
      </c>
      <c r="Q45" s="20">
        <v>44542</v>
      </c>
      <c r="R45" s="3" t="s">
        <v>14</v>
      </c>
      <c r="S45" s="3" t="s">
        <v>15</v>
      </c>
      <c r="T45" s="41" t="s">
        <v>255</v>
      </c>
      <c r="U45" s="28">
        <v>1.3319383199999999</v>
      </c>
      <c r="V45" s="3" t="s">
        <v>59</v>
      </c>
      <c r="X45" s="30" t="s">
        <v>126</v>
      </c>
      <c r="Y45" s="3"/>
      <c r="Z45" s="3" t="s">
        <v>145</v>
      </c>
      <c r="AA45" s="1"/>
    </row>
    <row r="46" spans="5:27">
      <c r="E46" s="5">
        <v>35</v>
      </c>
      <c r="F46" s="635" t="s">
        <v>185</v>
      </c>
      <c r="G46" s="636"/>
      <c r="H46" s="636"/>
      <c r="I46" s="637"/>
      <c r="J46" s="257">
        <v>556027757</v>
      </c>
      <c r="K46" s="258"/>
      <c r="L46" s="259"/>
      <c r="M46" s="3" t="s">
        <v>100</v>
      </c>
      <c r="N46" s="5">
        <v>199</v>
      </c>
      <c r="O46" s="3" t="s">
        <v>102</v>
      </c>
      <c r="P46" s="3" t="s">
        <v>13</v>
      </c>
      <c r="Q46" s="20">
        <v>44542</v>
      </c>
      <c r="R46" s="3" t="s">
        <v>14</v>
      </c>
      <c r="S46" s="3" t="s">
        <v>15</v>
      </c>
      <c r="T46" s="1"/>
      <c r="U46" s="3">
        <v>1.4427874000000001</v>
      </c>
      <c r="V46" s="3" t="s">
        <v>59</v>
      </c>
      <c r="W46" s="3"/>
      <c r="X46" s="30" t="s">
        <v>126</v>
      </c>
      <c r="Y46" s="3"/>
      <c r="Z46" s="3" t="s">
        <v>145</v>
      </c>
      <c r="AA46" s="1"/>
    </row>
    <row r="47" spans="5:27">
      <c r="E47" s="5">
        <v>36</v>
      </c>
      <c r="F47" s="635" t="s">
        <v>186</v>
      </c>
      <c r="G47" s="636"/>
      <c r="H47" s="636"/>
      <c r="I47" s="637"/>
      <c r="J47" s="257">
        <v>559596807</v>
      </c>
      <c r="K47" s="258"/>
      <c r="L47" s="259"/>
      <c r="M47" s="3" t="s">
        <v>100</v>
      </c>
      <c r="N47" s="5">
        <v>199</v>
      </c>
      <c r="O47" s="3" t="s">
        <v>102</v>
      </c>
      <c r="P47" s="3" t="s">
        <v>13</v>
      </c>
      <c r="Q47" s="20">
        <v>44542</v>
      </c>
      <c r="R47" s="3" t="s">
        <v>14</v>
      </c>
      <c r="S47" s="3" t="s">
        <v>15</v>
      </c>
      <c r="T47" s="1"/>
      <c r="U47" s="3">
        <v>1.10431155</v>
      </c>
      <c r="V47" s="3" t="s">
        <v>59</v>
      </c>
      <c r="W47" s="3"/>
      <c r="X47" s="30" t="s">
        <v>126</v>
      </c>
      <c r="Y47" s="3"/>
      <c r="Z47" s="3" t="s">
        <v>145</v>
      </c>
      <c r="AA47" s="1"/>
    </row>
    <row r="48" spans="5:27">
      <c r="E48" s="5">
        <v>37</v>
      </c>
      <c r="F48" s="635" t="s">
        <v>187</v>
      </c>
      <c r="G48" s="636"/>
      <c r="H48" s="636"/>
      <c r="I48" s="637"/>
      <c r="J48" s="257">
        <v>564511982</v>
      </c>
      <c r="K48" s="258"/>
      <c r="L48" s="259"/>
      <c r="M48" s="3" t="s">
        <v>100</v>
      </c>
      <c r="N48" s="5">
        <v>199</v>
      </c>
      <c r="O48" s="3" t="s">
        <v>102</v>
      </c>
      <c r="P48" s="3" t="s">
        <v>13</v>
      </c>
      <c r="Q48" s="20">
        <v>44542</v>
      </c>
      <c r="R48" s="3" t="s">
        <v>14</v>
      </c>
      <c r="S48" s="3" t="s">
        <v>15</v>
      </c>
      <c r="T48" s="1"/>
      <c r="U48" s="3">
        <v>1.44279823</v>
      </c>
      <c r="V48" s="3" t="s">
        <v>59</v>
      </c>
      <c r="W48" s="3"/>
      <c r="X48" s="30" t="s">
        <v>126</v>
      </c>
      <c r="Y48" s="3"/>
      <c r="Z48" s="3" t="s">
        <v>145</v>
      </c>
      <c r="AA48" s="1"/>
    </row>
    <row r="49" spans="5:27">
      <c r="E49" s="5">
        <v>38</v>
      </c>
      <c r="F49" s="635" t="s">
        <v>188</v>
      </c>
      <c r="G49" s="636"/>
      <c r="H49" s="636"/>
      <c r="I49" s="637"/>
      <c r="J49" s="257">
        <v>569205373</v>
      </c>
      <c r="K49" s="258"/>
      <c r="L49" s="259"/>
      <c r="M49" s="3" t="s">
        <v>100</v>
      </c>
      <c r="N49" s="5">
        <v>199</v>
      </c>
      <c r="O49" s="3" t="s">
        <v>102</v>
      </c>
      <c r="P49" s="3" t="s">
        <v>13</v>
      </c>
      <c r="Q49" s="20">
        <v>44542</v>
      </c>
      <c r="R49" s="3" t="s">
        <v>14</v>
      </c>
      <c r="S49" s="3" t="s">
        <v>15</v>
      </c>
      <c r="T49" s="1"/>
      <c r="U49" s="3">
        <v>1.4428074799999999</v>
      </c>
      <c r="V49" s="3" t="s">
        <v>59</v>
      </c>
      <c r="W49" s="3"/>
      <c r="X49" s="30" t="s">
        <v>126</v>
      </c>
      <c r="Y49" s="3"/>
      <c r="Z49" s="3" t="s">
        <v>145</v>
      </c>
      <c r="AA49" s="1"/>
    </row>
    <row r="50" spans="5:27">
      <c r="E50" s="5">
        <v>39</v>
      </c>
      <c r="F50" s="635" t="s">
        <v>189</v>
      </c>
      <c r="G50" s="636"/>
      <c r="H50" s="636"/>
      <c r="I50" s="637"/>
      <c r="J50" s="257">
        <v>505637170</v>
      </c>
      <c r="K50" s="258"/>
      <c r="L50" s="259"/>
      <c r="M50" s="3" t="s">
        <v>100</v>
      </c>
      <c r="N50" s="5">
        <v>199</v>
      </c>
      <c r="O50" s="3" t="s">
        <v>12</v>
      </c>
      <c r="P50" s="3" t="s">
        <v>13</v>
      </c>
      <c r="Q50" s="20">
        <v>44542</v>
      </c>
      <c r="R50" s="3" t="s">
        <v>14</v>
      </c>
      <c r="S50" s="3" t="s">
        <v>15</v>
      </c>
      <c r="T50" s="1"/>
      <c r="U50" s="3">
        <v>1.29301201</v>
      </c>
      <c r="V50" s="3" t="s">
        <v>176</v>
      </c>
      <c r="W50" s="3"/>
      <c r="X50" s="30" t="s">
        <v>126</v>
      </c>
      <c r="Y50" s="1"/>
      <c r="Z50" s="3" t="s">
        <v>145</v>
      </c>
      <c r="AA50" s="1"/>
    </row>
    <row r="51" spans="5:27">
      <c r="E51" s="5">
        <v>40</v>
      </c>
      <c r="F51" s="635" t="s">
        <v>190</v>
      </c>
      <c r="G51" s="636"/>
      <c r="H51" s="636"/>
      <c r="I51" s="637"/>
      <c r="J51" s="257">
        <v>559384948</v>
      </c>
      <c r="K51" s="258"/>
      <c r="L51" s="259"/>
      <c r="M51" s="3" t="s">
        <v>100</v>
      </c>
      <c r="N51" s="5">
        <v>199</v>
      </c>
      <c r="O51" s="3" t="s">
        <v>12</v>
      </c>
      <c r="P51" s="3" t="s">
        <v>13</v>
      </c>
      <c r="Q51" s="20">
        <v>44543</v>
      </c>
      <c r="R51" s="3" t="s">
        <v>14</v>
      </c>
      <c r="S51" s="3" t="s">
        <v>15</v>
      </c>
      <c r="T51" s="1"/>
      <c r="U51" s="3">
        <v>1.44313527</v>
      </c>
      <c r="V51" s="3" t="s">
        <v>178</v>
      </c>
      <c r="W51" s="3"/>
      <c r="X51" s="30" t="s">
        <v>126</v>
      </c>
      <c r="Y51" s="3"/>
      <c r="Z51" s="3" t="s">
        <v>145</v>
      </c>
      <c r="AA51" s="3"/>
    </row>
    <row r="52" spans="5:27">
      <c r="E52" s="5">
        <v>41</v>
      </c>
      <c r="F52" s="635" t="s">
        <v>191</v>
      </c>
      <c r="G52" s="636"/>
      <c r="H52" s="636"/>
      <c r="I52" s="637"/>
      <c r="J52" s="257">
        <v>557876905</v>
      </c>
      <c r="K52" s="258"/>
      <c r="L52" s="259"/>
      <c r="M52" s="3" t="s">
        <v>100</v>
      </c>
      <c r="N52" s="3">
        <v>199</v>
      </c>
      <c r="O52" s="3" t="s">
        <v>192</v>
      </c>
      <c r="P52" s="20" t="s">
        <v>13</v>
      </c>
      <c r="Q52" s="20">
        <v>44543</v>
      </c>
      <c r="R52" s="3" t="s">
        <v>14</v>
      </c>
      <c r="S52" s="3" t="s">
        <v>15</v>
      </c>
      <c r="T52" s="1"/>
      <c r="U52" s="3">
        <v>1.4355954099999999</v>
      </c>
      <c r="V52" s="3" t="s">
        <v>59</v>
      </c>
      <c r="W52" s="3"/>
      <c r="X52" s="30" t="s">
        <v>126</v>
      </c>
      <c r="Y52" s="3"/>
      <c r="Z52" s="3" t="s">
        <v>145</v>
      </c>
      <c r="AA52" s="3"/>
    </row>
    <row r="53" spans="5:27">
      <c r="E53" s="5">
        <v>42</v>
      </c>
      <c r="F53" s="635" t="s">
        <v>194</v>
      </c>
      <c r="G53" s="636"/>
      <c r="H53" s="636"/>
      <c r="I53" s="637"/>
      <c r="J53" s="257">
        <v>563931445</v>
      </c>
      <c r="K53" s="258"/>
      <c r="L53" s="259"/>
      <c r="M53" s="3" t="s">
        <v>100</v>
      </c>
      <c r="N53" s="5">
        <v>199</v>
      </c>
      <c r="O53" s="3" t="s">
        <v>12</v>
      </c>
      <c r="P53" s="3" t="s">
        <v>13</v>
      </c>
      <c r="Q53" s="20">
        <v>44544</v>
      </c>
      <c r="R53" s="3" t="s">
        <v>14</v>
      </c>
      <c r="S53" s="3" t="s">
        <v>15</v>
      </c>
      <c r="T53" s="1"/>
      <c r="U53" s="3">
        <v>1.4433609700000001</v>
      </c>
      <c r="V53" s="3" t="s">
        <v>176</v>
      </c>
      <c r="W53" s="3"/>
      <c r="X53" s="29" t="s">
        <v>207</v>
      </c>
      <c r="Y53" s="3"/>
      <c r="Z53" s="3" t="s">
        <v>145</v>
      </c>
      <c r="AA53" s="3"/>
    </row>
    <row r="54" spans="5:27">
      <c r="E54" s="5">
        <v>43</v>
      </c>
      <c r="F54" s="635" t="s">
        <v>195</v>
      </c>
      <c r="G54" s="636"/>
      <c r="H54" s="636"/>
      <c r="I54" s="637"/>
      <c r="J54" s="257">
        <v>501555291</v>
      </c>
      <c r="K54" s="258"/>
      <c r="L54" s="259"/>
      <c r="M54" s="3" t="s">
        <v>100</v>
      </c>
      <c r="N54" s="3">
        <v>199</v>
      </c>
      <c r="O54" s="3" t="s">
        <v>12</v>
      </c>
      <c r="P54" s="20" t="s">
        <v>13</v>
      </c>
      <c r="Q54" s="20">
        <v>44545</v>
      </c>
      <c r="R54" s="3" t="s">
        <v>14</v>
      </c>
      <c r="S54" s="3" t="s">
        <v>15</v>
      </c>
      <c r="T54" s="41" t="s">
        <v>255</v>
      </c>
      <c r="U54" s="5">
        <v>1.4435304200000001</v>
      </c>
      <c r="V54" s="3" t="s">
        <v>175</v>
      </c>
      <c r="X54" s="29" t="s">
        <v>207</v>
      </c>
      <c r="Y54" s="3"/>
      <c r="Z54" s="3" t="s">
        <v>145</v>
      </c>
      <c r="AA54" s="3"/>
    </row>
    <row r="55" spans="5:27">
      <c r="E55" s="5">
        <v>44</v>
      </c>
      <c r="F55" s="635" t="s">
        <v>196</v>
      </c>
      <c r="G55" s="636"/>
      <c r="H55" s="636"/>
      <c r="I55" s="637"/>
      <c r="J55" s="257">
        <v>565592389</v>
      </c>
      <c r="K55" s="258"/>
      <c r="L55" s="259"/>
      <c r="M55" s="3" t="s">
        <v>100</v>
      </c>
      <c r="N55" s="3">
        <v>199</v>
      </c>
      <c r="O55" s="3" t="s">
        <v>102</v>
      </c>
      <c r="P55" s="20" t="s">
        <v>13</v>
      </c>
      <c r="Q55" s="20">
        <v>44545</v>
      </c>
      <c r="R55" s="3" t="s">
        <v>14</v>
      </c>
      <c r="S55" s="3" t="s">
        <v>15</v>
      </c>
      <c r="T55" s="1"/>
      <c r="U55" s="5">
        <v>1.44355137</v>
      </c>
      <c r="V55" s="3" t="s">
        <v>59</v>
      </c>
      <c r="W55" s="3"/>
      <c r="X55" s="29" t="s">
        <v>207</v>
      </c>
      <c r="Y55" s="3"/>
      <c r="Z55" s="3" t="s">
        <v>145</v>
      </c>
      <c r="AA55" s="3"/>
    </row>
    <row r="56" spans="5:27">
      <c r="E56" s="5">
        <v>45</v>
      </c>
      <c r="F56" s="635" t="s">
        <v>197</v>
      </c>
      <c r="G56" s="636"/>
      <c r="H56" s="636"/>
      <c r="I56" s="637"/>
      <c r="J56" s="257">
        <v>547778200</v>
      </c>
      <c r="K56" s="258"/>
      <c r="L56" s="259"/>
      <c r="M56" s="3" t="s">
        <v>100</v>
      </c>
      <c r="N56" s="3">
        <v>199</v>
      </c>
      <c r="O56" s="3" t="s">
        <v>12</v>
      </c>
      <c r="P56" s="20" t="s">
        <v>13</v>
      </c>
      <c r="Q56" s="20">
        <v>44545</v>
      </c>
      <c r="R56" s="3" t="s">
        <v>14</v>
      </c>
      <c r="S56" s="3" t="s">
        <v>15</v>
      </c>
      <c r="T56" s="1"/>
      <c r="U56" s="5">
        <v>1.3010807099999999</v>
      </c>
      <c r="V56" s="3" t="s">
        <v>175</v>
      </c>
      <c r="W56" s="3"/>
      <c r="X56" s="29" t="s">
        <v>207</v>
      </c>
      <c r="Y56" s="3"/>
      <c r="Z56" s="3" t="s">
        <v>145</v>
      </c>
      <c r="AA56" s="3"/>
    </row>
    <row r="57" spans="5:27">
      <c r="E57" s="5">
        <v>46</v>
      </c>
      <c r="F57" s="620" t="s">
        <v>198</v>
      </c>
      <c r="G57" s="620"/>
      <c r="H57" s="620"/>
      <c r="I57" s="620"/>
      <c r="J57" s="1">
        <v>554447289</v>
      </c>
      <c r="K57" s="1"/>
      <c r="L57" s="1"/>
      <c r="M57" s="3" t="s">
        <v>100</v>
      </c>
      <c r="N57" s="3">
        <v>199</v>
      </c>
      <c r="O57" s="3" t="s">
        <v>20</v>
      </c>
      <c r="P57" s="3" t="s">
        <v>13</v>
      </c>
      <c r="Q57" s="20">
        <v>44545</v>
      </c>
      <c r="R57" s="3" t="s">
        <v>14</v>
      </c>
      <c r="S57" s="3" t="s">
        <v>15</v>
      </c>
      <c r="T57" s="1"/>
      <c r="U57" s="3">
        <v>1.4435636999999999</v>
      </c>
      <c r="V57" s="3" t="s">
        <v>178</v>
      </c>
      <c r="W57" s="3"/>
      <c r="X57" s="29" t="s">
        <v>207</v>
      </c>
      <c r="Y57" s="3"/>
      <c r="Z57" s="3" t="s">
        <v>145</v>
      </c>
      <c r="AA57" s="3"/>
    </row>
    <row r="58" spans="5:27">
      <c r="E58" s="5">
        <v>47</v>
      </c>
      <c r="F58" s="620" t="s">
        <v>199</v>
      </c>
      <c r="G58" s="620"/>
      <c r="H58" s="620"/>
      <c r="I58" s="620"/>
      <c r="J58" s="1">
        <v>581168843</v>
      </c>
      <c r="K58" s="1"/>
      <c r="L58" s="1"/>
      <c r="M58" s="3" t="s">
        <v>100</v>
      </c>
      <c r="N58" s="3">
        <v>199</v>
      </c>
      <c r="O58" s="3" t="s">
        <v>20</v>
      </c>
      <c r="P58" s="3" t="s">
        <v>13</v>
      </c>
      <c r="Q58" s="20">
        <v>44545</v>
      </c>
      <c r="R58" s="3" t="s">
        <v>14</v>
      </c>
      <c r="S58" s="3" t="s">
        <v>15</v>
      </c>
      <c r="T58" s="31"/>
      <c r="U58" s="32">
        <v>1.44356763</v>
      </c>
      <c r="V58" s="32" t="s">
        <v>178</v>
      </c>
      <c r="W58" s="3"/>
      <c r="X58" s="33" t="s">
        <v>207</v>
      </c>
      <c r="Y58" s="32"/>
      <c r="Z58" s="3" t="s">
        <v>145</v>
      </c>
      <c r="AA58" s="32"/>
    </row>
    <row r="59" spans="5:27">
      <c r="E59" s="5">
        <v>48</v>
      </c>
      <c r="F59" s="635" t="s">
        <v>200</v>
      </c>
      <c r="G59" s="636"/>
      <c r="H59" s="636"/>
      <c r="I59" s="637"/>
      <c r="J59" s="257">
        <v>555747182</v>
      </c>
      <c r="K59" s="258"/>
      <c r="L59" s="259"/>
      <c r="M59" s="3" t="s">
        <v>100</v>
      </c>
      <c r="N59" s="5">
        <v>199</v>
      </c>
      <c r="O59" s="3" t="s">
        <v>12</v>
      </c>
      <c r="P59" s="3" t="s">
        <v>13</v>
      </c>
      <c r="Q59" s="20">
        <v>44545</v>
      </c>
      <c r="R59" s="3" t="s">
        <v>14</v>
      </c>
      <c r="S59" s="3" t="s">
        <v>15</v>
      </c>
      <c r="T59" s="1"/>
      <c r="U59" s="3">
        <v>1.15809662</v>
      </c>
      <c r="V59" s="3" t="s">
        <v>193</v>
      </c>
      <c r="W59" s="3"/>
      <c r="X59" s="30" t="s">
        <v>207</v>
      </c>
      <c r="Y59" s="3"/>
      <c r="Z59" s="3" t="s">
        <v>145</v>
      </c>
      <c r="AA59" s="3"/>
    </row>
    <row r="60" spans="5:27">
      <c r="E60" s="5">
        <v>49</v>
      </c>
      <c r="F60" s="620" t="s">
        <v>201</v>
      </c>
      <c r="G60" s="620"/>
      <c r="H60" s="620"/>
      <c r="I60" s="620"/>
      <c r="J60" s="1">
        <v>556570684</v>
      </c>
      <c r="K60" s="1"/>
      <c r="L60" s="1"/>
      <c r="M60" s="3" t="s">
        <v>100</v>
      </c>
      <c r="N60" s="5">
        <v>199</v>
      </c>
      <c r="O60" s="3" t="s">
        <v>12</v>
      </c>
      <c r="P60" s="3" t="s">
        <v>13</v>
      </c>
      <c r="Q60" s="20">
        <v>44545</v>
      </c>
      <c r="R60" s="3" t="s">
        <v>14</v>
      </c>
      <c r="S60" s="3" t="s">
        <v>15</v>
      </c>
      <c r="T60" s="1"/>
      <c r="U60" s="3">
        <v>1.44381151</v>
      </c>
      <c r="V60" s="3" t="s">
        <v>178</v>
      </c>
      <c r="W60" s="3"/>
      <c r="X60" s="30" t="s">
        <v>207</v>
      </c>
      <c r="Y60" s="3"/>
      <c r="Z60" s="3" t="s">
        <v>145</v>
      </c>
      <c r="AA60" s="3"/>
    </row>
    <row r="61" spans="5:27">
      <c r="E61" s="5">
        <v>50</v>
      </c>
      <c r="F61" s="620" t="s">
        <v>202</v>
      </c>
      <c r="G61" s="620"/>
      <c r="H61" s="620"/>
      <c r="I61" s="620"/>
      <c r="J61" s="1">
        <v>553641237</v>
      </c>
      <c r="K61" s="1"/>
      <c r="L61" s="1"/>
      <c r="M61" s="3" t="s">
        <v>100</v>
      </c>
      <c r="N61" s="5">
        <v>199</v>
      </c>
      <c r="O61" s="3" t="s">
        <v>12</v>
      </c>
      <c r="P61" s="3" t="s">
        <v>13</v>
      </c>
      <c r="Q61" s="20">
        <v>44546</v>
      </c>
      <c r="R61" s="3" t="s">
        <v>14</v>
      </c>
      <c r="S61" s="3" t="s">
        <v>15</v>
      </c>
      <c r="T61" s="1"/>
      <c r="U61" s="3">
        <v>1.1024634099999999</v>
      </c>
      <c r="V61" s="3" t="s">
        <v>176</v>
      </c>
      <c r="W61" s="3"/>
      <c r="X61" s="30" t="s">
        <v>207</v>
      </c>
      <c r="Y61" s="3"/>
      <c r="Z61" s="3" t="s">
        <v>145</v>
      </c>
      <c r="AA61" s="3"/>
    </row>
    <row r="62" spans="5:27">
      <c r="E62" s="5">
        <v>51</v>
      </c>
      <c r="F62" s="635" t="s">
        <v>203</v>
      </c>
      <c r="G62" s="636"/>
      <c r="H62" s="636"/>
      <c r="I62" s="637"/>
      <c r="J62" s="257">
        <v>568740852</v>
      </c>
      <c r="K62" s="258"/>
      <c r="L62" s="259"/>
      <c r="M62" s="3" t="s">
        <v>100</v>
      </c>
      <c r="N62" s="5">
        <v>199</v>
      </c>
      <c r="O62" s="3" t="s">
        <v>12</v>
      </c>
      <c r="P62" s="3" t="s">
        <v>13</v>
      </c>
      <c r="Q62" s="20">
        <v>44546</v>
      </c>
      <c r="R62" s="3" t="s">
        <v>14</v>
      </c>
      <c r="S62" s="3" t="s">
        <v>15</v>
      </c>
      <c r="T62" s="1"/>
      <c r="U62" s="3">
        <v>1.44399049</v>
      </c>
      <c r="V62" s="3" t="s">
        <v>193</v>
      </c>
      <c r="W62" s="3"/>
      <c r="X62" s="30" t="s">
        <v>207</v>
      </c>
      <c r="Y62" s="3"/>
      <c r="Z62" s="3" t="s">
        <v>145</v>
      </c>
      <c r="AA62" s="3"/>
    </row>
    <row r="63" spans="5:27">
      <c r="E63" s="5">
        <v>52</v>
      </c>
      <c r="F63" s="635" t="s">
        <v>204</v>
      </c>
      <c r="G63" s="636"/>
      <c r="H63" s="636"/>
      <c r="I63" s="637"/>
      <c r="J63" s="257">
        <v>509935007</v>
      </c>
      <c r="K63" s="258"/>
      <c r="L63" s="259"/>
      <c r="M63" s="3" t="s">
        <v>100</v>
      </c>
      <c r="N63" s="5">
        <v>199</v>
      </c>
      <c r="O63" s="3" t="s">
        <v>12</v>
      </c>
      <c r="P63" s="3" t="s">
        <v>13</v>
      </c>
      <c r="Q63" s="20">
        <v>44547</v>
      </c>
      <c r="R63" s="3" t="s">
        <v>14</v>
      </c>
      <c r="S63" s="3" t="s">
        <v>15</v>
      </c>
      <c r="T63" s="1"/>
      <c r="U63" s="3">
        <v>1.44400643</v>
      </c>
      <c r="V63" s="3" t="s">
        <v>193</v>
      </c>
      <c r="W63" s="3"/>
      <c r="X63" s="30" t="s">
        <v>207</v>
      </c>
      <c r="Y63" s="3"/>
      <c r="Z63" s="3" t="s">
        <v>145</v>
      </c>
      <c r="AA63" s="3"/>
    </row>
    <row r="64" spans="5:27">
      <c r="E64" s="5">
        <v>53</v>
      </c>
      <c r="F64" s="635" t="s">
        <v>205</v>
      </c>
      <c r="G64" s="636"/>
      <c r="H64" s="636"/>
      <c r="I64" s="637"/>
      <c r="J64" s="257">
        <v>507178323</v>
      </c>
      <c r="K64" s="258"/>
      <c r="L64" s="259"/>
      <c r="M64" s="3" t="s">
        <v>100</v>
      </c>
      <c r="N64" s="5">
        <v>199</v>
      </c>
      <c r="O64" s="3" t="s">
        <v>12</v>
      </c>
      <c r="P64" s="3" t="s">
        <v>13</v>
      </c>
      <c r="Q64" s="20">
        <v>44547</v>
      </c>
      <c r="R64" s="3" t="s">
        <v>14</v>
      </c>
      <c r="S64" s="3" t="s">
        <v>15</v>
      </c>
      <c r="T64" s="3"/>
      <c r="U64" s="5">
        <v>1.3629210700000001</v>
      </c>
      <c r="V64" s="5" t="s">
        <v>175</v>
      </c>
      <c r="W64" s="3"/>
      <c r="X64" s="30" t="s">
        <v>207</v>
      </c>
      <c r="Y64" s="1"/>
      <c r="Z64" s="3" t="s">
        <v>145</v>
      </c>
      <c r="AA64" s="1"/>
    </row>
    <row r="65" spans="5:27">
      <c r="E65" s="5">
        <v>54</v>
      </c>
      <c r="F65" s="635" t="s">
        <v>206</v>
      </c>
      <c r="G65" s="636"/>
      <c r="H65" s="636"/>
      <c r="I65" s="637"/>
      <c r="J65" s="257">
        <v>507646704</v>
      </c>
      <c r="K65" s="258"/>
      <c r="L65" s="259"/>
      <c r="M65" s="3" t="s">
        <v>100</v>
      </c>
      <c r="N65" s="5">
        <v>199</v>
      </c>
      <c r="O65" s="3" t="s">
        <v>12</v>
      </c>
      <c r="P65" s="3" t="s">
        <v>13</v>
      </c>
      <c r="Q65" s="20">
        <v>44548</v>
      </c>
      <c r="R65" s="3" t="s">
        <v>14</v>
      </c>
      <c r="S65" s="3" t="s">
        <v>15</v>
      </c>
      <c r="T65" s="3"/>
      <c r="U65" s="5">
        <v>1.4441875</v>
      </c>
      <c r="V65" s="5" t="s">
        <v>175</v>
      </c>
      <c r="W65" s="3"/>
      <c r="X65" s="30" t="s">
        <v>207</v>
      </c>
      <c r="Y65" s="1"/>
      <c r="Z65" s="3" t="s">
        <v>145</v>
      </c>
      <c r="AA65" s="1"/>
    </row>
    <row r="66" spans="5:27">
      <c r="E66" s="5">
        <v>55</v>
      </c>
      <c r="F66" s="620" t="s">
        <v>208</v>
      </c>
      <c r="G66" s="620"/>
      <c r="H66" s="620"/>
      <c r="I66" s="620"/>
      <c r="J66" s="1">
        <v>522707080</v>
      </c>
      <c r="K66" s="1"/>
      <c r="L66" s="1"/>
      <c r="M66" s="3" t="s">
        <v>100</v>
      </c>
      <c r="N66" s="5">
        <v>199</v>
      </c>
      <c r="O66" s="3" t="s">
        <v>12</v>
      </c>
      <c r="P66" s="3" t="s">
        <v>13</v>
      </c>
      <c r="Q66" s="20">
        <v>44549</v>
      </c>
      <c r="R66" s="3" t="s">
        <v>14</v>
      </c>
      <c r="S66" s="3" t="s">
        <v>15</v>
      </c>
      <c r="T66" s="1"/>
      <c r="U66" s="3">
        <v>1.1338318300000001</v>
      </c>
      <c r="V66" s="3" t="s">
        <v>176</v>
      </c>
      <c r="W66" s="3"/>
      <c r="X66" s="30" t="s">
        <v>207</v>
      </c>
      <c r="Y66" s="3"/>
      <c r="Z66" s="3" t="s">
        <v>145</v>
      </c>
      <c r="AA66" s="1"/>
    </row>
    <row r="67" spans="5:27">
      <c r="E67" s="5">
        <v>56</v>
      </c>
      <c r="F67" s="635" t="s">
        <v>209</v>
      </c>
      <c r="G67" s="636"/>
      <c r="H67" s="636"/>
      <c r="I67" s="637"/>
      <c r="J67" s="257">
        <v>561033416</v>
      </c>
      <c r="K67" s="258"/>
      <c r="L67" s="259"/>
      <c r="M67" s="3" t="s">
        <v>100</v>
      </c>
      <c r="N67" s="5">
        <v>199</v>
      </c>
      <c r="O67" s="3" t="s">
        <v>12</v>
      </c>
      <c r="P67" s="3" t="s">
        <v>13</v>
      </c>
      <c r="Q67" s="20">
        <v>44549</v>
      </c>
      <c r="R67" s="3" t="s">
        <v>14</v>
      </c>
      <c r="S67" s="3" t="s">
        <v>15</v>
      </c>
      <c r="T67" s="1"/>
      <c r="U67" s="3">
        <v>1.44440539</v>
      </c>
      <c r="V67" s="3" t="s">
        <v>175</v>
      </c>
      <c r="W67" s="3"/>
      <c r="X67" s="30" t="s">
        <v>207</v>
      </c>
      <c r="Y67" s="3"/>
      <c r="Z67" s="3" t="s">
        <v>145</v>
      </c>
      <c r="AA67" s="1"/>
    </row>
    <row r="68" spans="5:27">
      <c r="E68" s="5">
        <v>57</v>
      </c>
      <c r="F68" s="635" t="s">
        <v>210</v>
      </c>
      <c r="G68" s="636"/>
      <c r="H68" s="636"/>
      <c r="I68" s="637"/>
      <c r="J68" s="257">
        <v>582895855</v>
      </c>
      <c r="K68" s="258"/>
      <c r="L68" s="259"/>
      <c r="M68" s="3" t="s">
        <v>98</v>
      </c>
      <c r="N68" s="5">
        <v>399</v>
      </c>
      <c r="O68" s="3" t="s">
        <v>12</v>
      </c>
      <c r="P68" s="3" t="s">
        <v>211</v>
      </c>
      <c r="Q68" s="20">
        <v>44549</v>
      </c>
      <c r="R68" s="3" t="s">
        <v>14</v>
      </c>
      <c r="S68" s="3" t="s">
        <v>15</v>
      </c>
      <c r="T68" s="1"/>
      <c r="U68" s="28">
        <v>6.2039920000000004</v>
      </c>
      <c r="V68" s="3" t="s">
        <v>59</v>
      </c>
      <c r="W68" s="3"/>
      <c r="X68" s="30" t="s">
        <v>207</v>
      </c>
      <c r="Y68" s="3"/>
      <c r="Z68" s="3" t="s">
        <v>145</v>
      </c>
      <c r="AA68" s="1"/>
    </row>
    <row r="69" spans="5:27">
      <c r="E69" s="5">
        <v>58</v>
      </c>
      <c r="F69" s="635" t="s">
        <v>215</v>
      </c>
      <c r="G69" s="636"/>
      <c r="H69" s="636"/>
      <c r="I69" s="637"/>
      <c r="J69" s="257">
        <v>543407194</v>
      </c>
      <c r="K69" s="258"/>
      <c r="L69" s="259"/>
      <c r="M69" s="3" t="s">
        <v>100</v>
      </c>
      <c r="N69" s="5">
        <v>199</v>
      </c>
      <c r="O69" s="3" t="s">
        <v>216</v>
      </c>
      <c r="P69" s="3" t="s">
        <v>13</v>
      </c>
      <c r="Q69" s="20">
        <v>44550</v>
      </c>
      <c r="R69" s="3" t="s">
        <v>14</v>
      </c>
      <c r="S69" s="3" t="s">
        <v>15</v>
      </c>
      <c r="U69" s="3">
        <v>1.44461252</v>
      </c>
      <c r="V69" s="3" t="s">
        <v>176</v>
      </c>
      <c r="W69" s="3"/>
      <c r="X69" s="30" t="s">
        <v>207</v>
      </c>
      <c r="Y69" s="3"/>
      <c r="Z69" s="3" t="s">
        <v>145</v>
      </c>
      <c r="AA69" s="1"/>
    </row>
    <row r="70" spans="5:27">
      <c r="E70" s="5">
        <v>59</v>
      </c>
      <c r="F70" s="639" t="s">
        <v>217</v>
      </c>
      <c r="G70" s="640"/>
      <c r="H70" s="640"/>
      <c r="I70" s="641"/>
      <c r="J70" s="260">
        <v>552434054</v>
      </c>
      <c r="K70" s="261"/>
      <c r="L70" s="262"/>
      <c r="M70" s="35" t="s">
        <v>100</v>
      </c>
      <c r="N70" s="25">
        <v>199</v>
      </c>
      <c r="O70" s="35" t="s">
        <v>12</v>
      </c>
      <c r="P70" s="35" t="s">
        <v>13</v>
      </c>
      <c r="Q70" s="26">
        <v>44551</v>
      </c>
      <c r="R70" s="35" t="s">
        <v>14</v>
      </c>
      <c r="S70" s="35" t="s">
        <v>15</v>
      </c>
      <c r="T70" s="36"/>
      <c r="U70" s="35">
        <v>61617622</v>
      </c>
      <c r="V70" s="3" t="s">
        <v>59</v>
      </c>
      <c r="W70" s="3"/>
      <c r="X70" s="30" t="s">
        <v>207</v>
      </c>
      <c r="Y70" s="3"/>
      <c r="Z70" s="3"/>
      <c r="AA70" s="1"/>
    </row>
    <row r="71" spans="5:27">
      <c r="E71" s="5">
        <v>60</v>
      </c>
      <c r="F71" s="635" t="s">
        <v>218</v>
      </c>
      <c r="G71" s="636"/>
      <c r="H71" s="636"/>
      <c r="I71" s="637"/>
      <c r="J71" s="257">
        <v>567901755</v>
      </c>
      <c r="K71" s="258"/>
      <c r="L71" s="259"/>
      <c r="M71" s="3" t="s">
        <v>100</v>
      </c>
      <c r="N71" s="5">
        <v>199</v>
      </c>
      <c r="O71" s="3" t="s">
        <v>102</v>
      </c>
      <c r="P71" s="3" t="s">
        <v>13</v>
      </c>
      <c r="Q71" s="20">
        <v>44551</v>
      </c>
      <c r="R71" s="3" t="s">
        <v>14</v>
      </c>
      <c r="S71" s="3" t="s">
        <v>15</v>
      </c>
      <c r="T71" s="1"/>
      <c r="U71" s="3">
        <v>1.41413422</v>
      </c>
      <c r="V71" s="3" t="s">
        <v>59</v>
      </c>
      <c r="W71" s="3"/>
      <c r="X71" s="30" t="s">
        <v>207</v>
      </c>
      <c r="Y71" s="3"/>
      <c r="Z71" s="3" t="s">
        <v>145</v>
      </c>
      <c r="AA71" s="1"/>
    </row>
    <row r="72" spans="5:27">
      <c r="E72" s="5">
        <v>61</v>
      </c>
      <c r="F72" s="635" t="s">
        <v>219</v>
      </c>
      <c r="G72" s="636"/>
      <c r="H72" s="636"/>
      <c r="I72" s="637"/>
      <c r="J72" s="257">
        <v>508216831</v>
      </c>
      <c r="K72" s="258"/>
      <c r="L72" s="259"/>
      <c r="M72" s="3" t="s">
        <v>100</v>
      </c>
      <c r="N72" s="5">
        <v>199</v>
      </c>
      <c r="O72" s="3" t="s">
        <v>102</v>
      </c>
      <c r="P72" s="3" t="s">
        <v>13</v>
      </c>
      <c r="Q72" s="20">
        <v>44551</v>
      </c>
      <c r="R72" s="3" t="s">
        <v>14</v>
      </c>
      <c r="S72" s="3" t="s">
        <v>15</v>
      </c>
      <c r="T72" s="41" t="s">
        <v>255</v>
      </c>
      <c r="U72" s="3">
        <v>1.4448194999999999</v>
      </c>
      <c r="V72" s="3" t="s">
        <v>127</v>
      </c>
      <c r="X72" s="30" t="s">
        <v>207</v>
      </c>
      <c r="Y72" s="1"/>
      <c r="Z72" s="3" t="s">
        <v>145</v>
      </c>
      <c r="AA72" s="1"/>
    </row>
    <row r="73" spans="5:27">
      <c r="E73" s="5">
        <v>62</v>
      </c>
      <c r="F73" s="635" t="s">
        <v>220</v>
      </c>
      <c r="G73" s="636"/>
      <c r="H73" s="636"/>
      <c r="I73" s="637"/>
      <c r="J73" s="257">
        <v>589441958</v>
      </c>
      <c r="K73" s="258"/>
      <c r="L73" s="259"/>
      <c r="M73" s="3" t="s">
        <v>100</v>
      </c>
      <c r="N73" s="5">
        <v>199</v>
      </c>
      <c r="O73" s="3" t="s">
        <v>102</v>
      </c>
      <c r="P73" s="3" t="s">
        <v>13</v>
      </c>
      <c r="Q73" s="20">
        <v>44551</v>
      </c>
      <c r="R73" s="3" t="s">
        <v>14</v>
      </c>
      <c r="S73" s="3" t="s">
        <v>15</v>
      </c>
      <c r="T73" s="1"/>
      <c r="U73" s="3">
        <v>1.4448097900000001</v>
      </c>
      <c r="V73" s="3" t="s">
        <v>59</v>
      </c>
      <c r="W73" s="3"/>
      <c r="X73" s="30" t="s">
        <v>207</v>
      </c>
      <c r="Y73" s="3"/>
      <c r="Z73" s="3" t="s">
        <v>145</v>
      </c>
      <c r="AA73" s="3"/>
    </row>
    <row r="74" spans="5:27">
      <c r="E74" s="5">
        <v>63</v>
      </c>
      <c r="F74" s="635" t="s">
        <v>221</v>
      </c>
      <c r="G74" s="636"/>
      <c r="H74" s="636"/>
      <c r="I74" s="637"/>
      <c r="J74" s="257">
        <v>567118585</v>
      </c>
      <c r="K74" s="258"/>
      <c r="L74" s="259"/>
      <c r="M74" s="3" t="s">
        <v>100</v>
      </c>
      <c r="N74" s="5">
        <v>199</v>
      </c>
      <c r="O74" s="3" t="s">
        <v>102</v>
      </c>
      <c r="P74" s="3" t="s">
        <v>13</v>
      </c>
      <c r="Q74" s="20">
        <v>44551</v>
      </c>
      <c r="R74" s="3" t="s">
        <v>14</v>
      </c>
      <c r="S74" s="3" t="s">
        <v>15</v>
      </c>
      <c r="T74" s="1"/>
      <c r="U74" s="3">
        <v>1.40296102</v>
      </c>
      <c r="V74" s="3" t="s">
        <v>59</v>
      </c>
      <c r="W74" s="39" t="s">
        <v>254</v>
      </c>
      <c r="X74" s="30" t="s">
        <v>207</v>
      </c>
      <c r="Y74" s="3"/>
      <c r="Z74" s="3"/>
      <c r="AA74" s="3"/>
    </row>
    <row r="75" spans="5:27">
      <c r="E75" s="5">
        <v>64</v>
      </c>
      <c r="F75" s="635" t="s">
        <v>222</v>
      </c>
      <c r="G75" s="636"/>
      <c r="H75" s="636"/>
      <c r="I75" s="637"/>
      <c r="J75" s="257">
        <v>564336595</v>
      </c>
      <c r="K75" s="258"/>
      <c r="L75" s="259"/>
      <c r="M75" s="3" t="s">
        <v>100</v>
      </c>
      <c r="N75" s="5">
        <v>199</v>
      </c>
      <c r="O75" s="3" t="s">
        <v>102</v>
      </c>
      <c r="P75" s="3" t="s">
        <v>13</v>
      </c>
      <c r="Q75" s="20">
        <v>44551</v>
      </c>
      <c r="R75" s="3" t="s">
        <v>14</v>
      </c>
      <c r="S75" s="3" t="s">
        <v>15</v>
      </c>
      <c r="T75" s="1"/>
      <c r="U75" s="3">
        <v>1.4448730599999999</v>
      </c>
      <c r="V75" s="3" t="s">
        <v>59</v>
      </c>
      <c r="W75" s="3"/>
      <c r="X75" s="30" t="s">
        <v>207</v>
      </c>
      <c r="Y75" s="3"/>
      <c r="Z75" s="3" t="s">
        <v>145</v>
      </c>
      <c r="AA75" s="3"/>
    </row>
    <row r="76" spans="5:27">
      <c r="E76" s="5">
        <v>65</v>
      </c>
      <c r="F76" s="635" t="s">
        <v>223</v>
      </c>
      <c r="G76" s="636"/>
      <c r="H76" s="636"/>
      <c r="I76" s="637"/>
      <c r="J76" s="257">
        <v>561489959</v>
      </c>
      <c r="K76" s="258"/>
      <c r="L76" s="259"/>
      <c r="M76" s="3" t="s">
        <v>100</v>
      </c>
      <c r="N76" s="5">
        <v>199</v>
      </c>
      <c r="O76" s="3" t="s">
        <v>12</v>
      </c>
      <c r="P76" s="3" t="s">
        <v>13</v>
      </c>
      <c r="Q76" s="20">
        <v>44552</v>
      </c>
      <c r="R76" s="3" t="s">
        <v>14</v>
      </c>
      <c r="S76" s="3" t="s">
        <v>15</v>
      </c>
      <c r="T76" s="1"/>
      <c r="U76" s="28">
        <v>1.4448977000000001</v>
      </c>
      <c r="V76" s="3" t="s">
        <v>176</v>
      </c>
      <c r="W76" s="3"/>
      <c r="X76" s="30" t="s">
        <v>207</v>
      </c>
      <c r="Y76" s="3"/>
      <c r="Z76" s="3" t="s">
        <v>145</v>
      </c>
      <c r="AA76" s="3"/>
    </row>
    <row r="77" spans="5:27">
      <c r="E77" s="5">
        <v>66</v>
      </c>
      <c r="F77" s="620" t="s">
        <v>224</v>
      </c>
      <c r="G77" s="620"/>
      <c r="H77" s="620"/>
      <c r="I77" s="620"/>
      <c r="J77" s="1">
        <v>555581805</v>
      </c>
      <c r="K77" s="1"/>
      <c r="L77" s="1"/>
      <c r="M77" s="3" t="s">
        <v>100</v>
      </c>
      <c r="N77" s="5">
        <v>199</v>
      </c>
      <c r="O77" s="3" t="s">
        <v>12</v>
      </c>
      <c r="P77" s="3" t="s">
        <v>13</v>
      </c>
      <c r="Q77" s="20">
        <v>44552</v>
      </c>
      <c r="R77" s="3" t="s">
        <v>14</v>
      </c>
      <c r="S77" s="3" t="s">
        <v>15</v>
      </c>
      <c r="T77" s="1"/>
      <c r="U77" s="3">
        <v>1.4450544400000001</v>
      </c>
      <c r="V77" s="3" t="s">
        <v>178</v>
      </c>
      <c r="W77" s="3"/>
      <c r="X77" s="30" t="s">
        <v>207</v>
      </c>
      <c r="Y77" s="3"/>
      <c r="Z77" s="3" t="s">
        <v>145</v>
      </c>
      <c r="AA77" s="3"/>
    </row>
    <row r="78" spans="5:27">
      <c r="E78" s="5">
        <v>67</v>
      </c>
      <c r="F78" s="620" t="s">
        <v>225</v>
      </c>
      <c r="G78" s="620"/>
      <c r="H78" s="620"/>
      <c r="I78" s="620"/>
      <c r="J78" s="1">
        <v>547131394</v>
      </c>
      <c r="K78" s="1"/>
      <c r="L78" s="1"/>
      <c r="M78" s="3" t="s">
        <v>100</v>
      </c>
      <c r="N78" s="5">
        <v>199</v>
      </c>
      <c r="O78" s="3" t="s">
        <v>12</v>
      </c>
      <c r="P78" s="3" t="s">
        <v>13</v>
      </c>
      <c r="Q78" s="20">
        <v>44552</v>
      </c>
      <c r="R78" s="3" t="s">
        <v>14</v>
      </c>
      <c r="S78" s="3" t="s">
        <v>15</v>
      </c>
      <c r="T78" s="1"/>
      <c r="U78" s="3">
        <v>1.4450696300000001</v>
      </c>
      <c r="V78" s="3" t="s">
        <v>175</v>
      </c>
      <c r="W78" s="3"/>
      <c r="X78" s="30" t="s">
        <v>207</v>
      </c>
      <c r="Y78" s="3"/>
      <c r="Z78" s="3" t="s">
        <v>145</v>
      </c>
      <c r="AA78" s="3"/>
    </row>
    <row r="79" spans="5:27">
      <c r="E79" s="5">
        <v>68</v>
      </c>
      <c r="F79" s="635" t="s">
        <v>226</v>
      </c>
      <c r="G79" s="636"/>
      <c r="H79" s="636"/>
      <c r="I79" s="637"/>
      <c r="J79" s="257">
        <v>522548785</v>
      </c>
      <c r="K79" s="258"/>
      <c r="L79" s="259"/>
      <c r="M79" s="3" t="s">
        <v>100</v>
      </c>
      <c r="N79" s="5">
        <v>199</v>
      </c>
      <c r="O79" s="3" t="s">
        <v>12</v>
      </c>
      <c r="P79" s="3" t="s">
        <v>13</v>
      </c>
      <c r="Q79" s="20">
        <v>44552</v>
      </c>
      <c r="R79" s="3" t="s">
        <v>14</v>
      </c>
      <c r="S79" s="3" t="s">
        <v>15</v>
      </c>
      <c r="T79" s="1"/>
      <c r="U79" s="3">
        <v>1.4452175199999999</v>
      </c>
      <c r="V79" s="3" t="s">
        <v>59</v>
      </c>
      <c r="W79" s="3"/>
      <c r="X79" s="30" t="s">
        <v>207</v>
      </c>
      <c r="Y79" s="3"/>
      <c r="Z79" s="3"/>
      <c r="AA79" s="3"/>
    </row>
    <row r="80" spans="5:27">
      <c r="E80" s="5">
        <v>69</v>
      </c>
      <c r="F80" s="620" t="s">
        <v>227</v>
      </c>
      <c r="G80" s="620"/>
      <c r="H80" s="620"/>
      <c r="I80" s="620"/>
      <c r="J80" s="1">
        <v>509640930</v>
      </c>
      <c r="K80" s="1"/>
      <c r="L80" s="1"/>
      <c r="M80" s="3" t="s">
        <v>100</v>
      </c>
      <c r="N80" s="5">
        <v>199</v>
      </c>
      <c r="O80" s="3" t="s">
        <v>12</v>
      </c>
      <c r="P80" s="3" t="s">
        <v>13</v>
      </c>
      <c r="Q80" s="20">
        <v>44553</v>
      </c>
      <c r="R80" s="3" t="s">
        <v>14</v>
      </c>
      <c r="S80" s="3" t="s">
        <v>15</v>
      </c>
      <c r="T80" s="1"/>
      <c r="U80" s="3">
        <v>1.44522153</v>
      </c>
      <c r="V80" s="3" t="s">
        <v>175</v>
      </c>
      <c r="W80" s="39" t="s">
        <v>254</v>
      </c>
      <c r="X80" s="30" t="s">
        <v>207</v>
      </c>
      <c r="Y80" s="3"/>
      <c r="Z80" s="3"/>
      <c r="AA80" s="3"/>
    </row>
    <row r="81" spans="5:27">
      <c r="E81" s="5">
        <v>70</v>
      </c>
      <c r="F81" s="633" t="s">
        <v>228</v>
      </c>
      <c r="G81" s="633"/>
      <c r="H81" s="633"/>
      <c r="I81" s="633"/>
      <c r="J81" s="36">
        <v>502024173</v>
      </c>
      <c r="K81" s="36"/>
      <c r="L81" s="36"/>
      <c r="M81" s="35" t="s">
        <v>100</v>
      </c>
      <c r="N81" s="25">
        <v>199</v>
      </c>
      <c r="O81" s="35" t="s">
        <v>12</v>
      </c>
      <c r="P81" s="35" t="s">
        <v>13</v>
      </c>
      <c r="Q81" s="26">
        <v>44553</v>
      </c>
      <c r="R81" s="35" t="s">
        <v>14</v>
      </c>
      <c r="S81" s="35" t="s">
        <v>15</v>
      </c>
      <c r="T81" s="36"/>
      <c r="U81" s="35">
        <v>61671297</v>
      </c>
      <c r="V81" s="3" t="s">
        <v>176</v>
      </c>
      <c r="W81" s="3"/>
      <c r="X81" s="30" t="s">
        <v>207</v>
      </c>
      <c r="Y81" s="3"/>
      <c r="Z81" s="3" t="s">
        <v>145</v>
      </c>
      <c r="AA81" s="3"/>
    </row>
    <row r="82" spans="5:27">
      <c r="E82" s="5">
        <v>71</v>
      </c>
      <c r="F82" s="639" t="s">
        <v>229</v>
      </c>
      <c r="G82" s="640"/>
      <c r="H82" s="640"/>
      <c r="I82" s="641"/>
      <c r="J82" s="260">
        <v>555763157</v>
      </c>
      <c r="K82" s="261"/>
      <c r="L82" s="262"/>
      <c r="M82" s="35" t="s">
        <v>100</v>
      </c>
      <c r="N82" s="25">
        <v>199</v>
      </c>
      <c r="O82" s="35" t="s">
        <v>12</v>
      </c>
      <c r="P82" s="35" t="s">
        <v>13</v>
      </c>
      <c r="Q82" s="26">
        <v>44555</v>
      </c>
      <c r="R82" s="35" t="s">
        <v>14</v>
      </c>
      <c r="S82" s="35" t="s">
        <v>15</v>
      </c>
      <c r="T82" s="36"/>
      <c r="U82" s="35">
        <v>61683678</v>
      </c>
      <c r="V82" s="3" t="s">
        <v>176</v>
      </c>
      <c r="W82" s="3"/>
      <c r="X82" s="30" t="s">
        <v>207</v>
      </c>
      <c r="Y82" s="3"/>
      <c r="Z82" s="3" t="s">
        <v>145</v>
      </c>
      <c r="AA82" s="3"/>
    </row>
    <row r="83" spans="5:27">
      <c r="E83" s="5">
        <v>72</v>
      </c>
      <c r="F83" s="639" t="s">
        <v>230</v>
      </c>
      <c r="G83" s="640"/>
      <c r="H83" s="640"/>
      <c r="I83" s="641"/>
      <c r="J83" s="260">
        <v>567732553</v>
      </c>
      <c r="K83" s="261"/>
      <c r="L83" s="262"/>
      <c r="M83" s="35" t="s">
        <v>100</v>
      </c>
      <c r="N83" s="25">
        <v>199</v>
      </c>
      <c r="O83" s="35" t="s">
        <v>12</v>
      </c>
      <c r="P83" s="35" t="s">
        <v>13</v>
      </c>
      <c r="Q83" s="26">
        <v>44555</v>
      </c>
      <c r="R83" s="35" t="s">
        <v>14</v>
      </c>
      <c r="S83" s="35" t="s">
        <v>15</v>
      </c>
      <c r="T83" s="36"/>
      <c r="U83" s="35">
        <v>61691320</v>
      </c>
      <c r="V83" s="34" t="s">
        <v>176</v>
      </c>
      <c r="W83" s="3"/>
      <c r="X83" s="30" t="s">
        <v>207</v>
      </c>
      <c r="Y83" s="34"/>
      <c r="Z83" s="3" t="s">
        <v>145</v>
      </c>
      <c r="AA83" s="34"/>
    </row>
    <row r="84" spans="5:27">
      <c r="E84" s="5">
        <v>73</v>
      </c>
      <c r="F84" s="635" t="s">
        <v>231</v>
      </c>
      <c r="G84" s="636"/>
      <c r="H84" s="636"/>
      <c r="I84" s="637"/>
      <c r="J84" s="257">
        <v>544050012</v>
      </c>
      <c r="K84" s="258"/>
      <c r="L84" s="259"/>
      <c r="M84" s="3" t="s">
        <v>100</v>
      </c>
      <c r="N84" s="5">
        <v>199</v>
      </c>
      <c r="O84" s="3" t="s">
        <v>12</v>
      </c>
      <c r="P84" s="3" t="s">
        <v>13</v>
      </c>
      <c r="Q84" s="20">
        <v>44556</v>
      </c>
      <c r="R84" s="3" t="s">
        <v>14</v>
      </c>
      <c r="S84" s="3" t="s">
        <v>15</v>
      </c>
      <c r="T84" s="1"/>
      <c r="U84" s="28">
        <v>1.44578202</v>
      </c>
      <c r="V84" s="3" t="s">
        <v>175</v>
      </c>
      <c r="W84" s="3"/>
      <c r="X84" s="30" t="s">
        <v>207</v>
      </c>
      <c r="Y84" s="3"/>
      <c r="Z84" s="3" t="s">
        <v>145</v>
      </c>
      <c r="AA84" s="3"/>
    </row>
    <row r="85" spans="5:27">
      <c r="E85" s="5">
        <v>74</v>
      </c>
      <c r="F85" s="635" t="s">
        <v>231</v>
      </c>
      <c r="G85" s="636"/>
      <c r="H85" s="636"/>
      <c r="I85" s="637"/>
      <c r="J85" s="257">
        <v>544050012</v>
      </c>
      <c r="K85" s="258"/>
      <c r="L85" s="259"/>
      <c r="M85" s="3" t="s">
        <v>100</v>
      </c>
      <c r="N85" s="5">
        <v>199</v>
      </c>
      <c r="O85" s="3" t="s">
        <v>12</v>
      </c>
      <c r="P85" s="3" t="s">
        <v>13</v>
      </c>
      <c r="Q85" s="20">
        <v>44556</v>
      </c>
      <c r="R85" s="3" t="s">
        <v>14</v>
      </c>
      <c r="S85" s="3" t="s">
        <v>15</v>
      </c>
      <c r="T85" s="1"/>
      <c r="U85" s="28">
        <v>1.44578202</v>
      </c>
      <c r="V85" s="3" t="s">
        <v>193</v>
      </c>
      <c r="W85" s="3"/>
      <c r="X85" s="30" t="s">
        <v>207</v>
      </c>
      <c r="Y85" s="3"/>
      <c r="Z85" s="3" t="s">
        <v>145</v>
      </c>
      <c r="AA85" s="1"/>
    </row>
    <row r="86" spans="5:27">
      <c r="E86" s="5">
        <v>75</v>
      </c>
      <c r="F86" s="620" t="s">
        <v>232</v>
      </c>
      <c r="G86" s="620"/>
      <c r="H86" s="620"/>
      <c r="I86" s="620"/>
      <c r="J86" s="1">
        <v>561083022</v>
      </c>
      <c r="K86" s="1"/>
      <c r="L86" s="1"/>
      <c r="M86" s="3" t="s">
        <v>100</v>
      </c>
      <c r="N86" s="5">
        <v>199</v>
      </c>
      <c r="O86" s="3" t="s">
        <v>61</v>
      </c>
      <c r="P86" s="3" t="s">
        <v>13</v>
      </c>
      <c r="Q86" s="20">
        <v>44556</v>
      </c>
      <c r="R86" s="3" t="s">
        <v>14</v>
      </c>
      <c r="S86" s="3" t="s">
        <v>15</v>
      </c>
      <c r="T86" s="1"/>
      <c r="U86" s="3">
        <v>1.44557918</v>
      </c>
      <c r="V86" s="3" t="s">
        <v>193</v>
      </c>
      <c r="W86" s="3"/>
      <c r="X86" s="30" t="s">
        <v>207</v>
      </c>
      <c r="Y86" s="3"/>
      <c r="Z86" s="3" t="s">
        <v>145</v>
      </c>
      <c r="AA86" s="1"/>
    </row>
    <row r="87" spans="5:27">
      <c r="E87" s="5">
        <v>76</v>
      </c>
      <c r="F87" s="635" t="s">
        <v>233</v>
      </c>
      <c r="G87" s="636"/>
      <c r="H87" s="636"/>
      <c r="I87" s="637"/>
      <c r="J87" s="257">
        <v>588788006</v>
      </c>
      <c r="K87" s="258"/>
      <c r="L87" s="259"/>
      <c r="M87" s="3" t="s">
        <v>100</v>
      </c>
      <c r="N87" s="5">
        <v>199</v>
      </c>
      <c r="O87" s="3" t="s">
        <v>12</v>
      </c>
      <c r="P87" s="3" t="s">
        <v>13</v>
      </c>
      <c r="Q87" s="20">
        <v>44557</v>
      </c>
      <c r="R87" s="3" t="s">
        <v>14</v>
      </c>
      <c r="S87" s="3" t="s">
        <v>15</v>
      </c>
      <c r="T87" s="41" t="s">
        <v>255</v>
      </c>
      <c r="U87" s="5">
        <v>1.44599492</v>
      </c>
      <c r="V87" s="3" t="s">
        <v>193</v>
      </c>
      <c r="X87" s="30" t="s">
        <v>207</v>
      </c>
      <c r="Y87" s="3"/>
      <c r="Z87" s="3" t="s">
        <v>145</v>
      </c>
      <c r="AA87" s="1"/>
    </row>
    <row r="88" spans="5:27">
      <c r="E88" s="5">
        <v>77</v>
      </c>
      <c r="F88" s="635" t="s">
        <v>234</v>
      </c>
      <c r="G88" s="636"/>
      <c r="H88" s="636"/>
      <c r="I88" s="637"/>
      <c r="J88" s="257">
        <v>504226270</v>
      </c>
      <c r="K88" s="258"/>
      <c r="L88" s="259"/>
      <c r="M88" s="3" t="s">
        <v>100</v>
      </c>
      <c r="N88" s="5">
        <v>199</v>
      </c>
      <c r="O88" s="3" t="s">
        <v>12</v>
      </c>
      <c r="P88" s="3" t="s">
        <v>13</v>
      </c>
      <c r="Q88" s="20">
        <v>44557</v>
      </c>
      <c r="R88" s="3" t="s">
        <v>14</v>
      </c>
      <c r="S88" s="3" t="s">
        <v>15</v>
      </c>
      <c r="T88" s="1"/>
      <c r="U88" s="28">
        <v>1.4460035899999999</v>
      </c>
      <c r="V88" s="3" t="s">
        <v>178</v>
      </c>
      <c r="W88" s="3"/>
      <c r="X88" s="30" t="s">
        <v>207</v>
      </c>
      <c r="Y88" s="3"/>
      <c r="Z88" s="3" t="s">
        <v>145</v>
      </c>
      <c r="AA88" s="1"/>
    </row>
    <row r="89" spans="5:27">
      <c r="E89" s="5">
        <v>78</v>
      </c>
      <c r="F89" s="635" t="s">
        <v>235</v>
      </c>
      <c r="G89" s="636"/>
      <c r="H89" s="636"/>
      <c r="I89" s="637"/>
      <c r="J89" s="257">
        <v>528185930</v>
      </c>
      <c r="K89" s="258"/>
      <c r="L89" s="259"/>
      <c r="M89" s="3" t="s">
        <v>100</v>
      </c>
      <c r="N89" s="5">
        <v>199</v>
      </c>
      <c r="O89" s="3" t="s">
        <v>20</v>
      </c>
      <c r="P89" s="3" t="s">
        <v>13</v>
      </c>
      <c r="Q89" s="20">
        <v>44557</v>
      </c>
      <c r="R89" s="3" t="s">
        <v>14</v>
      </c>
      <c r="S89" s="3" t="s">
        <v>15</v>
      </c>
      <c r="T89" s="1"/>
      <c r="U89" s="28">
        <v>1.44601599</v>
      </c>
      <c r="V89" s="3" t="s">
        <v>59</v>
      </c>
      <c r="W89" s="3"/>
      <c r="X89" s="30" t="s">
        <v>207</v>
      </c>
      <c r="Y89" s="3"/>
      <c r="Z89" s="3"/>
      <c r="AA89" s="1"/>
    </row>
    <row r="90" spans="5:27">
      <c r="E90" s="5">
        <v>79</v>
      </c>
      <c r="F90" s="620" t="s">
        <v>236</v>
      </c>
      <c r="G90" s="620"/>
      <c r="H90" s="620"/>
      <c r="I90" s="620"/>
      <c r="J90" s="1">
        <v>565988569</v>
      </c>
      <c r="K90" s="1"/>
      <c r="L90" s="1"/>
      <c r="M90" s="3" t="s">
        <v>100</v>
      </c>
      <c r="N90" s="5">
        <v>199</v>
      </c>
      <c r="O90" s="3" t="s">
        <v>12</v>
      </c>
      <c r="P90" s="3" t="s">
        <v>13</v>
      </c>
      <c r="Q90" s="20">
        <v>44558</v>
      </c>
      <c r="R90" s="3" t="s">
        <v>14</v>
      </c>
      <c r="S90" s="3" t="s">
        <v>15</v>
      </c>
      <c r="T90" s="1"/>
      <c r="U90" s="3">
        <v>1.4460357800000001</v>
      </c>
      <c r="V90" s="3" t="s">
        <v>59</v>
      </c>
      <c r="W90" s="3"/>
      <c r="X90" s="30" t="s">
        <v>207</v>
      </c>
      <c r="Y90" s="3"/>
      <c r="Z90" s="3"/>
      <c r="AA90" s="1"/>
    </row>
    <row r="91" spans="5:27">
      <c r="E91" s="5">
        <v>80</v>
      </c>
      <c r="F91" s="635" t="s">
        <v>237</v>
      </c>
      <c r="G91" s="636"/>
      <c r="H91" s="636"/>
      <c r="I91" s="637"/>
      <c r="J91" s="257">
        <v>552833535</v>
      </c>
      <c r="K91" s="258"/>
      <c r="L91" s="259"/>
      <c r="M91" s="3" t="s">
        <v>100</v>
      </c>
      <c r="N91" s="5">
        <v>199</v>
      </c>
      <c r="O91" s="3" t="s">
        <v>61</v>
      </c>
      <c r="P91" s="3" t="s">
        <v>13</v>
      </c>
      <c r="Q91" s="20">
        <v>44558</v>
      </c>
      <c r="R91" s="3" t="s">
        <v>14</v>
      </c>
      <c r="S91" s="3" t="s">
        <v>15</v>
      </c>
      <c r="T91" s="1"/>
      <c r="U91" s="28">
        <v>1.44607054</v>
      </c>
      <c r="V91" s="3" t="s">
        <v>178</v>
      </c>
      <c r="W91" s="3"/>
      <c r="X91" s="30" t="s">
        <v>207</v>
      </c>
      <c r="Y91" s="1"/>
      <c r="Z91" s="3" t="s">
        <v>145</v>
      </c>
      <c r="AA91" s="1"/>
    </row>
    <row r="92" spans="5:27">
      <c r="E92" s="5">
        <v>81</v>
      </c>
      <c r="F92" s="635" t="s">
        <v>238</v>
      </c>
      <c r="G92" s="636"/>
      <c r="H92" s="636"/>
      <c r="I92" s="637"/>
      <c r="J92" s="257">
        <v>502486559</v>
      </c>
      <c r="K92" s="258"/>
      <c r="L92" s="259"/>
      <c r="M92" s="3" t="s">
        <v>100</v>
      </c>
      <c r="N92" s="5">
        <v>199</v>
      </c>
      <c r="O92" s="3" t="s">
        <v>12</v>
      </c>
      <c r="P92" s="3" t="s">
        <v>13</v>
      </c>
      <c r="Q92" s="20">
        <v>44558</v>
      </c>
      <c r="R92" s="3" t="s">
        <v>14</v>
      </c>
      <c r="S92" s="3" t="s">
        <v>15</v>
      </c>
      <c r="T92" s="1"/>
      <c r="U92" s="28">
        <v>1.42201047</v>
      </c>
      <c r="V92" s="3" t="s">
        <v>175</v>
      </c>
      <c r="W92" s="3"/>
      <c r="X92" s="30" t="s">
        <v>207</v>
      </c>
      <c r="Y92" s="3"/>
      <c r="Z92" s="3" t="s">
        <v>145</v>
      </c>
      <c r="AA92" s="3"/>
    </row>
    <row r="93" spans="5:27">
      <c r="E93" s="5">
        <v>82</v>
      </c>
      <c r="F93" s="633" t="s">
        <v>239</v>
      </c>
      <c r="G93" s="633"/>
      <c r="H93" s="633"/>
      <c r="I93" s="633"/>
      <c r="J93" s="36">
        <v>504698395</v>
      </c>
      <c r="K93" s="36"/>
      <c r="L93" s="36"/>
      <c r="M93" s="35" t="s">
        <v>100</v>
      </c>
      <c r="N93" s="25">
        <v>199</v>
      </c>
      <c r="O93" s="35" t="s">
        <v>12</v>
      </c>
      <c r="P93" s="35" t="s">
        <v>13</v>
      </c>
      <c r="Q93" s="26">
        <v>44558</v>
      </c>
      <c r="R93" s="35" t="s">
        <v>14</v>
      </c>
      <c r="S93" s="35" t="s">
        <v>15</v>
      </c>
      <c r="T93" s="35"/>
      <c r="U93" s="35">
        <v>61746571</v>
      </c>
      <c r="V93" s="3" t="s">
        <v>178</v>
      </c>
      <c r="W93" s="3"/>
      <c r="X93" s="30" t="s">
        <v>207</v>
      </c>
      <c r="Y93" s="3"/>
      <c r="Z93" s="3" t="s">
        <v>145</v>
      </c>
      <c r="AA93" s="3"/>
    </row>
    <row r="94" spans="5:27">
      <c r="E94" s="5">
        <v>83</v>
      </c>
      <c r="F94" s="639" t="s">
        <v>240</v>
      </c>
      <c r="G94" s="640"/>
      <c r="H94" s="640"/>
      <c r="I94" s="641"/>
      <c r="J94" s="260">
        <v>506778094</v>
      </c>
      <c r="K94" s="261"/>
      <c r="L94" s="262"/>
      <c r="M94" s="35" t="s">
        <v>100</v>
      </c>
      <c r="N94" s="25">
        <v>199</v>
      </c>
      <c r="O94" s="35" t="s">
        <v>12</v>
      </c>
      <c r="P94" s="35" t="s">
        <v>13</v>
      </c>
      <c r="Q94" s="26">
        <v>44559</v>
      </c>
      <c r="R94" s="35" t="s">
        <v>14</v>
      </c>
      <c r="S94" s="35" t="s">
        <v>15</v>
      </c>
      <c r="T94" s="36"/>
      <c r="U94" s="37">
        <v>61749932</v>
      </c>
      <c r="V94" s="3" t="s">
        <v>178</v>
      </c>
      <c r="W94" s="3"/>
      <c r="X94" s="30" t="s">
        <v>207</v>
      </c>
      <c r="Y94" s="3"/>
      <c r="Z94" s="3" t="s">
        <v>145</v>
      </c>
      <c r="AA94" s="3"/>
    </row>
    <row r="95" spans="5:27">
      <c r="E95" s="5">
        <v>84</v>
      </c>
      <c r="F95" s="639" t="s">
        <v>241</v>
      </c>
      <c r="G95" s="640"/>
      <c r="H95" s="640"/>
      <c r="I95" s="641"/>
      <c r="J95" s="260">
        <v>589695216</v>
      </c>
      <c r="K95" s="261"/>
      <c r="L95" s="262"/>
      <c r="M95" s="35" t="s">
        <v>100</v>
      </c>
      <c r="N95" s="25">
        <v>199</v>
      </c>
      <c r="O95" s="35" t="s">
        <v>12</v>
      </c>
      <c r="P95" s="35" t="s">
        <v>13</v>
      </c>
      <c r="Q95" s="26">
        <v>44559</v>
      </c>
      <c r="R95" s="35" t="s">
        <v>14</v>
      </c>
      <c r="S95" s="35" t="s">
        <v>15</v>
      </c>
      <c r="T95" s="36"/>
      <c r="U95" s="37">
        <v>61750971</v>
      </c>
      <c r="V95" s="3" t="s">
        <v>178</v>
      </c>
      <c r="W95" s="3"/>
      <c r="X95" s="30" t="s">
        <v>207</v>
      </c>
      <c r="Y95" s="3"/>
      <c r="Z95" s="3" t="s">
        <v>145</v>
      </c>
      <c r="AA95" s="3"/>
    </row>
    <row r="96" spans="5:27">
      <c r="E96" s="5">
        <v>85</v>
      </c>
      <c r="F96" s="633" t="s">
        <v>242</v>
      </c>
      <c r="G96" s="633"/>
      <c r="H96" s="633"/>
      <c r="I96" s="633"/>
      <c r="J96" s="36">
        <v>504698395</v>
      </c>
      <c r="K96" s="36"/>
      <c r="L96" s="36"/>
      <c r="M96" s="35" t="s">
        <v>100</v>
      </c>
      <c r="N96" s="25">
        <v>199</v>
      </c>
      <c r="O96" s="35" t="s">
        <v>12</v>
      </c>
      <c r="P96" s="35" t="s">
        <v>13</v>
      </c>
      <c r="Q96" s="26">
        <v>44559</v>
      </c>
      <c r="R96" s="35" t="s">
        <v>14</v>
      </c>
      <c r="S96" s="35" t="s">
        <v>15</v>
      </c>
      <c r="T96" s="36"/>
      <c r="U96" s="35">
        <v>61752506</v>
      </c>
      <c r="V96" s="3" t="s">
        <v>176</v>
      </c>
      <c r="W96" s="3"/>
      <c r="X96" s="30" t="s">
        <v>207</v>
      </c>
      <c r="Y96" s="3"/>
      <c r="Z96" s="3" t="s">
        <v>145</v>
      </c>
      <c r="AA96" s="3"/>
    </row>
    <row r="97" spans="5:27">
      <c r="E97" s="5">
        <v>86</v>
      </c>
      <c r="F97" s="639" t="s">
        <v>244</v>
      </c>
      <c r="G97" s="640"/>
      <c r="H97" s="640"/>
      <c r="I97" s="641"/>
      <c r="J97" s="260">
        <v>527027610</v>
      </c>
      <c r="K97" s="261"/>
      <c r="L97" s="262"/>
      <c r="M97" s="35" t="s">
        <v>100</v>
      </c>
      <c r="N97" s="25">
        <v>199</v>
      </c>
      <c r="O97" s="35" t="s">
        <v>12</v>
      </c>
      <c r="P97" s="35" t="s">
        <v>13</v>
      </c>
      <c r="Q97" s="26">
        <v>44560</v>
      </c>
      <c r="R97" s="35" t="s">
        <v>14</v>
      </c>
      <c r="S97" s="35" t="s">
        <v>15</v>
      </c>
      <c r="T97" s="36"/>
      <c r="U97" s="37">
        <v>61756639</v>
      </c>
      <c r="V97" s="3" t="s">
        <v>178</v>
      </c>
      <c r="W97" s="39" t="s">
        <v>254</v>
      </c>
      <c r="X97" s="30" t="s">
        <v>207</v>
      </c>
      <c r="Y97" s="3"/>
      <c r="Z97" s="3"/>
      <c r="AA97" s="3"/>
    </row>
    <row r="98" spans="5:27">
      <c r="E98" s="5">
        <v>87</v>
      </c>
      <c r="F98" s="639" t="s">
        <v>245</v>
      </c>
      <c r="G98" s="640"/>
      <c r="H98" s="640"/>
      <c r="I98" s="641"/>
      <c r="J98" s="260">
        <v>555569921</v>
      </c>
      <c r="K98" s="261"/>
      <c r="L98" s="262"/>
      <c r="M98" s="35" t="s">
        <v>100</v>
      </c>
      <c r="N98" s="25">
        <v>199</v>
      </c>
      <c r="O98" s="35" t="s">
        <v>12</v>
      </c>
      <c r="P98" s="35" t="s">
        <v>13</v>
      </c>
      <c r="Q98" s="26">
        <v>44560</v>
      </c>
      <c r="R98" s="35" t="s">
        <v>14</v>
      </c>
      <c r="S98" s="35" t="s">
        <v>15</v>
      </c>
      <c r="T98" s="36"/>
      <c r="U98" s="37">
        <v>61756931</v>
      </c>
      <c r="V98" s="3" t="s">
        <v>175</v>
      </c>
      <c r="W98" s="39" t="s">
        <v>254</v>
      </c>
      <c r="X98" s="30" t="s">
        <v>207</v>
      </c>
      <c r="Y98" s="3"/>
      <c r="Z98" s="3"/>
      <c r="AA98" s="3"/>
    </row>
    <row r="99" spans="5:27">
      <c r="E99" s="5">
        <v>88</v>
      </c>
      <c r="F99" s="620" t="s">
        <v>246</v>
      </c>
      <c r="G99" s="620"/>
      <c r="H99" s="620"/>
      <c r="I99" s="620"/>
      <c r="J99" s="1">
        <v>506955742</v>
      </c>
      <c r="K99" s="1"/>
      <c r="L99" s="1"/>
      <c r="M99" s="3" t="s">
        <v>100</v>
      </c>
      <c r="N99" s="5">
        <v>199</v>
      </c>
      <c r="O99" s="3" t="s">
        <v>12</v>
      </c>
      <c r="P99" s="3" t="s">
        <v>13</v>
      </c>
      <c r="Q99" s="20">
        <v>44560</v>
      </c>
      <c r="R99" s="3" t="s">
        <v>14</v>
      </c>
      <c r="S99" s="3" t="s">
        <v>15</v>
      </c>
      <c r="T99" s="1"/>
      <c r="U99" s="3" t="s">
        <v>247</v>
      </c>
      <c r="V99" s="3" t="s">
        <v>193</v>
      </c>
      <c r="W99" s="40" t="s">
        <v>254</v>
      </c>
      <c r="X99" s="30" t="s">
        <v>207</v>
      </c>
      <c r="Y99" s="3"/>
      <c r="Z99" s="3"/>
      <c r="AA99" s="3"/>
    </row>
    <row r="100" spans="5:27">
      <c r="E100" s="5">
        <v>89</v>
      </c>
      <c r="F100" s="635" t="s">
        <v>248</v>
      </c>
      <c r="G100" s="636"/>
      <c r="H100" s="636"/>
      <c r="I100" s="637"/>
      <c r="J100" s="257">
        <v>551809717</v>
      </c>
      <c r="K100" s="258"/>
      <c r="L100" s="259"/>
      <c r="M100" s="3" t="s">
        <v>100</v>
      </c>
      <c r="N100" s="5">
        <v>199</v>
      </c>
      <c r="O100" s="3" t="s">
        <v>12</v>
      </c>
      <c r="P100" s="3" t="s">
        <v>13</v>
      </c>
      <c r="Q100" s="20">
        <v>44560</v>
      </c>
      <c r="R100" s="3" t="s">
        <v>14</v>
      </c>
      <c r="S100" s="3" t="s">
        <v>15</v>
      </c>
      <c r="T100" s="1"/>
      <c r="U100" s="28">
        <v>1.44666863</v>
      </c>
      <c r="V100" s="3" t="s">
        <v>193</v>
      </c>
      <c r="W100" s="3"/>
      <c r="X100" s="30" t="s">
        <v>207</v>
      </c>
      <c r="Y100" s="3"/>
      <c r="Z100" s="3" t="s">
        <v>145</v>
      </c>
      <c r="AA100" s="3"/>
    </row>
    <row r="101" spans="5:27">
      <c r="E101" s="5">
        <v>90</v>
      </c>
      <c r="F101" s="635" t="s">
        <v>249</v>
      </c>
      <c r="G101" s="636"/>
      <c r="H101" s="636"/>
      <c r="I101" s="637"/>
      <c r="J101" s="257">
        <v>522656135</v>
      </c>
      <c r="K101" s="258"/>
      <c r="L101" s="259"/>
      <c r="M101" s="3" t="s">
        <v>100</v>
      </c>
      <c r="N101" s="5">
        <v>199</v>
      </c>
      <c r="O101" s="3" t="s">
        <v>12</v>
      </c>
      <c r="P101" s="3" t="s">
        <v>13</v>
      </c>
      <c r="Q101" s="20">
        <v>44560</v>
      </c>
      <c r="R101" s="3" t="s">
        <v>14</v>
      </c>
      <c r="S101" s="3" t="s">
        <v>15</v>
      </c>
      <c r="T101" s="1"/>
      <c r="U101" s="28">
        <v>1.3805244299999999</v>
      </c>
      <c r="V101" s="3" t="s">
        <v>59</v>
      </c>
      <c r="W101" s="3"/>
      <c r="X101" s="30" t="s">
        <v>207</v>
      </c>
      <c r="Y101" s="3"/>
      <c r="Z101" s="3"/>
      <c r="AA101" s="3"/>
    </row>
    <row r="102" spans="5:27">
      <c r="E102" s="5">
        <v>91</v>
      </c>
      <c r="F102" s="633" t="s">
        <v>250</v>
      </c>
      <c r="G102" s="633"/>
      <c r="H102" s="633"/>
      <c r="I102" s="633"/>
      <c r="J102" s="36">
        <v>565980168</v>
      </c>
      <c r="K102" s="36"/>
      <c r="L102" s="36"/>
      <c r="M102" s="35" t="s">
        <v>100</v>
      </c>
      <c r="N102" s="25">
        <v>199</v>
      </c>
      <c r="O102" s="35" t="s">
        <v>12</v>
      </c>
      <c r="P102" s="35" t="s">
        <v>13</v>
      </c>
      <c r="Q102" s="26">
        <v>44559</v>
      </c>
      <c r="R102" s="35" t="s">
        <v>14</v>
      </c>
      <c r="S102" s="35" t="s">
        <v>15</v>
      </c>
      <c r="T102" s="36"/>
      <c r="U102" s="35">
        <v>61768322</v>
      </c>
      <c r="V102" s="3" t="s">
        <v>59</v>
      </c>
      <c r="W102" s="3"/>
      <c r="X102" s="30" t="s">
        <v>207</v>
      </c>
      <c r="Y102" s="3"/>
      <c r="Z102" s="3"/>
      <c r="AA102" s="3"/>
    </row>
    <row r="103" spans="5:27">
      <c r="E103" s="5">
        <v>92</v>
      </c>
      <c r="F103" s="635" t="s">
        <v>251</v>
      </c>
      <c r="G103" s="636"/>
      <c r="H103" s="636"/>
      <c r="I103" s="637"/>
      <c r="J103" s="257">
        <v>504290854</v>
      </c>
      <c r="K103" s="258"/>
      <c r="L103" s="259"/>
      <c r="M103" s="3" t="s">
        <v>100</v>
      </c>
      <c r="N103" s="5">
        <v>199</v>
      </c>
      <c r="O103" s="3" t="s">
        <v>12</v>
      </c>
      <c r="P103" s="3" t="s">
        <v>13</v>
      </c>
      <c r="Q103" s="20">
        <v>44561</v>
      </c>
      <c r="R103" s="3" t="s">
        <v>14</v>
      </c>
      <c r="S103" s="3" t="s">
        <v>15</v>
      </c>
      <c r="T103" s="3" t="s">
        <v>903</v>
      </c>
      <c r="U103" s="28">
        <v>1.4469375</v>
      </c>
      <c r="V103" s="3" t="s">
        <v>176</v>
      </c>
      <c r="W103" s="40" t="s">
        <v>254</v>
      </c>
      <c r="X103" s="30" t="s">
        <v>207</v>
      </c>
      <c r="Y103" s="3"/>
      <c r="Z103" s="3"/>
      <c r="AA103" s="3"/>
    </row>
    <row r="104" spans="5:27">
      <c r="E104" s="5">
        <v>93</v>
      </c>
      <c r="F104" s="639" t="s">
        <v>252</v>
      </c>
      <c r="G104" s="640"/>
      <c r="H104" s="640"/>
      <c r="I104" s="641"/>
      <c r="J104" s="260">
        <v>581037051</v>
      </c>
      <c r="K104" s="261"/>
      <c r="L104" s="262"/>
      <c r="M104" s="35" t="s">
        <v>100</v>
      </c>
      <c r="N104" s="25">
        <v>199</v>
      </c>
      <c r="O104" s="35" t="s">
        <v>12</v>
      </c>
      <c r="P104" s="35" t="s">
        <v>13</v>
      </c>
      <c r="Q104" s="26">
        <v>44561</v>
      </c>
      <c r="R104" s="35" t="s">
        <v>14</v>
      </c>
      <c r="S104" s="35" t="s">
        <v>15</v>
      </c>
      <c r="T104" s="36"/>
      <c r="U104" s="37">
        <v>61785784</v>
      </c>
      <c r="V104" s="3" t="s">
        <v>59</v>
      </c>
      <c r="W104" s="40" t="s">
        <v>254</v>
      </c>
      <c r="X104" s="30" t="s">
        <v>207</v>
      </c>
      <c r="Y104" s="3"/>
      <c r="Z104" s="3"/>
      <c r="AA104" s="1"/>
    </row>
    <row r="105" spans="5:27">
      <c r="E105" s="5"/>
      <c r="F105" s="635"/>
      <c r="G105" s="636"/>
      <c r="H105" s="636"/>
      <c r="I105" s="637"/>
      <c r="J105" s="635"/>
      <c r="K105" s="636"/>
      <c r="L105" s="637"/>
      <c r="M105" s="3"/>
      <c r="N105" s="5"/>
      <c r="O105" s="3"/>
      <c r="P105" s="3"/>
      <c r="Q105" s="20"/>
      <c r="R105" s="3"/>
      <c r="S105" s="3"/>
      <c r="T105" s="1"/>
      <c r="U105" s="28"/>
      <c r="V105" s="3"/>
      <c r="W105" s="3"/>
      <c r="X105" s="30"/>
      <c r="Y105" s="3"/>
      <c r="Z105" s="5"/>
      <c r="AA105" s="1"/>
    </row>
    <row r="106" spans="5:27">
      <c r="E106" s="5"/>
      <c r="F106" s="635"/>
      <c r="G106" s="636"/>
      <c r="H106" s="636"/>
      <c r="I106" s="637"/>
      <c r="J106" s="635"/>
      <c r="K106" s="636"/>
      <c r="L106" s="637"/>
      <c r="M106" s="3"/>
      <c r="N106" s="5"/>
      <c r="O106" s="3"/>
      <c r="P106" s="3"/>
      <c r="Q106" s="20"/>
      <c r="R106" s="3"/>
      <c r="S106" s="3"/>
      <c r="T106" s="1"/>
      <c r="U106" s="3"/>
      <c r="V106" s="3"/>
      <c r="W106" s="3"/>
      <c r="X106" s="30"/>
      <c r="Y106" s="3"/>
      <c r="Z106" s="5"/>
      <c r="AA106" s="1"/>
    </row>
    <row r="107" spans="5:27">
      <c r="E107" s="5"/>
      <c r="F107" s="635"/>
      <c r="G107" s="636"/>
      <c r="H107" s="636"/>
      <c r="I107" s="637"/>
      <c r="J107" s="635"/>
      <c r="K107" s="636"/>
      <c r="L107" s="637"/>
      <c r="M107" s="3"/>
      <c r="N107" s="5"/>
      <c r="O107" s="3"/>
      <c r="P107" s="3"/>
      <c r="Q107" s="20"/>
      <c r="R107" s="3"/>
      <c r="S107" s="3"/>
      <c r="T107" s="1"/>
      <c r="U107" s="3"/>
      <c r="V107" s="3"/>
      <c r="W107" s="3"/>
      <c r="X107" s="30"/>
      <c r="Y107" s="3"/>
      <c r="Z107" s="5"/>
      <c r="AA107" s="1"/>
    </row>
    <row r="108" spans="5:27">
      <c r="E108" s="5"/>
      <c r="F108" s="635"/>
      <c r="G108" s="636"/>
      <c r="H108" s="636"/>
      <c r="I108" s="637"/>
      <c r="J108" s="635"/>
      <c r="K108" s="636"/>
      <c r="L108" s="637"/>
      <c r="M108" s="3"/>
      <c r="N108" s="5"/>
      <c r="O108" s="3"/>
      <c r="P108" s="3"/>
      <c r="Q108" s="20"/>
      <c r="R108" s="3"/>
      <c r="S108" s="3"/>
      <c r="T108" s="1"/>
      <c r="U108" s="3"/>
      <c r="V108" s="3"/>
      <c r="W108" s="3"/>
      <c r="X108" s="30"/>
      <c r="Y108" s="3"/>
      <c r="Z108" s="5"/>
      <c r="AA108" s="1"/>
    </row>
    <row r="109" spans="5:27">
      <c r="E109" s="5"/>
      <c r="F109" s="635"/>
      <c r="G109" s="636"/>
      <c r="H109" s="636"/>
      <c r="I109" s="637"/>
      <c r="J109" s="635"/>
      <c r="K109" s="636"/>
      <c r="L109" s="637"/>
      <c r="M109" s="3"/>
      <c r="N109" s="5"/>
      <c r="O109" s="3"/>
      <c r="P109" s="3"/>
      <c r="Q109" s="20"/>
      <c r="R109" s="3"/>
      <c r="S109" s="3"/>
      <c r="T109" s="1"/>
      <c r="U109" s="3"/>
      <c r="V109" s="3"/>
      <c r="W109" s="3"/>
      <c r="X109" s="30"/>
      <c r="Y109" s="3"/>
      <c r="Z109" s="5"/>
      <c r="AA109" s="1"/>
    </row>
    <row r="110" spans="5:27">
      <c r="E110" s="5"/>
      <c r="F110" s="635"/>
      <c r="G110" s="636"/>
      <c r="H110" s="636"/>
      <c r="I110" s="637"/>
      <c r="J110" s="635"/>
      <c r="K110" s="636"/>
      <c r="L110" s="637"/>
      <c r="M110" s="3"/>
      <c r="N110" s="5"/>
      <c r="O110" s="3"/>
      <c r="P110" s="3"/>
      <c r="Q110" s="20"/>
      <c r="R110" s="3"/>
      <c r="S110" s="3"/>
      <c r="T110" s="1"/>
      <c r="U110" s="3"/>
      <c r="V110" s="3"/>
      <c r="W110" s="3"/>
      <c r="X110" s="30"/>
      <c r="Y110" s="1"/>
      <c r="Z110" s="5"/>
      <c r="AA110" s="1"/>
    </row>
    <row r="111" spans="5:27">
      <c r="E111" s="5"/>
      <c r="F111" s="635"/>
      <c r="G111" s="636"/>
      <c r="H111" s="636"/>
      <c r="I111" s="637"/>
      <c r="J111" s="635"/>
      <c r="K111" s="636"/>
      <c r="L111" s="637"/>
      <c r="M111" s="3"/>
      <c r="N111" s="5"/>
      <c r="O111" s="3"/>
      <c r="P111" s="3"/>
      <c r="Q111" s="20"/>
      <c r="R111" s="3"/>
      <c r="S111" s="3"/>
      <c r="T111" s="1"/>
      <c r="U111" s="3"/>
      <c r="V111" s="3"/>
      <c r="W111" s="3"/>
      <c r="X111" s="30"/>
      <c r="Y111" s="3"/>
      <c r="Z111" s="5"/>
      <c r="AA111" s="3"/>
    </row>
    <row r="112" spans="5:27">
      <c r="E112" s="5"/>
      <c r="F112" s="635"/>
      <c r="G112" s="636"/>
      <c r="H112" s="636"/>
      <c r="I112" s="637"/>
      <c r="J112" s="635"/>
      <c r="K112" s="636"/>
      <c r="L112" s="637"/>
      <c r="M112" s="3"/>
      <c r="N112" s="3"/>
      <c r="O112" s="3"/>
      <c r="P112" s="20"/>
      <c r="Q112" s="20"/>
      <c r="R112" s="3"/>
      <c r="S112" s="3"/>
      <c r="T112" s="1"/>
      <c r="U112" s="3"/>
      <c r="V112" s="3"/>
      <c r="W112" s="3"/>
      <c r="X112" s="30"/>
      <c r="Y112" s="3"/>
      <c r="Z112" s="5"/>
      <c r="AA112" s="3"/>
    </row>
    <row r="115" spans="18:24">
      <c r="R115" s="638"/>
      <c r="S115" s="638"/>
    </row>
    <row r="116" spans="18:24" ht="21">
      <c r="R116" s="638"/>
      <c r="S116" s="638"/>
      <c r="V116" s="47" t="s">
        <v>294</v>
      </c>
    </row>
    <row r="118" spans="18:24">
      <c r="W118" s="45"/>
    </row>
    <row r="119" spans="18:24" ht="18.5">
      <c r="V119" s="48" t="s">
        <v>295</v>
      </c>
      <c r="W119" s="634" t="s">
        <v>297</v>
      </c>
      <c r="X119" s="634"/>
    </row>
    <row r="120" spans="18:24" ht="18.5">
      <c r="V120" s="48" t="s">
        <v>296</v>
      </c>
      <c r="W120" s="46" t="s">
        <v>298</v>
      </c>
    </row>
    <row r="121" spans="18:24" ht="18.5">
      <c r="V121" s="46" t="s">
        <v>300</v>
      </c>
      <c r="W121" s="46" t="s">
        <v>299</v>
      </c>
    </row>
  </sheetData>
  <autoFilter ref="F11:W104" xr:uid="{00000000-0009-0000-0000-000002000000}">
    <filterColumn colId="0" showButton="0"/>
    <filterColumn colId="1" showButton="0"/>
    <filterColumn colId="2" showButton="0"/>
    <filterColumn colId="4" showButton="0"/>
    <filterColumn colId="5" showButton="0"/>
  </autoFilter>
  <mergeCells count="114">
    <mergeCell ref="F33:I33"/>
    <mergeCell ref="F36:I36"/>
    <mergeCell ref="F26:I26"/>
    <mergeCell ref="F37:I37"/>
    <mergeCell ref="F31:I31"/>
    <mergeCell ref="F24:I24"/>
    <mergeCell ref="F27:I27"/>
    <mergeCell ref="F23:I23"/>
    <mergeCell ref="F18:I18"/>
    <mergeCell ref="F19:I19"/>
    <mergeCell ref="F20:I20"/>
    <mergeCell ref="F35:I35"/>
    <mergeCell ref="F28:I28"/>
    <mergeCell ref="F25:I25"/>
    <mergeCell ref="F34:I34"/>
    <mergeCell ref="F29:I29"/>
    <mergeCell ref="F30:I30"/>
    <mergeCell ref="F32:I32"/>
    <mergeCell ref="F8:AA10"/>
    <mergeCell ref="F21:I21"/>
    <mergeCell ref="F22:I22"/>
    <mergeCell ref="F13:I13"/>
    <mergeCell ref="F14:I14"/>
    <mergeCell ref="F15:I15"/>
    <mergeCell ref="F16:I16"/>
    <mergeCell ref="F17:I17"/>
    <mergeCell ref="F11:I11"/>
    <mergeCell ref="J11:L11"/>
    <mergeCell ref="F12:I12"/>
    <mergeCell ref="F44:I44"/>
    <mergeCell ref="F45:I45"/>
    <mergeCell ref="F46:I46"/>
    <mergeCell ref="F41:I41"/>
    <mergeCell ref="F42:I42"/>
    <mergeCell ref="F43:I43"/>
    <mergeCell ref="F38:I38"/>
    <mergeCell ref="F39:I39"/>
    <mergeCell ref="F40:I40"/>
    <mergeCell ref="F55:I55"/>
    <mergeCell ref="F50:I50"/>
    <mergeCell ref="F51:I51"/>
    <mergeCell ref="F52:I52"/>
    <mergeCell ref="F53:I53"/>
    <mergeCell ref="F54:I54"/>
    <mergeCell ref="F47:I47"/>
    <mergeCell ref="F48:I48"/>
    <mergeCell ref="F49:I49"/>
    <mergeCell ref="F70:I70"/>
    <mergeCell ref="F71:I71"/>
    <mergeCell ref="F72:I72"/>
    <mergeCell ref="F73:I73"/>
    <mergeCell ref="F74:I74"/>
    <mergeCell ref="F59:I59"/>
    <mergeCell ref="F60:I60"/>
    <mergeCell ref="F61:I61"/>
    <mergeCell ref="F56:I56"/>
    <mergeCell ref="F57:I57"/>
    <mergeCell ref="F58:I58"/>
    <mergeCell ref="F69:I69"/>
    <mergeCell ref="F64:I64"/>
    <mergeCell ref="F65:I65"/>
    <mergeCell ref="F66:I66"/>
    <mergeCell ref="F62:I62"/>
    <mergeCell ref="F63:I63"/>
    <mergeCell ref="F67:I67"/>
    <mergeCell ref="F68:I68"/>
    <mergeCell ref="F80:I80"/>
    <mergeCell ref="F81:I81"/>
    <mergeCell ref="F82:I82"/>
    <mergeCell ref="F83:I83"/>
    <mergeCell ref="F84:I84"/>
    <mergeCell ref="F75:I75"/>
    <mergeCell ref="F76:I76"/>
    <mergeCell ref="F77:I77"/>
    <mergeCell ref="F78:I78"/>
    <mergeCell ref="F79:I79"/>
    <mergeCell ref="F90:I90"/>
    <mergeCell ref="F91:I91"/>
    <mergeCell ref="F92:I92"/>
    <mergeCell ref="F93:I93"/>
    <mergeCell ref="F94:I94"/>
    <mergeCell ref="F85:I85"/>
    <mergeCell ref="F86:I86"/>
    <mergeCell ref="F87:I87"/>
    <mergeCell ref="F88:I88"/>
    <mergeCell ref="F89:I89"/>
    <mergeCell ref="F100:I100"/>
    <mergeCell ref="F101:I101"/>
    <mergeCell ref="F102:I102"/>
    <mergeCell ref="F103:I103"/>
    <mergeCell ref="F104:I104"/>
    <mergeCell ref="F95:I95"/>
    <mergeCell ref="F96:I96"/>
    <mergeCell ref="F97:I97"/>
    <mergeCell ref="F98:I98"/>
    <mergeCell ref="F99:I99"/>
    <mergeCell ref="W119:X119"/>
    <mergeCell ref="F110:I110"/>
    <mergeCell ref="J110:L110"/>
    <mergeCell ref="F111:I111"/>
    <mergeCell ref="J111:L111"/>
    <mergeCell ref="F112:I112"/>
    <mergeCell ref="J112:L112"/>
    <mergeCell ref="F105:I105"/>
    <mergeCell ref="J105:L105"/>
    <mergeCell ref="F106:I106"/>
    <mergeCell ref="J106:L106"/>
    <mergeCell ref="F107:I107"/>
    <mergeCell ref="J107:L107"/>
    <mergeCell ref="F108:I108"/>
    <mergeCell ref="J108:L108"/>
    <mergeCell ref="F109:I109"/>
    <mergeCell ref="J109:L109"/>
    <mergeCell ref="R115:S116"/>
  </mergeCells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3:W106"/>
  <sheetViews>
    <sheetView topLeftCell="A42" zoomScale="85" zoomScaleNormal="85" workbookViewId="0">
      <selection activeCell="I7" sqref="I7:I66"/>
    </sheetView>
  </sheetViews>
  <sheetFormatPr defaultRowHeight="14.5"/>
  <cols>
    <col min="9" max="9" width="10.54296875" bestFit="1" customWidth="1"/>
    <col min="12" max="12" width="16.54296875" bestFit="1" customWidth="1"/>
    <col min="13" max="13" width="14.1796875" bestFit="1" customWidth="1"/>
    <col min="14" max="14" width="12.453125" bestFit="1" customWidth="1"/>
    <col min="15" max="15" width="15.81640625" bestFit="1" customWidth="1"/>
    <col min="16" max="16" width="16.54296875" bestFit="1" customWidth="1"/>
    <col min="17" max="17" width="33.453125" bestFit="1" customWidth="1"/>
    <col min="18" max="18" width="25.54296875" bestFit="1" customWidth="1"/>
    <col min="19" max="19" width="13.54296875" bestFit="1" customWidth="1"/>
    <col min="20" max="20" width="13" bestFit="1" customWidth="1"/>
    <col min="21" max="21" width="16.1796875" bestFit="1" customWidth="1"/>
    <col min="22" max="22" width="11.453125" bestFit="1" customWidth="1"/>
  </cols>
  <sheetData>
    <row r="3" spans="4:23" ht="14.5" customHeight="1">
      <c r="D3" s="678" t="s">
        <v>40</v>
      </c>
      <c r="E3" s="679"/>
      <c r="F3" s="679"/>
      <c r="G3" s="679"/>
      <c r="H3" s="679"/>
      <c r="I3" s="679"/>
      <c r="J3" s="679"/>
      <c r="K3" s="679"/>
      <c r="L3" s="679"/>
      <c r="M3" s="679"/>
      <c r="N3" s="679"/>
      <c r="O3" s="679"/>
      <c r="P3" s="679"/>
      <c r="Q3" s="679"/>
      <c r="R3" s="679"/>
      <c r="S3" s="679"/>
      <c r="T3" s="679"/>
      <c r="U3" s="679"/>
      <c r="V3" s="679"/>
      <c r="W3" s="680"/>
    </row>
    <row r="4" spans="4:23" ht="14.5" customHeight="1">
      <c r="D4" s="681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2"/>
      <c r="Q4" s="682"/>
      <c r="R4" s="682"/>
      <c r="S4" s="682"/>
      <c r="T4" s="682"/>
      <c r="U4" s="682"/>
      <c r="V4" s="682"/>
      <c r="W4" s="683"/>
    </row>
    <row r="5" spans="4:23" ht="14.5" customHeight="1">
      <c r="D5" s="684"/>
      <c r="E5" s="685"/>
      <c r="F5" s="685"/>
      <c r="G5" s="685"/>
      <c r="H5" s="685"/>
      <c r="I5" s="685"/>
      <c r="J5" s="685"/>
      <c r="K5" s="685"/>
      <c r="L5" s="685"/>
      <c r="M5" s="685"/>
      <c r="N5" s="685"/>
      <c r="O5" s="685"/>
      <c r="P5" s="685"/>
      <c r="Q5" s="685"/>
      <c r="R5" s="685"/>
      <c r="S5" s="685"/>
      <c r="T5" s="685"/>
      <c r="U5" s="685"/>
      <c r="V5" s="685"/>
      <c r="W5" s="686"/>
    </row>
    <row r="6" spans="4:23" ht="15.5">
      <c r="D6" s="2" t="s">
        <v>0</v>
      </c>
      <c r="E6" s="642" t="s">
        <v>1</v>
      </c>
      <c r="F6" s="642"/>
      <c r="G6" s="642"/>
      <c r="H6" s="642"/>
      <c r="I6" s="642" t="s">
        <v>2</v>
      </c>
      <c r="J6" s="642"/>
      <c r="K6" s="642"/>
      <c r="L6" s="38" t="s">
        <v>128</v>
      </c>
      <c r="M6" s="38" t="s">
        <v>3</v>
      </c>
      <c r="N6" s="38" t="s">
        <v>4</v>
      </c>
      <c r="O6" s="38" t="s">
        <v>6</v>
      </c>
      <c r="P6" s="38" t="s">
        <v>8</v>
      </c>
      <c r="Q6" s="38" t="s">
        <v>9</v>
      </c>
      <c r="R6" s="38" t="s">
        <v>10</v>
      </c>
      <c r="S6" s="44" t="s">
        <v>293</v>
      </c>
      <c r="T6" s="38" t="s">
        <v>321</v>
      </c>
      <c r="U6" s="44" t="s">
        <v>327</v>
      </c>
      <c r="V6" s="38" t="s">
        <v>243</v>
      </c>
      <c r="W6" s="3"/>
    </row>
    <row r="7" spans="4:23">
      <c r="D7" s="5">
        <v>1</v>
      </c>
      <c r="E7" s="643" t="s">
        <v>256</v>
      </c>
      <c r="F7" s="643"/>
      <c r="G7" s="643"/>
      <c r="H7" s="643"/>
      <c r="I7" s="64">
        <v>563214092</v>
      </c>
      <c r="J7" s="64"/>
      <c r="K7" s="64"/>
      <c r="L7" s="5" t="s">
        <v>100</v>
      </c>
      <c r="M7" s="5">
        <v>199</v>
      </c>
      <c r="N7" s="5" t="s">
        <v>12</v>
      </c>
      <c r="O7" s="42">
        <v>44563</v>
      </c>
      <c r="P7" s="5" t="s">
        <v>15</v>
      </c>
      <c r="Q7" s="5"/>
      <c r="R7" s="5">
        <v>1.4471866099999999</v>
      </c>
      <c r="S7" s="5">
        <v>61806861</v>
      </c>
      <c r="T7" s="5" t="s">
        <v>80</v>
      </c>
      <c r="U7" s="30"/>
      <c r="V7" s="3" t="s">
        <v>332</v>
      </c>
      <c r="W7" s="3"/>
    </row>
    <row r="8" spans="4:23">
      <c r="D8" s="25">
        <v>2</v>
      </c>
      <c r="E8" s="644" t="s">
        <v>257</v>
      </c>
      <c r="F8" s="644"/>
      <c r="G8" s="644"/>
      <c r="H8" s="644"/>
      <c r="I8" s="239">
        <v>501804079</v>
      </c>
      <c r="J8" s="239"/>
      <c r="K8" s="239"/>
      <c r="L8" s="25" t="s">
        <v>100</v>
      </c>
      <c r="M8" s="25">
        <v>199</v>
      </c>
      <c r="N8" s="25" t="s">
        <v>12</v>
      </c>
      <c r="O8" s="92">
        <v>44564</v>
      </c>
      <c r="P8" s="25" t="s">
        <v>15</v>
      </c>
      <c r="Q8" s="25" t="s">
        <v>903</v>
      </c>
      <c r="R8" s="25">
        <v>1.4472231600000001</v>
      </c>
      <c r="S8" s="25">
        <v>61812558</v>
      </c>
      <c r="T8" s="25" t="s">
        <v>80</v>
      </c>
      <c r="U8" s="116" t="s">
        <v>1160</v>
      </c>
      <c r="V8" s="35" t="s">
        <v>332</v>
      </c>
      <c r="W8" s="3"/>
    </row>
    <row r="9" spans="4:23">
      <c r="D9" s="5">
        <v>3</v>
      </c>
      <c r="E9" s="643" t="s">
        <v>258</v>
      </c>
      <c r="F9" s="643"/>
      <c r="G9" s="643"/>
      <c r="H9" s="643"/>
      <c r="I9" s="64">
        <v>55928118</v>
      </c>
      <c r="J9" s="64"/>
      <c r="K9" s="64"/>
      <c r="L9" s="5" t="s">
        <v>100</v>
      </c>
      <c r="M9" s="5">
        <v>199</v>
      </c>
      <c r="N9" s="5" t="s">
        <v>12</v>
      </c>
      <c r="O9" s="42">
        <v>44564</v>
      </c>
      <c r="P9" s="5" t="s">
        <v>15</v>
      </c>
      <c r="Q9" s="5"/>
      <c r="R9" s="5">
        <v>1.4473259000000001</v>
      </c>
      <c r="S9" s="5">
        <v>61818260</v>
      </c>
      <c r="T9" s="5" t="s">
        <v>328</v>
      </c>
      <c r="U9" s="30"/>
      <c r="V9" s="3" t="s">
        <v>332</v>
      </c>
      <c r="W9" s="3"/>
    </row>
    <row r="10" spans="4:23">
      <c r="D10" s="5">
        <v>4</v>
      </c>
      <c r="E10" s="643" t="s">
        <v>259</v>
      </c>
      <c r="F10" s="643"/>
      <c r="G10" s="643"/>
      <c r="H10" s="643"/>
      <c r="I10" s="64">
        <v>564561924</v>
      </c>
      <c r="J10" s="64"/>
      <c r="K10" s="64"/>
      <c r="L10" s="5" t="s">
        <v>100</v>
      </c>
      <c r="M10" s="5">
        <v>199</v>
      </c>
      <c r="N10" s="5" t="s">
        <v>20</v>
      </c>
      <c r="O10" s="42">
        <v>44564</v>
      </c>
      <c r="P10" s="5" t="s">
        <v>15</v>
      </c>
      <c r="Q10" s="5"/>
      <c r="R10" s="5">
        <v>1.44732909</v>
      </c>
      <c r="S10" s="5"/>
      <c r="T10" s="5" t="s">
        <v>58</v>
      </c>
      <c r="U10" s="30"/>
      <c r="V10" s="3" t="s">
        <v>332</v>
      </c>
      <c r="W10" s="3"/>
    </row>
    <row r="11" spans="4:23">
      <c r="D11" s="5">
        <v>5</v>
      </c>
      <c r="E11" s="643" t="s">
        <v>260</v>
      </c>
      <c r="F11" s="643"/>
      <c r="G11" s="643"/>
      <c r="H11" s="643"/>
      <c r="I11" s="64">
        <v>501171666</v>
      </c>
      <c r="J11" s="64"/>
      <c r="K11" s="64"/>
      <c r="L11" s="5" t="s">
        <v>100</v>
      </c>
      <c r="M11" s="5">
        <v>199</v>
      </c>
      <c r="N11" s="5" t="s">
        <v>12</v>
      </c>
      <c r="O11" s="42">
        <v>44565</v>
      </c>
      <c r="P11" s="5" t="s">
        <v>15</v>
      </c>
      <c r="Q11" s="5"/>
      <c r="R11" s="5">
        <v>1.2598961399999999</v>
      </c>
      <c r="S11" s="5">
        <v>61827557</v>
      </c>
      <c r="T11" s="5" t="s">
        <v>58</v>
      </c>
      <c r="U11" s="30"/>
      <c r="V11" s="3" t="s">
        <v>332</v>
      </c>
      <c r="W11" s="3"/>
    </row>
    <row r="12" spans="4:23">
      <c r="D12" s="5">
        <v>6</v>
      </c>
      <c r="E12" s="643" t="s">
        <v>261</v>
      </c>
      <c r="F12" s="643"/>
      <c r="G12" s="643"/>
      <c r="H12" s="643"/>
      <c r="I12" s="64">
        <v>524459950</v>
      </c>
      <c r="J12" s="64"/>
      <c r="K12" s="64"/>
      <c r="L12" s="5" t="s">
        <v>100</v>
      </c>
      <c r="M12" s="5">
        <v>199</v>
      </c>
      <c r="N12" s="5" t="s">
        <v>12</v>
      </c>
      <c r="O12" s="42">
        <v>44565</v>
      </c>
      <c r="P12" s="5" t="s">
        <v>15</v>
      </c>
      <c r="Q12" s="5"/>
      <c r="R12" s="5"/>
      <c r="S12" s="5">
        <v>61822934</v>
      </c>
      <c r="T12" s="5" t="s">
        <v>134</v>
      </c>
      <c r="U12" s="30"/>
      <c r="V12" s="3" t="s">
        <v>332</v>
      </c>
      <c r="W12" s="3"/>
    </row>
    <row r="13" spans="4:23">
      <c r="D13" s="5">
        <v>7</v>
      </c>
      <c r="E13" s="643" t="s">
        <v>262</v>
      </c>
      <c r="F13" s="643"/>
      <c r="G13" s="643"/>
      <c r="H13" s="643"/>
      <c r="I13" s="64">
        <v>522559442</v>
      </c>
      <c r="J13" s="64"/>
      <c r="K13" s="64"/>
      <c r="L13" s="5" t="s">
        <v>100</v>
      </c>
      <c r="M13" s="5">
        <v>199</v>
      </c>
      <c r="N13" s="5" t="s">
        <v>12</v>
      </c>
      <c r="O13" s="42">
        <v>44565</v>
      </c>
      <c r="P13" s="5" t="s">
        <v>15</v>
      </c>
      <c r="Q13" s="5"/>
      <c r="R13" s="5">
        <v>1.4474250500000001</v>
      </c>
      <c r="S13" s="5">
        <v>61831754</v>
      </c>
      <c r="T13" s="5" t="s">
        <v>58</v>
      </c>
      <c r="U13" s="30"/>
      <c r="V13" s="3" t="s">
        <v>332</v>
      </c>
      <c r="W13" s="3"/>
    </row>
    <row r="14" spans="4:23">
      <c r="D14" s="5">
        <v>8</v>
      </c>
      <c r="E14" s="643" t="s">
        <v>263</v>
      </c>
      <c r="F14" s="643"/>
      <c r="G14" s="643"/>
      <c r="H14" s="643"/>
      <c r="I14" s="64">
        <v>509909449</v>
      </c>
      <c r="J14" s="64"/>
      <c r="K14" s="64"/>
      <c r="L14" s="5" t="s">
        <v>100</v>
      </c>
      <c r="M14" s="5">
        <v>199</v>
      </c>
      <c r="N14" s="5" t="s">
        <v>12</v>
      </c>
      <c r="O14" s="42">
        <v>44565</v>
      </c>
      <c r="P14" s="5" t="s">
        <v>15</v>
      </c>
      <c r="Q14" s="5"/>
      <c r="R14" s="5">
        <v>1.4474380099999999</v>
      </c>
      <c r="S14" s="5">
        <v>61834404</v>
      </c>
      <c r="T14" s="5" t="s">
        <v>134</v>
      </c>
      <c r="U14" s="30"/>
      <c r="V14" s="3" t="s">
        <v>332</v>
      </c>
      <c r="W14" s="3"/>
    </row>
    <row r="15" spans="4:23">
      <c r="D15" s="5">
        <v>9</v>
      </c>
      <c r="E15" s="643" t="s">
        <v>264</v>
      </c>
      <c r="F15" s="643"/>
      <c r="G15" s="643"/>
      <c r="H15" s="643"/>
      <c r="I15" s="64">
        <v>555459988</v>
      </c>
      <c r="J15" s="64"/>
      <c r="K15" s="64"/>
      <c r="L15" s="5" t="s">
        <v>100</v>
      </c>
      <c r="M15" s="5">
        <v>199</v>
      </c>
      <c r="N15" s="5" t="s">
        <v>12</v>
      </c>
      <c r="O15" s="42">
        <v>44565</v>
      </c>
      <c r="P15" s="5" t="s">
        <v>15</v>
      </c>
      <c r="Q15" s="5"/>
      <c r="R15" s="5">
        <v>1.44744501</v>
      </c>
      <c r="S15" s="5">
        <v>61836058</v>
      </c>
      <c r="T15" s="5" t="s">
        <v>328</v>
      </c>
      <c r="U15" s="30"/>
      <c r="V15" s="3" t="s">
        <v>332</v>
      </c>
      <c r="W15" s="3"/>
    </row>
    <row r="16" spans="4:23">
      <c r="D16" s="5">
        <v>10</v>
      </c>
      <c r="E16" s="643" t="s">
        <v>265</v>
      </c>
      <c r="F16" s="643"/>
      <c r="G16" s="643"/>
      <c r="H16" s="643"/>
      <c r="I16" s="64">
        <v>507071642</v>
      </c>
      <c r="J16" s="64"/>
      <c r="K16" s="64"/>
      <c r="L16" s="5" t="s">
        <v>100</v>
      </c>
      <c r="M16" s="5">
        <v>199</v>
      </c>
      <c r="N16" s="5" t="s">
        <v>12</v>
      </c>
      <c r="O16" s="42">
        <v>44565</v>
      </c>
      <c r="P16" s="5" t="s">
        <v>15</v>
      </c>
      <c r="Q16" s="5"/>
      <c r="R16" s="5">
        <v>1.4474645100000001</v>
      </c>
      <c r="S16" s="5">
        <v>61839249</v>
      </c>
      <c r="T16" s="5" t="s">
        <v>328</v>
      </c>
      <c r="U16" s="30"/>
      <c r="V16" s="3" t="s">
        <v>332</v>
      </c>
      <c r="W16" s="3"/>
    </row>
    <row r="17" spans="4:23">
      <c r="D17" s="5">
        <v>11</v>
      </c>
      <c r="E17" s="645" t="s">
        <v>266</v>
      </c>
      <c r="F17" s="646"/>
      <c r="G17" s="646"/>
      <c r="H17" s="647"/>
      <c r="I17" s="68">
        <v>586299914</v>
      </c>
      <c r="J17" s="230"/>
      <c r="K17" s="231"/>
      <c r="L17" s="5" t="s">
        <v>100</v>
      </c>
      <c r="M17" s="5">
        <v>199</v>
      </c>
      <c r="N17" s="5" t="s">
        <v>12</v>
      </c>
      <c r="O17" s="42">
        <v>44565</v>
      </c>
      <c r="P17" s="5" t="s">
        <v>15</v>
      </c>
      <c r="Q17" s="5"/>
      <c r="R17" s="5">
        <v>1.2968759400000001</v>
      </c>
      <c r="S17" s="5">
        <v>61837131</v>
      </c>
      <c r="T17" s="5" t="s">
        <v>59</v>
      </c>
      <c r="U17" s="30"/>
      <c r="V17" s="3" t="s">
        <v>332</v>
      </c>
      <c r="W17" s="3"/>
    </row>
    <row r="18" spans="4:23">
      <c r="D18" s="5">
        <v>12</v>
      </c>
      <c r="E18" s="648" t="s">
        <v>267</v>
      </c>
      <c r="F18" s="648"/>
      <c r="G18" s="648"/>
      <c r="H18" s="648"/>
      <c r="I18" s="235">
        <v>529177523</v>
      </c>
      <c r="J18" s="235"/>
      <c r="K18" s="235"/>
      <c r="L18" s="103" t="s">
        <v>100</v>
      </c>
      <c r="M18" s="103">
        <v>199</v>
      </c>
      <c r="N18" s="103" t="s">
        <v>12</v>
      </c>
      <c r="O18" s="104">
        <v>44567</v>
      </c>
      <c r="P18" s="103" t="s">
        <v>15</v>
      </c>
      <c r="Q18" s="103" t="s">
        <v>903</v>
      </c>
      <c r="R18" s="103">
        <v>1.38206528</v>
      </c>
      <c r="S18" s="103">
        <v>61859331</v>
      </c>
      <c r="T18" s="103" t="s">
        <v>80</v>
      </c>
      <c r="U18" s="105"/>
      <c r="V18" s="106" t="s">
        <v>332</v>
      </c>
      <c r="W18" s="3"/>
    </row>
    <row r="19" spans="4:23">
      <c r="D19" s="5">
        <v>13</v>
      </c>
      <c r="E19" s="643" t="s">
        <v>268</v>
      </c>
      <c r="F19" s="643"/>
      <c r="G19" s="643"/>
      <c r="H19" s="643"/>
      <c r="I19" s="64">
        <v>527061661</v>
      </c>
      <c r="J19" s="64"/>
      <c r="K19" s="64"/>
      <c r="L19" s="5" t="s">
        <v>100</v>
      </c>
      <c r="M19" s="5">
        <v>199</v>
      </c>
      <c r="N19" s="5" t="s">
        <v>12</v>
      </c>
      <c r="O19" s="42">
        <v>44567</v>
      </c>
      <c r="P19" s="5" t="s">
        <v>15</v>
      </c>
      <c r="Q19" s="5"/>
      <c r="R19" s="5">
        <v>1.4475929700000001</v>
      </c>
      <c r="S19" s="5">
        <v>61850538</v>
      </c>
      <c r="T19" s="5" t="s">
        <v>58</v>
      </c>
      <c r="U19" s="30"/>
      <c r="V19" s="3" t="s">
        <v>332</v>
      </c>
      <c r="W19" s="3"/>
    </row>
    <row r="20" spans="4:23">
      <c r="D20" s="5">
        <v>14</v>
      </c>
      <c r="E20" s="652" t="s">
        <v>269</v>
      </c>
      <c r="F20" s="653"/>
      <c r="G20" s="653"/>
      <c r="H20" s="654"/>
      <c r="I20" s="263">
        <v>556036989</v>
      </c>
      <c r="J20" s="264"/>
      <c r="K20" s="265"/>
      <c r="L20" s="53" t="s">
        <v>100</v>
      </c>
      <c r="M20" s="53">
        <v>199</v>
      </c>
      <c r="N20" s="53" t="s">
        <v>12</v>
      </c>
      <c r="O20" s="54">
        <v>44567</v>
      </c>
      <c r="P20" s="53" t="s">
        <v>15</v>
      </c>
      <c r="Q20" s="63" t="s">
        <v>331</v>
      </c>
      <c r="R20" s="53">
        <v>1.4153847500000001</v>
      </c>
      <c r="S20" s="53">
        <v>61868055</v>
      </c>
      <c r="T20" s="53" t="s">
        <v>59</v>
      </c>
      <c r="U20" s="109"/>
      <c r="V20" s="55" t="s">
        <v>332</v>
      </c>
      <c r="W20" s="3"/>
    </row>
    <row r="21" spans="4:23">
      <c r="D21" s="5">
        <v>15</v>
      </c>
      <c r="E21" s="645" t="s">
        <v>270</v>
      </c>
      <c r="F21" s="646"/>
      <c r="G21" s="646"/>
      <c r="H21" s="647"/>
      <c r="I21" s="68">
        <v>501107527</v>
      </c>
      <c r="J21" s="230"/>
      <c r="K21" s="231"/>
      <c r="L21" s="5" t="s">
        <v>100</v>
      </c>
      <c r="M21" s="5">
        <v>199</v>
      </c>
      <c r="N21" s="5" t="s">
        <v>12</v>
      </c>
      <c r="O21" s="42">
        <v>44567</v>
      </c>
      <c r="P21" s="5" t="s">
        <v>15</v>
      </c>
      <c r="Q21" s="5"/>
      <c r="R21" s="5">
        <v>1.4476674599999999</v>
      </c>
      <c r="S21" s="5">
        <v>61868668</v>
      </c>
      <c r="T21" s="5" t="s">
        <v>59</v>
      </c>
      <c r="U21" s="30"/>
      <c r="V21" s="3" t="s">
        <v>332</v>
      </c>
      <c r="W21" s="3"/>
    </row>
    <row r="22" spans="4:23">
      <c r="D22" s="25">
        <v>16</v>
      </c>
      <c r="E22" s="649" t="s">
        <v>271</v>
      </c>
      <c r="F22" s="650"/>
      <c r="G22" s="650"/>
      <c r="H22" s="651"/>
      <c r="I22" s="232">
        <v>588828985</v>
      </c>
      <c r="J22" s="233"/>
      <c r="K22" s="234"/>
      <c r="L22" s="25" t="s">
        <v>100</v>
      </c>
      <c r="M22" s="25">
        <v>199</v>
      </c>
      <c r="N22" s="25" t="s">
        <v>12</v>
      </c>
      <c r="O22" s="92">
        <v>44567</v>
      </c>
      <c r="P22" s="25" t="s">
        <v>15</v>
      </c>
      <c r="Q22" s="25" t="s">
        <v>903</v>
      </c>
      <c r="R22" s="115">
        <v>1.34683924</v>
      </c>
      <c r="S22" s="25">
        <v>61870299</v>
      </c>
      <c r="T22" s="25" t="s">
        <v>80</v>
      </c>
      <c r="U22" s="116" t="s">
        <v>1160</v>
      </c>
      <c r="V22" s="35" t="s">
        <v>332</v>
      </c>
      <c r="W22" s="3"/>
    </row>
    <row r="23" spans="4:23">
      <c r="D23" s="5">
        <v>17</v>
      </c>
      <c r="E23" s="643" t="s">
        <v>329</v>
      </c>
      <c r="F23" s="643"/>
      <c r="G23" s="643"/>
      <c r="H23" s="643"/>
      <c r="I23" s="64">
        <v>501741932</v>
      </c>
      <c r="J23" s="64"/>
      <c r="K23" s="64"/>
      <c r="L23" s="5" t="s">
        <v>100</v>
      </c>
      <c r="M23" s="5">
        <v>199</v>
      </c>
      <c r="N23" s="5" t="s">
        <v>12</v>
      </c>
      <c r="O23" s="42">
        <v>44568</v>
      </c>
      <c r="P23" s="5" t="s">
        <v>15</v>
      </c>
      <c r="Q23" s="5"/>
      <c r="R23" s="5">
        <v>1.4477327900000001</v>
      </c>
      <c r="S23" s="5">
        <v>61886815</v>
      </c>
      <c r="T23" s="5" t="s">
        <v>58</v>
      </c>
      <c r="U23" s="30"/>
      <c r="V23" s="3" t="s">
        <v>332</v>
      </c>
      <c r="W23" s="3"/>
    </row>
    <row r="24" spans="4:23">
      <c r="D24" s="5">
        <v>18</v>
      </c>
      <c r="E24" s="643" t="s">
        <v>272</v>
      </c>
      <c r="F24" s="643"/>
      <c r="G24" s="643"/>
      <c r="H24" s="643"/>
      <c r="I24" s="64">
        <v>554639091</v>
      </c>
      <c r="J24" s="64"/>
      <c r="K24" s="64"/>
      <c r="L24" s="5" t="s">
        <v>100</v>
      </c>
      <c r="M24" s="5">
        <v>199</v>
      </c>
      <c r="N24" s="5" t="s">
        <v>12</v>
      </c>
      <c r="O24" s="42">
        <v>44568</v>
      </c>
      <c r="P24" s="5" t="s">
        <v>15</v>
      </c>
      <c r="Q24" s="5"/>
      <c r="R24" s="5">
        <v>1.44774175</v>
      </c>
      <c r="S24" s="5">
        <v>61888458</v>
      </c>
      <c r="T24" s="5" t="s">
        <v>59</v>
      </c>
      <c r="U24" s="30"/>
      <c r="V24" s="3" t="s">
        <v>332</v>
      </c>
      <c r="W24" s="3"/>
    </row>
    <row r="25" spans="4:23">
      <c r="D25" s="5">
        <v>19</v>
      </c>
      <c r="E25" s="645" t="s">
        <v>273</v>
      </c>
      <c r="F25" s="646"/>
      <c r="G25" s="646"/>
      <c r="H25" s="647"/>
      <c r="I25" s="68">
        <v>553909960</v>
      </c>
      <c r="J25" s="230"/>
      <c r="K25" s="231"/>
      <c r="L25" s="5" t="s">
        <v>100</v>
      </c>
      <c r="M25" s="5">
        <v>199</v>
      </c>
      <c r="N25" s="5" t="s">
        <v>12</v>
      </c>
      <c r="O25" s="42">
        <v>44569</v>
      </c>
      <c r="P25" s="5" t="s">
        <v>15</v>
      </c>
      <c r="Q25" s="5"/>
      <c r="R25" s="5">
        <v>1.36555888</v>
      </c>
      <c r="S25" s="5">
        <v>61906144</v>
      </c>
      <c r="T25" s="5" t="s">
        <v>80</v>
      </c>
      <c r="U25" s="30"/>
      <c r="V25" s="3" t="s">
        <v>332</v>
      </c>
      <c r="W25" s="3"/>
    </row>
    <row r="26" spans="4:23">
      <c r="D26" s="5">
        <v>20</v>
      </c>
      <c r="E26" s="645" t="s">
        <v>274</v>
      </c>
      <c r="F26" s="646"/>
      <c r="G26" s="646"/>
      <c r="H26" s="647"/>
      <c r="I26" s="68">
        <v>503025091</v>
      </c>
      <c r="J26" s="230"/>
      <c r="K26" s="231"/>
      <c r="L26" s="5" t="s">
        <v>100</v>
      </c>
      <c r="M26" s="5">
        <v>199</v>
      </c>
      <c r="N26" s="5" t="s">
        <v>12</v>
      </c>
      <c r="O26" s="42">
        <v>44570</v>
      </c>
      <c r="P26" s="5" t="s">
        <v>15</v>
      </c>
      <c r="Q26" s="5"/>
      <c r="R26" s="43">
        <v>1.44791421</v>
      </c>
      <c r="S26" s="5">
        <v>61907563</v>
      </c>
      <c r="T26" s="5" t="s">
        <v>330</v>
      </c>
      <c r="U26" s="30"/>
      <c r="V26" s="3" t="s">
        <v>332</v>
      </c>
      <c r="W26" s="1"/>
    </row>
    <row r="27" spans="4:23">
      <c r="D27" s="5">
        <v>21</v>
      </c>
      <c r="E27" s="655" t="s">
        <v>275</v>
      </c>
      <c r="F27" s="656"/>
      <c r="G27" s="656"/>
      <c r="H27" s="657"/>
      <c r="I27" s="236">
        <v>50207556</v>
      </c>
      <c r="J27" s="237"/>
      <c r="K27" s="238"/>
      <c r="L27" s="103" t="s">
        <v>100</v>
      </c>
      <c r="M27" s="103">
        <v>199</v>
      </c>
      <c r="N27" s="103" t="s">
        <v>12</v>
      </c>
      <c r="O27" s="104">
        <v>44571</v>
      </c>
      <c r="P27" s="103" t="s">
        <v>15</v>
      </c>
      <c r="Q27" s="103" t="s">
        <v>903</v>
      </c>
      <c r="R27" s="103">
        <v>1.44825487</v>
      </c>
      <c r="S27" s="103">
        <v>61948058</v>
      </c>
      <c r="T27" s="103" t="s">
        <v>328</v>
      </c>
      <c r="U27" s="105"/>
      <c r="V27" s="106" t="s">
        <v>332</v>
      </c>
      <c r="W27" s="1"/>
    </row>
    <row r="28" spans="4:23">
      <c r="D28" s="5">
        <v>22</v>
      </c>
      <c r="E28" s="655" t="s">
        <v>276</v>
      </c>
      <c r="F28" s="656"/>
      <c r="G28" s="656"/>
      <c r="H28" s="657"/>
      <c r="I28" s="236">
        <v>508230193</v>
      </c>
      <c r="J28" s="237"/>
      <c r="K28" s="238"/>
      <c r="L28" s="103" t="s">
        <v>100</v>
      </c>
      <c r="M28" s="103">
        <v>199</v>
      </c>
      <c r="N28" s="103" t="s">
        <v>12</v>
      </c>
      <c r="O28" s="104">
        <v>44571</v>
      </c>
      <c r="P28" s="103" t="s">
        <v>15</v>
      </c>
      <c r="Q28" s="103" t="s">
        <v>903</v>
      </c>
      <c r="R28" s="103">
        <v>1.44826028</v>
      </c>
      <c r="S28" s="103">
        <v>61949074</v>
      </c>
      <c r="T28" s="103" t="s">
        <v>328</v>
      </c>
      <c r="U28" s="105"/>
      <c r="V28" s="106" t="s">
        <v>332</v>
      </c>
      <c r="W28" s="1"/>
    </row>
    <row r="29" spans="4:23">
      <c r="D29" s="5">
        <v>23</v>
      </c>
      <c r="E29" s="655" t="s">
        <v>277</v>
      </c>
      <c r="F29" s="656"/>
      <c r="G29" s="656"/>
      <c r="H29" s="657"/>
      <c r="I29" s="236">
        <v>509198491</v>
      </c>
      <c r="J29" s="237"/>
      <c r="K29" s="238"/>
      <c r="L29" s="103" t="s">
        <v>100</v>
      </c>
      <c r="M29" s="103">
        <v>199</v>
      </c>
      <c r="N29" s="103" t="s">
        <v>12</v>
      </c>
      <c r="O29" s="104">
        <v>44207</v>
      </c>
      <c r="P29" s="103" t="s">
        <v>15</v>
      </c>
      <c r="Q29" s="103" t="s">
        <v>903</v>
      </c>
      <c r="R29" s="103">
        <v>1.4483810699999999</v>
      </c>
      <c r="S29" s="103">
        <v>61965706</v>
      </c>
      <c r="T29" s="103" t="s">
        <v>134</v>
      </c>
      <c r="U29" s="105"/>
      <c r="V29" s="106" t="s">
        <v>332</v>
      </c>
      <c r="W29" s="1"/>
    </row>
    <row r="30" spans="4:23">
      <c r="D30" s="5">
        <v>24</v>
      </c>
      <c r="E30" s="645" t="s">
        <v>278</v>
      </c>
      <c r="F30" s="646"/>
      <c r="G30" s="646"/>
      <c r="H30" s="647"/>
      <c r="I30" s="68">
        <v>505210052</v>
      </c>
      <c r="J30" s="230"/>
      <c r="K30" s="231"/>
      <c r="L30" s="5" t="s">
        <v>100</v>
      </c>
      <c r="M30" s="5">
        <v>199</v>
      </c>
      <c r="N30" s="5" t="s">
        <v>12</v>
      </c>
      <c r="O30" s="42">
        <v>44207</v>
      </c>
      <c r="P30" s="5" t="s">
        <v>15</v>
      </c>
      <c r="Q30" s="5"/>
      <c r="R30" s="5">
        <v>1.44843985</v>
      </c>
      <c r="S30" s="5">
        <v>61978123</v>
      </c>
      <c r="T30" s="5" t="s">
        <v>80</v>
      </c>
      <c r="U30" s="30"/>
      <c r="V30" s="3" t="s">
        <v>332</v>
      </c>
      <c r="W30" s="1"/>
    </row>
    <row r="31" spans="4:23">
      <c r="D31" s="5">
        <v>25</v>
      </c>
      <c r="E31" s="645" t="s">
        <v>279</v>
      </c>
      <c r="F31" s="646"/>
      <c r="G31" s="646"/>
      <c r="H31" s="647"/>
      <c r="I31" s="68">
        <v>527871082</v>
      </c>
      <c r="J31" s="230"/>
      <c r="K31" s="231"/>
      <c r="L31" s="5" t="s">
        <v>100</v>
      </c>
      <c r="M31" s="5">
        <v>199</v>
      </c>
      <c r="N31" s="5" t="s">
        <v>12</v>
      </c>
      <c r="O31" s="42">
        <v>44575</v>
      </c>
      <c r="P31" s="5" t="s">
        <v>15</v>
      </c>
      <c r="Q31" s="5"/>
      <c r="R31" s="5">
        <v>1.4488895900000001</v>
      </c>
      <c r="S31" s="5">
        <v>62029747</v>
      </c>
      <c r="T31" s="5" t="s">
        <v>80</v>
      </c>
      <c r="U31" s="30"/>
      <c r="V31" s="3" t="s">
        <v>332</v>
      </c>
      <c r="W31" s="1"/>
    </row>
    <row r="32" spans="4:23">
      <c r="D32" s="5">
        <v>26</v>
      </c>
      <c r="E32" s="645" t="s">
        <v>280</v>
      </c>
      <c r="F32" s="646"/>
      <c r="G32" s="646"/>
      <c r="H32" s="647"/>
      <c r="I32" s="68">
        <v>547127104</v>
      </c>
      <c r="J32" s="230"/>
      <c r="K32" s="231"/>
      <c r="L32" s="5" t="s">
        <v>100</v>
      </c>
      <c r="M32" s="5">
        <v>199</v>
      </c>
      <c r="N32" s="5" t="s">
        <v>12</v>
      </c>
      <c r="O32" s="42">
        <v>44575</v>
      </c>
      <c r="P32" s="5" t="s">
        <v>15</v>
      </c>
      <c r="Q32" s="5"/>
      <c r="R32" s="5">
        <v>1.3622249</v>
      </c>
      <c r="S32" s="5">
        <v>62033971</v>
      </c>
      <c r="T32" s="5" t="s">
        <v>80</v>
      </c>
      <c r="U32" s="30"/>
      <c r="V32" s="3" t="s">
        <v>332</v>
      </c>
      <c r="W32" s="1"/>
    </row>
    <row r="33" spans="4:23">
      <c r="D33" s="5">
        <v>27</v>
      </c>
      <c r="E33" s="658" t="s">
        <v>301</v>
      </c>
      <c r="F33" s="659"/>
      <c r="G33" s="659"/>
      <c r="H33" s="660"/>
      <c r="I33" s="227">
        <v>563247970</v>
      </c>
      <c r="J33" s="228"/>
      <c r="K33" s="229"/>
      <c r="L33" s="50" t="s">
        <v>302</v>
      </c>
      <c r="M33" s="50">
        <v>399</v>
      </c>
      <c r="N33" s="50" t="s">
        <v>112</v>
      </c>
      <c r="O33" s="49">
        <v>44575</v>
      </c>
      <c r="P33" s="50" t="s">
        <v>15</v>
      </c>
      <c r="Q33" s="50"/>
      <c r="R33" s="50"/>
      <c r="S33" s="50"/>
      <c r="T33" s="5" t="s">
        <v>80</v>
      </c>
      <c r="U33" s="30"/>
      <c r="V33" s="3" t="s">
        <v>332</v>
      </c>
      <c r="W33" s="1"/>
    </row>
    <row r="34" spans="4:23">
      <c r="D34" s="5">
        <v>28</v>
      </c>
      <c r="E34" s="658" t="s">
        <v>303</v>
      </c>
      <c r="F34" s="659"/>
      <c r="G34" s="659"/>
      <c r="H34" s="660"/>
      <c r="I34" s="227">
        <v>507271218</v>
      </c>
      <c r="J34" s="228"/>
      <c r="K34" s="229"/>
      <c r="L34" s="50" t="s">
        <v>302</v>
      </c>
      <c r="M34" s="50">
        <v>399</v>
      </c>
      <c r="N34" s="50" t="s">
        <v>12</v>
      </c>
      <c r="O34" s="49" t="s">
        <v>304</v>
      </c>
      <c r="P34" s="50" t="s">
        <v>15</v>
      </c>
      <c r="Q34" s="50"/>
      <c r="R34" s="50"/>
      <c r="S34" s="50"/>
      <c r="T34" s="5" t="s">
        <v>59</v>
      </c>
      <c r="U34" s="30"/>
      <c r="V34" s="3" t="s">
        <v>332</v>
      </c>
      <c r="W34" s="1"/>
    </row>
    <row r="35" spans="4:23">
      <c r="D35" s="5">
        <v>29</v>
      </c>
      <c r="E35" s="658" t="s">
        <v>303</v>
      </c>
      <c r="F35" s="659"/>
      <c r="G35" s="659"/>
      <c r="H35" s="660"/>
      <c r="I35" s="227">
        <v>507271218</v>
      </c>
      <c r="J35" s="228"/>
      <c r="K35" s="229"/>
      <c r="L35" s="50" t="s">
        <v>302</v>
      </c>
      <c r="M35" s="50">
        <v>399</v>
      </c>
      <c r="N35" s="50" t="s">
        <v>12</v>
      </c>
      <c r="O35" s="49" t="s">
        <v>304</v>
      </c>
      <c r="P35" s="50" t="s">
        <v>15</v>
      </c>
      <c r="Q35" s="50"/>
      <c r="R35" s="50"/>
      <c r="S35" s="50"/>
      <c r="T35" s="5" t="s">
        <v>59</v>
      </c>
      <c r="U35" s="30"/>
      <c r="V35" s="3" t="s">
        <v>332</v>
      </c>
      <c r="W35" s="1"/>
    </row>
    <row r="36" spans="4:23">
      <c r="D36" s="5">
        <v>30</v>
      </c>
      <c r="E36" s="645" t="s">
        <v>281</v>
      </c>
      <c r="F36" s="646"/>
      <c r="G36" s="646"/>
      <c r="H36" s="647"/>
      <c r="I36" s="68">
        <v>506770624</v>
      </c>
      <c r="J36" s="230"/>
      <c r="K36" s="231"/>
      <c r="L36" s="5" t="s">
        <v>100</v>
      </c>
      <c r="M36" s="5">
        <v>199</v>
      </c>
      <c r="N36" s="5" t="s">
        <v>12</v>
      </c>
      <c r="O36" s="42">
        <v>44578</v>
      </c>
      <c r="P36" s="5" t="s">
        <v>15</v>
      </c>
      <c r="Q36" s="5"/>
      <c r="R36" s="43">
        <v>1.44941947</v>
      </c>
      <c r="S36" s="5">
        <v>62095000</v>
      </c>
      <c r="T36" s="5" t="s">
        <v>58</v>
      </c>
      <c r="U36" s="30"/>
      <c r="V36" s="3" t="s">
        <v>332</v>
      </c>
      <c r="W36" s="1"/>
    </row>
    <row r="37" spans="4:23">
      <c r="D37" s="5">
        <v>31</v>
      </c>
      <c r="E37" s="645" t="s">
        <v>282</v>
      </c>
      <c r="F37" s="646"/>
      <c r="G37" s="646"/>
      <c r="H37" s="647"/>
      <c r="I37" s="68">
        <v>562804919</v>
      </c>
      <c r="J37" s="230"/>
      <c r="K37" s="231"/>
      <c r="L37" s="5" t="s">
        <v>100</v>
      </c>
      <c r="M37" s="5">
        <v>199</v>
      </c>
      <c r="N37" s="5" t="s">
        <v>12</v>
      </c>
      <c r="O37" s="42">
        <v>44578</v>
      </c>
      <c r="P37" s="5" t="s">
        <v>15</v>
      </c>
      <c r="Q37" s="5"/>
      <c r="R37" s="5">
        <v>1.44942617</v>
      </c>
      <c r="S37" s="5">
        <v>62095828</v>
      </c>
      <c r="T37" s="5" t="s">
        <v>59</v>
      </c>
      <c r="U37" s="30"/>
      <c r="V37" s="3" t="s">
        <v>332</v>
      </c>
      <c r="W37" s="1"/>
    </row>
    <row r="38" spans="4:23">
      <c r="D38" s="25">
        <v>32</v>
      </c>
      <c r="E38" s="649" t="s">
        <v>283</v>
      </c>
      <c r="F38" s="650"/>
      <c r="G38" s="650"/>
      <c r="H38" s="651"/>
      <c r="I38" s="232">
        <v>543882198</v>
      </c>
      <c r="J38" s="233"/>
      <c r="K38" s="234"/>
      <c r="L38" s="25" t="s">
        <v>100</v>
      </c>
      <c r="M38" s="25">
        <v>199</v>
      </c>
      <c r="N38" s="25" t="s">
        <v>12</v>
      </c>
      <c r="O38" s="92">
        <v>44578</v>
      </c>
      <c r="P38" s="25" t="s">
        <v>15</v>
      </c>
      <c r="Q38" s="25" t="s">
        <v>903</v>
      </c>
      <c r="R38" s="25">
        <v>1.44943752</v>
      </c>
      <c r="S38" s="25">
        <v>62097571</v>
      </c>
      <c r="T38" s="25" t="s">
        <v>80</v>
      </c>
      <c r="U38" s="116" t="s">
        <v>1160</v>
      </c>
      <c r="V38" s="35" t="s">
        <v>332</v>
      </c>
      <c r="W38" s="1"/>
    </row>
    <row r="39" spans="4:23">
      <c r="D39" s="5">
        <v>33</v>
      </c>
      <c r="E39" s="645" t="s">
        <v>284</v>
      </c>
      <c r="F39" s="646"/>
      <c r="G39" s="646"/>
      <c r="H39" s="647"/>
      <c r="I39" s="68">
        <v>527677095</v>
      </c>
      <c r="J39" s="230"/>
      <c r="K39" s="231"/>
      <c r="L39" s="5" t="s">
        <v>100</v>
      </c>
      <c r="M39" s="5">
        <v>199</v>
      </c>
      <c r="N39" s="5" t="s">
        <v>12</v>
      </c>
      <c r="O39" s="42">
        <v>44579</v>
      </c>
      <c r="P39" s="5" t="s">
        <v>15</v>
      </c>
      <c r="Q39" s="5"/>
      <c r="R39" s="5">
        <v>1.37352534</v>
      </c>
      <c r="S39" s="5">
        <v>62107852</v>
      </c>
      <c r="T39" s="5" t="s">
        <v>328</v>
      </c>
      <c r="U39" s="30"/>
      <c r="V39" s="3" t="s">
        <v>332</v>
      </c>
      <c r="W39" s="1"/>
    </row>
    <row r="40" spans="4:23">
      <c r="D40" s="5">
        <v>34</v>
      </c>
      <c r="E40" s="645" t="s">
        <v>285</v>
      </c>
      <c r="F40" s="646"/>
      <c r="G40" s="646"/>
      <c r="H40" s="647"/>
      <c r="I40" s="68">
        <v>566047571</v>
      </c>
      <c r="J40" s="230"/>
      <c r="K40" s="231"/>
      <c r="L40" s="5" t="s">
        <v>100</v>
      </c>
      <c r="M40" s="5">
        <v>199</v>
      </c>
      <c r="N40" s="5" t="s">
        <v>12</v>
      </c>
      <c r="O40" s="42">
        <v>44580</v>
      </c>
      <c r="P40" s="5" t="s">
        <v>15</v>
      </c>
      <c r="Q40" s="5"/>
      <c r="R40" s="5">
        <v>1.44975652</v>
      </c>
      <c r="S40" s="5">
        <v>62141473</v>
      </c>
      <c r="T40" s="5" t="s">
        <v>328</v>
      </c>
      <c r="U40" s="30"/>
      <c r="V40" s="3" t="s">
        <v>332</v>
      </c>
      <c r="W40" s="1"/>
    </row>
    <row r="41" spans="4:23">
      <c r="D41" s="5">
        <v>35</v>
      </c>
      <c r="E41" s="655" t="s">
        <v>286</v>
      </c>
      <c r="F41" s="656"/>
      <c r="G41" s="656"/>
      <c r="H41" s="657"/>
      <c r="I41" s="236">
        <v>504381625</v>
      </c>
      <c r="J41" s="237"/>
      <c r="K41" s="238"/>
      <c r="L41" s="103" t="s">
        <v>100</v>
      </c>
      <c r="M41" s="103">
        <v>199</v>
      </c>
      <c r="N41" s="103" t="s">
        <v>12</v>
      </c>
      <c r="O41" s="104">
        <v>44580</v>
      </c>
      <c r="P41" s="103" t="s">
        <v>15</v>
      </c>
      <c r="Q41" s="103" t="s">
        <v>903</v>
      </c>
      <c r="R41" s="103"/>
      <c r="S41" s="103">
        <v>62144155</v>
      </c>
      <c r="T41" s="103" t="s">
        <v>80</v>
      </c>
      <c r="U41" s="105"/>
      <c r="V41" s="106" t="s">
        <v>332</v>
      </c>
      <c r="W41" s="1"/>
    </row>
    <row r="42" spans="4:23">
      <c r="D42" s="5">
        <v>36</v>
      </c>
      <c r="E42" s="652" t="s">
        <v>287</v>
      </c>
      <c r="F42" s="653"/>
      <c r="G42" s="653"/>
      <c r="H42" s="654"/>
      <c r="I42" s="263">
        <v>553379547</v>
      </c>
      <c r="J42" s="264"/>
      <c r="K42" s="265"/>
      <c r="L42" s="53" t="s">
        <v>100</v>
      </c>
      <c r="M42" s="53">
        <v>199</v>
      </c>
      <c r="N42" s="53" t="s">
        <v>12</v>
      </c>
      <c r="O42" s="54">
        <v>44581</v>
      </c>
      <c r="P42" s="53" t="s">
        <v>15</v>
      </c>
      <c r="Q42" s="63" t="s">
        <v>331</v>
      </c>
      <c r="R42" s="53">
        <v>1.4497862399999999</v>
      </c>
      <c r="S42" s="53">
        <v>62144626</v>
      </c>
      <c r="T42" s="53" t="s">
        <v>80</v>
      </c>
      <c r="U42" s="109"/>
      <c r="V42" s="55" t="s">
        <v>332</v>
      </c>
      <c r="W42" s="1"/>
    </row>
    <row r="43" spans="4:23">
      <c r="D43" s="5">
        <v>37</v>
      </c>
      <c r="E43" s="645" t="s">
        <v>288</v>
      </c>
      <c r="F43" s="646"/>
      <c r="G43" s="646"/>
      <c r="H43" s="647"/>
      <c r="I43" s="68">
        <v>525252040</v>
      </c>
      <c r="J43" s="230"/>
      <c r="K43" s="231"/>
      <c r="L43" s="5" t="s">
        <v>100</v>
      </c>
      <c r="M43" s="5">
        <v>199</v>
      </c>
      <c r="N43" s="5" t="s">
        <v>12</v>
      </c>
      <c r="O43" s="42">
        <v>44581</v>
      </c>
      <c r="P43" s="5" t="s">
        <v>15</v>
      </c>
      <c r="Q43" s="5"/>
      <c r="R43" s="5">
        <v>1.44989317</v>
      </c>
      <c r="S43" s="5">
        <v>62158047</v>
      </c>
      <c r="T43" s="5" t="s">
        <v>328</v>
      </c>
      <c r="U43" s="30"/>
      <c r="V43" s="3" t="s">
        <v>332</v>
      </c>
      <c r="W43" s="1"/>
    </row>
    <row r="44" spans="4:23">
      <c r="D44" s="5">
        <v>38</v>
      </c>
      <c r="E44" s="645" t="s">
        <v>289</v>
      </c>
      <c r="F44" s="646"/>
      <c r="G44" s="646"/>
      <c r="H44" s="647"/>
      <c r="I44" s="68">
        <v>556185051</v>
      </c>
      <c r="J44" s="230"/>
      <c r="K44" s="231"/>
      <c r="L44" s="5" t="s">
        <v>100</v>
      </c>
      <c r="M44" s="5">
        <v>199</v>
      </c>
      <c r="N44" s="5" t="s">
        <v>12</v>
      </c>
      <c r="O44" s="42">
        <v>44582</v>
      </c>
      <c r="P44" s="5" t="s">
        <v>15</v>
      </c>
      <c r="Q44" s="5"/>
      <c r="R44" s="5">
        <v>1.45006367</v>
      </c>
      <c r="S44" s="5">
        <v>62177831</v>
      </c>
      <c r="T44" s="5" t="s">
        <v>134</v>
      </c>
      <c r="U44" s="30"/>
      <c r="V44" s="3" t="s">
        <v>332</v>
      </c>
      <c r="W44" s="1"/>
    </row>
    <row r="45" spans="4:23">
      <c r="D45" s="5">
        <v>39</v>
      </c>
      <c r="E45" s="652" t="s">
        <v>290</v>
      </c>
      <c r="F45" s="653"/>
      <c r="G45" s="653"/>
      <c r="H45" s="654"/>
      <c r="I45" s="263">
        <v>525290512</v>
      </c>
      <c r="J45" s="264"/>
      <c r="K45" s="265"/>
      <c r="L45" s="53" t="s">
        <v>100</v>
      </c>
      <c r="M45" s="53">
        <v>199</v>
      </c>
      <c r="N45" s="53" t="s">
        <v>12</v>
      </c>
      <c r="O45" s="54">
        <v>44582</v>
      </c>
      <c r="P45" s="53" t="s">
        <v>15</v>
      </c>
      <c r="Q45" s="63" t="s">
        <v>331</v>
      </c>
      <c r="R45" s="53">
        <v>1.4500992399999999</v>
      </c>
      <c r="S45" s="53">
        <v>62185807</v>
      </c>
      <c r="T45" s="53" t="s">
        <v>134</v>
      </c>
      <c r="U45" s="109"/>
      <c r="V45" s="55" t="s">
        <v>332</v>
      </c>
      <c r="W45" s="3"/>
    </row>
    <row r="46" spans="4:23">
      <c r="D46" s="5">
        <v>40</v>
      </c>
      <c r="E46" s="645" t="s">
        <v>291</v>
      </c>
      <c r="F46" s="646"/>
      <c r="G46" s="646"/>
      <c r="H46" s="647"/>
      <c r="I46" s="68">
        <v>504201206</v>
      </c>
      <c r="J46" s="230"/>
      <c r="K46" s="231"/>
      <c r="L46" s="5" t="s">
        <v>100</v>
      </c>
      <c r="M46" s="5">
        <v>199</v>
      </c>
      <c r="N46" s="5" t="s">
        <v>12</v>
      </c>
      <c r="O46" s="42">
        <v>44583</v>
      </c>
      <c r="P46" s="5" t="s">
        <v>15</v>
      </c>
      <c r="Q46" s="5"/>
      <c r="R46" s="5">
        <v>1.4502696399999999</v>
      </c>
      <c r="S46" s="5">
        <v>62206369</v>
      </c>
      <c r="T46" s="5" t="s">
        <v>80</v>
      </c>
      <c r="U46" s="30"/>
      <c r="V46" s="3" t="s">
        <v>332</v>
      </c>
      <c r="W46" s="3"/>
    </row>
    <row r="47" spans="4:23">
      <c r="D47" s="5">
        <v>41</v>
      </c>
      <c r="E47" s="645" t="s">
        <v>292</v>
      </c>
      <c r="F47" s="646"/>
      <c r="G47" s="646"/>
      <c r="H47" s="647"/>
      <c r="I47" s="68">
        <v>556618458</v>
      </c>
      <c r="J47" s="230"/>
      <c r="K47" s="231"/>
      <c r="L47" s="5" t="s">
        <v>100</v>
      </c>
      <c r="M47" s="5">
        <v>199</v>
      </c>
      <c r="N47" s="5" t="s">
        <v>12</v>
      </c>
      <c r="O47" s="42">
        <v>44583</v>
      </c>
      <c r="P47" s="5" t="s">
        <v>15</v>
      </c>
      <c r="Q47" s="5"/>
      <c r="R47" s="5">
        <v>1.45028333</v>
      </c>
      <c r="S47" s="5">
        <v>62208944</v>
      </c>
      <c r="T47" s="5" t="s">
        <v>134</v>
      </c>
      <c r="U47" s="30"/>
      <c r="V47" s="3" t="s">
        <v>332</v>
      </c>
      <c r="W47" s="3"/>
    </row>
    <row r="48" spans="4:23">
      <c r="D48" s="5">
        <v>42</v>
      </c>
      <c r="E48" s="648" t="s">
        <v>305</v>
      </c>
      <c r="F48" s="648"/>
      <c r="G48" s="648"/>
      <c r="H48" s="648"/>
      <c r="I48" s="235">
        <v>566625334</v>
      </c>
      <c r="J48" s="235"/>
      <c r="K48" s="235"/>
      <c r="L48" s="103" t="s">
        <v>100</v>
      </c>
      <c r="M48" s="103">
        <v>199</v>
      </c>
      <c r="N48" s="103" t="s">
        <v>12</v>
      </c>
      <c r="O48" s="104">
        <v>44584</v>
      </c>
      <c r="P48" s="103" t="s">
        <v>15</v>
      </c>
      <c r="Q48" s="103" t="s">
        <v>903</v>
      </c>
      <c r="R48" s="103">
        <v>1.45051351</v>
      </c>
      <c r="S48" s="103">
        <v>62233574</v>
      </c>
      <c r="T48" s="103" t="s">
        <v>328</v>
      </c>
      <c r="U48" s="105"/>
      <c r="V48" s="106" t="s">
        <v>332</v>
      </c>
      <c r="W48" s="3"/>
    </row>
    <row r="49" spans="4:23">
      <c r="D49" s="5">
        <v>43</v>
      </c>
      <c r="E49" s="667" t="s">
        <v>306</v>
      </c>
      <c r="F49" s="667"/>
      <c r="G49" s="667"/>
      <c r="H49" s="667"/>
      <c r="I49" s="64">
        <v>551678684</v>
      </c>
      <c r="J49" s="64"/>
      <c r="K49" s="64"/>
      <c r="L49" s="5" t="s">
        <v>100</v>
      </c>
      <c r="M49" s="5">
        <v>199</v>
      </c>
      <c r="N49" s="5" t="s">
        <v>12</v>
      </c>
      <c r="O49" s="42">
        <v>44584</v>
      </c>
      <c r="P49" s="5" t="s">
        <v>15</v>
      </c>
      <c r="Q49" s="5"/>
      <c r="R49" s="5">
        <v>1.4508027100000001</v>
      </c>
      <c r="S49" s="5">
        <v>62265576</v>
      </c>
      <c r="T49" s="5" t="s">
        <v>58</v>
      </c>
      <c r="U49" s="30"/>
      <c r="V49" s="3" t="s">
        <v>332</v>
      </c>
      <c r="W49" s="3"/>
    </row>
    <row r="50" spans="4:23">
      <c r="D50" s="5">
        <v>44</v>
      </c>
      <c r="E50" s="668" t="s">
        <v>322</v>
      </c>
      <c r="F50" s="668"/>
      <c r="G50" s="668"/>
      <c r="H50" s="668"/>
      <c r="I50" s="1">
        <v>562821681</v>
      </c>
      <c r="J50" s="1"/>
      <c r="K50" s="1"/>
      <c r="L50" s="5" t="s">
        <v>100</v>
      </c>
      <c r="M50" s="5">
        <v>199</v>
      </c>
      <c r="N50" s="5" t="s">
        <v>12</v>
      </c>
      <c r="O50" s="42">
        <v>44585</v>
      </c>
      <c r="P50" s="5" t="s">
        <v>15</v>
      </c>
      <c r="Q50" s="5"/>
      <c r="R50" s="5">
        <v>1.45118138</v>
      </c>
      <c r="S50" s="5">
        <v>62321424</v>
      </c>
      <c r="T50" s="5" t="s">
        <v>328</v>
      </c>
      <c r="U50" s="30"/>
      <c r="V50" s="3" t="s">
        <v>332</v>
      </c>
      <c r="W50" s="3"/>
    </row>
    <row r="51" spans="4:23">
      <c r="D51" s="25">
        <v>45</v>
      </c>
      <c r="E51" s="669" t="s">
        <v>323</v>
      </c>
      <c r="F51" s="669"/>
      <c r="G51" s="669"/>
      <c r="H51" s="669"/>
      <c r="I51" s="239">
        <v>563120463</v>
      </c>
      <c r="J51" s="239"/>
      <c r="K51" s="239"/>
      <c r="L51" s="25" t="s">
        <v>100</v>
      </c>
      <c r="M51" s="25">
        <v>199</v>
      </c>
      <c r="N51" s="25" t="s">
        <v>12</v>
      </c>
      <c r="O51" s="92">
        <v>44585</v>
      </c>
      <c r="P51" s="25" t="s">
        <v>15</v>
      </c>
      <c r="Q51" s="25" t="s">
        <v>903</v>
      </c>
      <c r="R51" s="25">
        <v>1.4512170200000001</v>
      </c>
      <c r="S51" s="25">
        <v>62327786</v>
      </c>
      <c r="T51" s="25" t="s">
        <v>58</v>
      </c>
      <c r="U51" s="116" t="s">
        <v>1160</v>
      </c>
      <c r="V51" s="35" t="s">
        <v>332</v>
      </c>
      <c r="W51" s="3"/>
    </row>
    <row r="52" spans="4:23">
      <c r="D52" s="5">
        <v>46</v>
      </c>
      <c r="E52" s="661" t="s">
        <v>324</v>
      </c>
      <c r="F52" s="662"/>
      <c r="G52" s="662"/>
      <c r="H52" s="663"/>
      <c r="I52" s="68">
        <v>565757678</v>
      </c>
      <c r="J52" s="230"/>
      <c r="K52" s="231"/>
      <c r="L52" s="5" t="s">
        <v>100</v>
      </c>
      <c r="M52" s="5">
        <v>199</v>
      </c>
      <c r="N52" s="5" t="s">
        <v>12</v>
      </c>
      <c r="O52" s="42">
        <v>44585</v>
      </c>
      <c r="P52" s="5" t="s">
        <v>15</v>
      </c>
      <c r="Q52" s="5"/>
      <c r="R52" s="5">
        <v>1.4512322799999999</v>
      </c>
      <c r="S52" s="5">
        <v>62330202</v>
      </c>
      <c r="T52" s="5" t="s">
        <v>80</v>
      </c>
      <c r="U52" s="30"/>
      <c r="V52" s="3" t="s">
        <v>332</v>
      </c>
      <c r="W52" s="32"/>
    </row>
    <row r="53" spans="4:23">
      <c r="D53" s="5">
        <v>47</v>
      </c>
      <c r="E53" s="645" t="s">
        <v>325</v>
      </c>
      <c r="F53" s="646"/>
      <c r="G53" s="646"/>
      <c r="H53" s="647"/>
      <c r="I53" s="68">
        <v>504246784</v>
      </c>
      <c r="J53" s="230"/>
      <c r="K53" s="231"/>
      <c r="L53" s="5" t="s">
        <v>100</v>
      </c>
      <c r="M53" s="5">
        <v>199</v>
      </c>
      <c r="N53" s="5" t="s">
        <v>12</v>
      </c>
      <c r="O53" s="42">
        <v>44585</v>
      </c>
      <c r="P53" s="5" t="s">
        <v>15</v>
      </c>
      <c r="Q53" s="5"/>
      <c r="R53" s="5">
        <v>1.4511633269999999</v>
      </c>
      <c r="S53" s="5">
        <v>62318368</v>
      </c>
      <c r="T53" s="5" t="s">
        <v>134</v>
      </c>
      <c r="U53" s="30"/>
      <c r="V53" s="3" t="s">
        <v>332</v>
      </c>
      <c r="W53" s="3"/>
    </row>
    <row r="54" spans="4:23">
      <c r="D54" s="5">
        <v>48</v>
      </c>
      <c r="E54" s="664" t="s">
        <v>307</v>
      </c>
      <c r="F54" s="665"/>
      <c r="G54" s="665"/>
      <c r="H54" s="666"/>
      <c r="I54" s="68">
        <v>504000808</v>
      </c>
      <c r="J54" s="230"/>
      <c r="K54" s="231"/>
      <c r="L54" s="5" t="s">
        <v>100</v>
      </c>
      <c r="M54" s="5">
        <v>199</v>
      </c>
      <c r="N54" s="5" t="s">
        <v>12</v>
      </c>
      <c r="O54" s="42" t="s">
        <v>308</v>
      </c>
      <c r="P54" s="5" t="s">
        <v>15</v>
      </c>
      <c r="Q54" s="5"/>
      <c r="R54" s="5">
        <v>1.32541062</v>
      </c>
      <c r="S54" s="5">
        <v>62268687</v>
      </c>
      <c r="T54" s="5" t="s">
        <v>134</v>
      </c>
      <c r="U54" s="30"/>
      <c r="V54" s="3" t="s">
        <v>332</v>
      </c>
      <c r="W54" s="3"/>
    </row>
    <row r="55" spans="4:23">
      <c r="D55" s="5">
        <v>49</v>
      </c>
      <c r="E55" s="667" t="s">
        <v>309</v>
      </c>
      <c r="F55" s="667"/>
      <c r="G55" s="667"/>
      <c r="H55" s="667"/>
      <c r="I55" s="64">
        <v>561415443</v>
      </c>
      <c r="J55" s="64"/>
      <c r="K55" s="64"/>
      <c r="L55" s="5" t="s">
        <v>100</v>
      </c>
      <c r="M55" s="5">
        <v>199</v>
      </c>
      <c r="N55" s="5" t="s">
        <v>12</v>
      </c>
      <c r="O55" s="42">
        <v>44587</v>
      </c>
      <c r="P55" s="5" t="s">
        <v>15</v>
      </c>
      <c r="Q55" s="5"/>
      <c r="R55" s="5"/>
      <c r="S55" s="5">
        <v>62288131</v>
      </c>
      <c r="T55" s="5" t="s">
        <v>328</v>
      </c>
      <c r="U55" s="30"/>
      <c r="V55" s="3" t="s">
        <v>332</v>
      </c>
      <c r="W55" s="3"/>
    </row>
    <row r="56" spans="4:23">
      <c r="D56" s="5">
        <v>50</v>
      </c>
      <c r="E56" s="667" t="s">
        <v>310</v>
      </c>
      <c r="F56" s="667"/>
      <c r="G56" s="667"/>
      <c r="H56" s="667"/>
      <c r="I56" s="64">
        <v>568210059</v>
      </c>
      <c r="J56" s="64"/>
      <c r="K56" s="64"/>
      <c r="L56" s="5" t="s">
        <v>100</v>
      </c>
      <c r="M56" s="5">
        <v>199</v>
      </c>
      <c r="N56" s="5" t="s">
        <v>12</v>
      </c>
      <c r="O56" s="42">
        <v>44587</v>
      </c>
      <c r="P56" s="5" t="s">
        <v>15</v>
      </c>
      <c r="Q56" s="5"/>
      <c r="R56" s="5">
        <v>1.4509698</v>
      </c>
      <c r="S56" s="5">
        <v>62291040</v>
      </c>
      <c r="T56" s="5" t="s">
        <v>328</v>
      </c>
      <c r="U56" s="30"/>
      <c r="V56" s="3" t="s">
        <v>332</v>
      </c>
      <c r="W56" s="3"/>
    </row>
    <row r="57" spans="4:23">
      <c r="D57" s="5">
        <v>51</v>
      </c>
      <c r="E57" s="664" t="s">
        <v>311</v>
      </c>
      <c r="F57" s="665"/>
      <c r="G57" s="665"/>
      <c r="H57" s="666"/>
      <c r="I57" s="68">
        <v>551384693</v>
      </c>
      <c r="J57" s="230"/>
      <c r="K57" s="231"/>
      <c r="L57" s="5" t="s">
        <v>100</v>
      </c>
      <c r="M57" s="5">
        <v>199</v>
      </c>
      <c r="N57" s="5" t="s">
        <v>12</v>
      </c>
      <c r="O57" s="42">
        <v>44587</v>
      </c>
      <c r="P57" s="5" t="s">
        <v>15</v>
      </c>
      <c r="Q57" s="5"/>
      <c r="R57" s="5">
        <v>1.45097751</v>
      </c>
      <c r="S57" s="5">
        <v>62293404</v>
      </c>
      <c r="T57" s="5" t="s">
        <v>58</v>
      </c>
      <c r="U57" s="30"/>
      <c r="V57" s="3" t="s">
        <v>332</v>
      </c>
      <c r="W57" s="3"/>
    </row>
    <row r="58" spans="4:23">
      <c r="D58" s="5">
        <v>52</v>
      </c>
      <c r="E58" s="664" t="s">
        <v>312</v>
      </c>
      <c r="F58" s="665"/>
      <c r="G58" s="665"/>
      <c r="H58" s="666"/>
      <c r="I58" s="68">
        <v>523326728</v>
      </c>
      <c r="J58" s="230"/>
      <c r="K58" s="231"/>
      <c r="L58" s="5" t="s">
        <v>100</v>
      </c>
      <c r="M58" s="5">
        <v>199</v>
      </c>
      <c r="N58" s="5" t="s">
        <v>12</v>
      </c>
      <c r="O58" s="42">
        <v>44588</v>
      </c>
      <c r="P58" s="5" t="s">
        <v>15</v>
      </c>
      <c r="Q58" s="5"/>
      <c r="R58" s="5">
        <v>1.45103695</v>
      </c>
      <c r="S58" s="5"/>
      <c r="T58" s="5" t="s">
        <v>134</v>
      </c>
      <c r="U58" s="30"/>
      <c r="V58" s="3" t="s">
        <v>332</v>
      </c>
      <c r="W58" s="1"/>
    </row>
    <row r="59" spans="4:23">
      <c r="D59" s="25">
        <v>53</v>
      </c>
      <c r="E59" s="670" t="s">
        <v>313</v>
      </c>
      <c r="F59" s="671"/>
      <c r="G59" s="671"/>
      <c r="H59" s="672"/>
      <c r="I59" s="232">
        <v>562896051</v>
      </c>
      <c r="J59" s="233"/>
      <c r="K59" s="234"/>
      <c r="L59" s="25" t="s">
        <v>100</v>
      </c>
      <c r="M59" s="25">
        <v>199</v>
      </c>
      <c r="N59" s="25" t="s">
        <v>12</v>
      </c>
      <c r="O59" s="92">
        <v>44588</v>
      </c>
      <c r="P59" s="25" t="s">
        <v>15</v>
      </c>
      <c r="Q59" s="25" t="s">
        <v>903</v>
      </c>
      <c r="R59" s="115">
        <v>1.4511347299999999</v>
      </c>
      <c r="S59" s="25">
        <v>62313988</v>
      </c>
      <c r="T59" s="25" t="s">
        <v>328</v>
      </c>
      <c r="U59" s="116" t="s">
        <v>1160</v>
      </c>
      <c r="V59" s="35" t="s">
        <v>332</v>
      </c>
      <c r="W59" s="1"/>
    </row>
    <row r="60" spans="4:23">
      <c r="D60" s="5">
        <v>54</v>
      </c>
      <c r="E60" s="673" t="s">
        <v>314</v>
      </c>
      <c r="F60" s="673"/>
      <c r="G60" s="673"/>
      <c r="H60" s="673"/>
      <c r="I60" s="235">
        <v>586322466</v>
      </c>
      <c r="J60" s="235"/>
      <c r="K60" s="235"/>
      <c r="L60" s="103" t="s">
        <v>100</v>
      </c>
      <c r="M60" s="103">
        <v>199</v>
      </c>
      <c r="N60" s="103" t="s">
        <v>12</v>
      </c>
      <c r="O60" s="104">
        <v>44588</v>
      </c>
      <c r="P60" s="103" t="s">
        <v>15</v>
      </c>
      <c r="Q60" s="103" t="s">
        <v>903</v>
      </c>
      <c r="R60" s="103">
        <v>1.45113782</v>
      </c>
      <c r="S60" s="103">
        <v>62312983</v>
      </c>
      <c r="T60" s="103" t="s">
        <v>134</v>
      </c>
      <c r="U60" s="105"/>
      <c r="V60" s="106"/>
      <c r="W60" s="1"/>
    </row>
    <row r="61" spans="4:23">
      <c r="D61" s="25">
        <v>55</v>
      </c>
      <c r="E61" s="677" t="s">
        <v>315</v>
      </c>
      <c r="F61" s="677"/>
      <c r="G61" s="677"/>
      <c r="H61" s="677"/>
      <c r="I61" s="239">
        <v>564328616</v>
      </c>
      <c r="J61" s="239"/>
      <c r="K61" s="239"/>
      <c r="L61" s="25" t="s">
        <v>100</v>
      </c>
      <c r="M61" s="25">
        <v>199</v>
      </c>
      <c r="N61" s="25" t="s">
        <v>12</v>
      </c>
      <c r="O61" s="92">
        <v>44588</v>
      </c>
      <c r="P61" s="25" t="s">
        <v>15</v>
      </c>
      <c r="Q61" s="117" t="s">
        <v>1025</v>
      </c>
      <c r="R61" s="25">
        <v>1.4511497099999999</v>
      </c>
      <c r="S61" s="25">
        <v>62315221</v>
      </c>
      <c r="T61" s="25" t="s">
        <v>328</v>
      </c>
      <c r="U61" s="116" t="s">
        <v>1160</v>
      </c>
      <c r="V61" s="35" t="s">
        <v>332</v>
      </c>
      <c r="W61" s="1"/>
    </row>
    <row r="62" spans="4:23">
      <c r="D62" s="5">
        <v>56</v>
      </c>
      <c r="E62" s="664" t="s">
        <v>316</v>
      </c>
      <c r="F62" s="665"/>
      <c r="G62" s="665"/>
      <c r="H62" s="666"/>
      <c r="I62" s="68">
        <v>565404960</v>
      </c>
      <c r="J62" s="230"/>
      <c r="K62" s="231"/>
      <c r="L62" s="5" t="s">
        <v>100</v>
      </c>
      <c r="M62" s="5">
        <v>199</v>
      </c>
      <c r="N62" s="5" t="s">
        <v>12</v>
      </c>
      <c r="O62" s="42">
        <v>44588</v>
      </c>
      <c r="P62" s="5" t="s">
        <v>15</v>
      </c>
      <c r="Q62" s="5"/>
      <c r="R62" s="5">
        <v>1.45115814</v>
      </c>
      <c r="S62" s="5">
        <v>62316730</v>
      </c>
      <c r="T62" s="5" t="s">
        <v>80</v>
      </c>
      <c r="U62" s="30"/>
      <c r="V62" s="3" t="s">
        <v>332</v>
      </c>
      <c r="W62" s="1"/>
    </row>
    <row r="63" spans="4:23">
      <c r="D63" s="5">
        <v>57</v>
      </c>
      <c r="E63" s="664" t="s">
        <v>317</v>
      </c>
      <c r="F63" s="665"/>
      <c r="G63" s="665"/>
      <c r="H63" s="666"/>
      <c r="I63" s="68">
        <v>544632393</v>
      </c>
      <c r="J63" s="230"/>
      <c r="K63" s="231"/>
      <c r="L63" s="5" t="s">
        <v>100</v>
      </c>
      <c r="M63" s="5">
        <v>199</v>
      </c>
      <c r="N63" s="5" t="s">
        <v>12</v>
      </c>
      <c r="O63" s="42">
        <v>44589</v>
      </c>
      <c r="P63" s="5" t="s">
        <v>15</v>
      </c>
      <c r="Q63" s="5"/>
      <c r="R63" s="43"/>
      <c r="S63" s="5">
        <v>62354765</v>
      </c>
      <c r="T63" s="5" t="s">
        <v>328</v>
      </c>
      <c r="U63" s="30"/>
      <c r="V63" s="3" t="s">
        <v>332</v>
      </c>
      <c r="W63" s="1"/>
    </row>
    <row r="64" spans="4:23">
      <c r="D64" s="5">
        <v>58</v>
      </c>
      <c r="E64" s="674" t="s">
        <v>318</v>
      </c>
      <c r="F64" s="675"/>
      <c r="G64" s="675"/>
      <c r="H64" s="676"/>
      <c r="I64" s="236">
        <v>523959632</v>
      </c>
      <c r="J64" s="237"/>
      <c r="K64" s="238"/>
      <c r="L64" s="103" t="s">
        <v>100</v>
      </c>
      <c r="M64" s="103">
        <v>199</v>
      </c>
      <c r="N64" s="103" t="s">
        <v>12</v>
      </c>
      <c r="O64" s="104">
        <v>44589</v>
      </c>
      <c r="P64" s="103" t="s">
        <v>15</v>
      </c>
      <c r="Q64" s="103" t="s">
        <v>903</v>
      </c>
      <c r="R64" s="103" t="s">
        <v>319</v>
      </c>
      <c r="S64" s="103">
        <v>62353147</v>
      </c>
      <c r="T64" s="103" t="s">
        <v>59</v>
      </c>
      <c r="U64" s="105"/>
      <c r="V64" s="106" t="s">
        <v>145</v>
      </c>
      <c r="W64" s="1"/>
    </row>
    <row r="65" spans="4:23">
      <c r="D65" s="5">
        <v>59</v>
      </c>
      <c r="E65" s="674" t="s">
        <v>320</v>
      </c>
      <c r="F65" s="675"/>
      <c r="G65" s="675"/>
      <c r="H65" s="676"/>
      <c r="I65" s="236">
        <v>568354606</v>
      </c>
      <c r="J65" s="237"/>
      <c r="K65" s="238"/>
      <c r="L65" s="103" t="s">
        <v>100</v>
      </c>
      <c r="M65" s="103">
        <v>199</v>
      </c>
      <c r="N65" s="103" t="s">
        <v>12</v>
      </c>
      <c r="O65" s="104">
        <v>44590</v>
      </c>
      <c r="P65" s="103" t="s">
        <v>15</v>
      </c>
      <c r="Q65" s="103" t="s">
        <v>903</v>
      </c>
      <c r="R65" s="103">
        <v>1.45181106</v>
      </c>
      <c r="S65" s="103">
        <v>62402980</v>
      </c>
      <c r="T65" s="103" t="s">
        <v>80</v>
      </c>
      <c r="U65" s="105"/>
      <c r="V65" s="106"/>
      <c r="W65" s="1"/>
    </row>
    <row r="66" spans="4:23">
      <c r="D66" s="5">
        <v>60</v>
      </c>
      <c r="E66" s="674" t="s">
        <v>326</v>
      </c>
      <c r="F66" s="675"/>
      <c r="G66" s="675"/>
      <c r="H66" s="676"/>
      <c r="I66" s="236">
        <v>551384693</v>
      </c>
      <c r="J66" s="237"/>
      <c r="K66" s="238"/>
      <c r="L66" s="103" t="s">
        <v>100</v>
      </c>
      <c r="M66" s="103">
        <v>199</v>
      </c>
      <c r="N66" s="103" t="s">
        <v>12</v>
      </c>
      <c r="O66" s="104">
        <v>44592</v>
      </c>
      <c r="P66" s="103" t="s">
        <v>15</v>
      </c>
      <c r="Q66" s="107" t="s">
        <v>903</v>
      </c>
      <c r="R66" s="108"/>
      <c r="S66" s="103">
        <v>62432555</v>
      </c>
      <c r="T66" s="103" t="s">
        <v>59</v>
      </c>
      <c r="U66" s="105"/>
      <c r="V66" s="106"/>
      <c r="W66" s="1"/>
    </row>
    <row r="67" spans="4:23">
      <c r="D67" s="5"/>
      <c r="E67" s="620"/>
      <c r="F67" s="620"/>
      <c r="G67" s="620"/>
      <c r="H67" s="620"/>
      <c r="I67" s="620"/>
      <c r="J67" s="620"/>
      <c r="K67" s="620"/>
      <c r="L67" s="3"/>
      <c r="M67" s="5"/>
      <c r="N67" s="3"/>
      <c r="O67" s="20"/>
      <c r="P67" s="3"/>
      <c r="Q67" s="1"/>
      <c r="R67" s="3"/>
      <c r="S67" s="3"/>
      <c r="T67" s="5"/>
      <c r="U67" s="30"/>
      <c r="V67" s="3"/>
      <c r="W67" s="3"/>
    </row>
    <row r="68" spans="4:23">
      <c r="D68" s="5"/>
      <c r="E68" s="620"/>
      <c r="F68" s="620"/>
      <c r="G68" s="620"/>
      <c r="H68" s="620"/>
      <c r="I68" s="620"/>
      <c r="J68" s="620"/>
      <c r="K68" s="620"/>
      <c r="L68" s="3"/>
      <c r="M68" s="5"/>
      <c r="N68" s="3"/>
      <c r="O68" s="20"/>
      <c r="P68" s="3"/>
      <c r="Q68" s="1"/>
      <c r="R68" s="3"/>
      <c r="S68" s="3"/>
      <c r="T68" s="5"/>
      <c r="U68" s="30"/>
      <c r="V68" s="3"/>
      <c r="W68" s="3"/>
    </row>
    <row r="69" spans="4:23">
      <c r="D69" s="5"/>
      <c r="E69" s="620"/>
      <c r="F69" s="620"/>
      <c r="G69" s="620"/>
      <c r="H69" s="620"/>
      <c r="I69" s="620"/>
      <c r="J69" s="620"/>
      <c r="K69" s="620"/>
      <c r="L69" s="3"/>
      <c r="M69" s="5"/>
      <c r="N69" s="3"/>
      <c r="O69" s="20"/>
      <c r="P69" s="3"/>
      <c r="Q69" s="1"/>
      <c r="R69" s="3"/>
      <c r="S69" s="3"/>
      <c r="T69" s="5"/>
      <c r="U69" s="30"/>
      <c r="V69" s="3"/>
      <c r="W69" s="3"/>
    </row>
    <row r="70" spans="4:23">
      <c r="D70" s="5"/>
      <c r="E70" s="620"/>
      <c r="F70" s="620"/>
      <c r="G70" s="620"/>
      <c r="H70" s="620"/>
      <c r="I70" s="620"/>
      <c r="J70" s="620"/>
      <c r="K70" s="620"/>
      <c r="L70" s="3"/>
      <c r="M70" s="5"/>
      <c r="N70" s="3"/>
      <c r="O70" s="20"/>
      <c r="P70" s="3"/>
      <c r="Q70" s="1"/>
      <c r="R70" s="28"/>
      <c r="S70" s="3"/>
      <c r="T70" s="5"/>
      <c r="U70" s="30"/>
      <c r="V70" s="3"/>
      <c r="W70" s="3"/>
    </row>
    <row r="71" spans="4:23">
      <c r="D71" s="5"/>
      <c r="E71" s="620"/>
      <c r="F71" s="620"/>
      <c r="G71" s="620"/>
      <c r="H71" s="620"/>
      <c r="I71" s="620"/>
      <c r="J71" s="620"/>
      <c r="K71" s="620"/>
      <c r="L71" s="3"/>
      <c r="M71" s="5"/>
      <c r="N71" s="3"/>
      <c r="O71" s="20"/>
      <c r="P71" s="3"/>
      <c r="Q71" s="1"/>
      <c r="R71" s="3"/>
      <c r="S71" s="3"/>
      <c r="T71" s="3"/>
      <c r="U71" s="30"/>
      <c r="V71" s="3"/>
      <c r="W71" s="3"/>
    </row>
    <row r="72" spans="4:23">
      <c r="D72" s="5"/>
      <c r="E72" s="620"/>
      <c r="F72" s="620"/>
      <c r="G72" s="620"/>
      <c r="H72" s="620"/>
      <c r="I72" s="620"/>
      <c r="J72" s="620"/>
      <c r="K72" s="620"/>
      <c r="L72" s="3"/>
      <c r="M72" s="5"/>
      <c r="N72" s="3"/>
      <c r="O72" s="20"/>
      <c r="P72" s="3"/>
      <c r="Q72" s="1"/>
      <c r="R72" s="3"/>
      <c r="S72" s="3"/>
      <c r="T72" s="3"/>
      <c r="U72" s="30"/>
      <c r="V72" s="3"/>
      <c r="W72" s="3"/>
    </row>
    <row r="73" spans="4:23">
      <c r="D73" s="5"/>
      <c r="E73" s="620"/>
      <c r="F73" s="620"/>
      <c r="G73" s="620"/>
      <c r="H73" s="620"/>
      <c r="I73" s="620"/>
      <c r="J73" s="620"/>
      <c r="K73" s="620"/>
      <c r="L73" s="3"/>
      <c r="M73" s="5"/>
      <c r="N73" s="3"/>
      <c r="O73" s="20"/>
      <c r="P73" s="3"/>
      <c r="Q73" s="1"/>
      <c r="R73" s="3"/>
      <c r="S73" s="3"/>
      <c r="T73" s="3"/>
      <c r="U73" s="30"/>
      <c r="V73" s="3"/>
      <c r="W73" s="3"/>
    </row>
    <row r="74" spans="4:23">
      <c r="D74" s="5"/>
      <c r="E74" s="620"/>
      <c r="F74" s="620"/>
      <c r="G74" s="620"/>
      <c r="H74" s="620"/>
      <c r="I74" s="620"/>
      <c r="J74" s="620"/>
      <c r="K74" s="620"/>
      <c r="L74" s="3"/>
      <c r="M74" s="5"/>
      <c r="N74" s="3"/>
      <c r="O74" s="20"/>
      <c r="P74" s="3"/>
      <c r="Q74" s="1"/>
      <c r="R74" s="3"/>
      <c r="S74" s="3"/>
      <c r="T74" s="3"/>
      <c r="U74" s="30"/>
      <c r="V74" s="3"/>
      <c r="W74" s="3"/>
    </row>
    <row r="75" spans="4:23">
      <c r="D75" s="5"/>
      <c r="E75" s="620"/>
      <c r="F75" s="620"/>
      <c r="G75" s="620"/>
      <c r="H75" s="620"/>
      <c r="I75" s="620"/>
      <c r="J75" s="620"/>
      <c r="K75" s="620"/>
      <c r="L75" s="3"/>
      <c r="M75" s="5"/>
      <c r="N75" s="3"/>
      <c r="O75" s="20"/>
      <c r="P75" s="3"/>
      <c r="Q75" s="1"/>
      <c r="R75" s="3"/>
      <c r="S75" s="3"/>
      <c r="T75" s="3"/>
      <c r="U75" s="30"/>
      <c r="V75" s="3"/>
      <c r="W75" s="3"/>
    </row>
    <row r="76" spans="4:23">
      <c r="D76" s="5"/>
      <c r="E76" s="620"/>
      <c r="F76" s="620"/>
      <c r="G76" s="620"/>
      <c r="H76" s="620"/>
      <c r="I76" s="620"/>
      <c r="J76" s="620"/>
      <c r="K76" s="620"/>
      <c r="L76" s="3"/>
      <c r="M76" s="5"/>
      <c r="N76" s="3"/>
      <c r="O76" s="20"/>
      <c r="P76" s="3"/>
      <c r="Q76" s="1"/>
      <c r="R76" s="3"/>
      <c r="S76" s="3"/>
      <c r="T76" s="3"/>
      <c r="U76" s="30"/>
      <c r="V76" s="3"/>
      <c r="W76" s="3"/>
    </row>
    <row r="77" spans="4:23">
      <c r="D77" s="5"/>
      <c r="E77" s="620"/>
      <c r="F77" s="620"/>
      <c r="G77" s="620"/>
      <c r="H77" s="620"/>
      <c r="I77" s="620"/>
      <c r="J77" s="620"/>
      <c r="K77" s="620"/>
      <c r="L77" s="3"/>
      <c r="M77" s="5"/>
      <c r="N77" s="3"/>
      <c r="O77" s="20"/>
      <c r="P77" s="3"/>
      <c r="Q77" s="1"/>
      <c r="R77" s="3"/>
      <c r="S77" s="3"/>
      <c r="T77" s="3"/>
      <c r="U77" s="30"/>
      <c r="V77" s="3"/>
      <c r="W77" s="34"/>
    </row>
    <row r="78" spans="4:23">
      <c r="D78" s="5"/>
      <c r="E78" s="620"/>
      <c r="F78" s="620"/>
      <c r="G78" s="620"/>
      <c r="H78" s="620"/>
      <c r="I78" s="620"/>
      <c r="J78" s="620"/>
      <c r="K78" s="620"/>
      <c r="L78" s="3"/>
      <c r="M78" s="5"/>
      <c r="N78" s="3"/>
      <c r="O78" s="20"/>
      <c r="P78" s="3"/>
      <c r="Q78" s="1"/>
      <c r="R78" s="28"/>
      <c r="S78" s="3"/>
      <c r="T78" s="3"/>
      <c r="U78" s="30"/>
      <c r="V78" s="3"/>
      <c r="W78" s="3"/>
    </row>
    <row r="79" spans="4:23">
      <c r="D79" s="5"/>
      <c r="E79" s="620"/>
      <c r="F79" s="620"/>
      <c r="G79" s="620"/>
      <c r="H79" s="620"/>
      <c r="I79" s="620"/>
      <c r="J79" s="620"/>
      <c r="K79" s="620"/>
      <c r="L79" s="3"/>
      <c r="M79" s="5"/>
      <c r="N79" s="3"/>
      <c r="O79" s="20"/>
      <c r="P79" s="3"/>
      <c r="Q79" s="1"/>
      <c r="R79" s="28"/>
      <c r="S79" s="3"/>
      <c r="T79" s="3"/>
      <c r="U79" s="30"/>
      <c r="V79" s="3"/>
      <c r="W79" s="1"/>
    </row>
    <row r="80" spans="4:23">
      <c r="D80" s="5"/>
      <c r="E80" s="620"/>
      <c r="F80" s="620"/>
      <c r="G80" s="620"/>
      <c r="H80" s="620"/>
      <c r="I80" s="620"/>
      <c r="J80" s="620"/>
      <c r="K80" s="620"/>
      <c r="L80" s="3"/>
      <c r="M80" s="5"/>
      <c r="N80" s="3"/>
      <c r="O80" s="20"/>
      <c r="P80" s="3"/>
      <c r="Q80" s="1"/>
      <c r="R80" s="3"/>
      <c r="S80" s="3"/>
      <c r="T80" s="3"/>
      <c r="U80" s="30"/>
      <c r="V80" s="3"/>
      <c r="W80" s="1"/>
    </row>
    <row r="81" spans="4:23">
      <c r="D81" s="5"/>
      <c r="E81" s="620"/>
      <c r="F81" s="620"/>
      <c r="G81" s="620"/>
      <c r="H81" s="620"/>
      <c r="I81" s="620"/>
      <c r="J81" s="620"/>
      <c r="K81" s="620"/>
      <c r="L81" s="3"/>
      <c r="M81" s="5"/>
      <c r="N81" s="3"/>
      <c r="O81" s="20"/>
      <c r="P81" s="3"/>
      <c r="Q81" s="1"/>
      <c r="R81" s="3"/>
      <c r="S81" s="3"/>
      <c r="T81" s="3"/>
      <c r="U81" s="30"/>
      <c r="V81" s="3"/>
      <c r="W81" s="1"/>
    </row>
    <row r="82" spans="4:23">
      <c r="D82" s="5"/>
      <c r="E82" s="635"/>
      <c r="F82" s="636"/>
      <c r="G82" s="636"/>
      <c r="H82" s="637"/>
      <c r="I82" s="635"/>
      <c r="J82" s="636"/>
      <c r="K82" s="637"/>
      <c r="L82" s="3"/>
      <c r="M82" s="5"/>
      <c r="N82" s="3"/>
      <c r="O82" s="20"/>
      <c r="P82" s="3"/>
      <c r="Q82" s="1"/>
      <c r="R82" s="28"/>
      <c r="S82" s="3"/>
      <c r="T82" s="3"/>
      <c r="U82" s="30"/>
      <c r="V82" s="3"/>
      <c r="W82" s="1"/>
    </row>
    <row r="83" spans="4:23">
      <c r="D83" s="5"/>
      <c r="E83" s="635"/>
      <c r="F83" s="636"/>
      <c r="G83" s="636"/>
      <c r="H83" s="637"/>
      <c r="I83" s="635"/>
      <c r="J83" s="636"/>
      <c r="K83" s="637"/>
      <c r="L83" s="3"/>
      <c r="M83" s="5"/>
      <c r="N83" s="3"/>
      <c r="O83" s="20"/>
      <c r="P83" s="3"/>
      <c r="Q83" s="1"/>
      <c r="R83" s="28"/>
      <c r="S83" s="3"/>
      <c r="T83" s="3"/>
      <c r="U83" s="30"/>
      <c r="V83" s="3"/>
      <c r="W83" s="1"/>
    </row>
    <row r="84" spans="4:23">
      <c r="D84" s="5"/>
      <c r="E84" s="620"/>
      <c r="F84" s="620"/>
      <c r="G84" s="620"/>
      <c r="H84" s="620"/>
      <c r="I84" s="620"/>
      <c r="J84" s="620"/>
      <c r="K84" s="620"/>
      <c r="L84" s="3"/>
      <c r="M84" s="5"/>
      <c r="N84" s="3"/>
      <c r="O84" s="20"/>
      <c r="P84" s="3"/>
      <c r="Q84" s="1"/>
      <c r="R84" s="3"/>
      <c r="S84" s="3"/>
      <c r="T84" s="3"/>
      <c r="U84" s="30"/>
      <c r="V84" s="3"/>
      <c r="W84" s="1"/>
    </row>
    <row r="85" spans="4:23">
      <c r="D85" s="5"/>
      <c r="E85" s="635"/>
      <c r="F85" s="636"/>
      <c r="G85" s="636"/>
      <c r="H85" s="637"/>
      <c r="I85" s="635"/>
      <c r="J85" s="636"/>
      <c r="K85" s="637"/>
      <c r="L85" s="3"/>
      <c r="M85" s="5"/>
      <c r="N85" s="3"/>
      <c r="O85" s="20"/>
      <c r="P85" s="3"/>
      <c r="Q85" s="1"/>
      <c r="R85" s="28"/>
      <c r="S85" s="3"/>
      <c r="T85" s="3"/>
      <c r="U85" s="30"/>
      <c r="V85" s="3"/>
      <c r="W85" s="1"/>
    </row>
    <row r="86" spans="4:23">
      <c r="D86" s="5"/>
      <c r="E86" s="635"/>
      <c r="F86" s="636"/>
      <c r="G86" s="636"/>
      <c r="H86" s="637"/>
      <c r="I86" s="635"/>
      <c r="J86" s="636"/>
      <c r="K86" s="637"/>
      <c r="L86" s="3"/>
      <c r="M86" s="5"/>
      <c r="N86" s="3"/>
      <c r="O86" s="20"/>
      <c r="P86" s="3"/>
      <c r="Q86" s="1"/>
      <c r="R86" s="28"/>
      <c r="S86" s="3"/>
      <c r="T86" s="3"/>
      <c r="U86" s="30"/>
      <c r="V86" s="3"/>
      <c r="W86" s="3"/>
    </row>
    <row r="87" spans="4:23">
      <c r="D87" s="5"/>
      <c r="E87" s="620"/>
      <c r="F87" s="620"/>
      <c r="G87" s="620"/>
      <c r="H87" s="620"/>
      <c r="I87" s="620"/>
      <c r="J87" s="620"/>
      <c r="K87" s="620"/>
      <c r="L87" s="3"/>
      <c r="M87" s="5"/>
      <c r="N87" s="3"/>
      <c r="O87" s="20"/>
      <c r="P87" s="3"/>
      <c r="Q87" s="3"/>
      <c r="R87" s="3"/>
      <c r="S87" s="3"/>
      <c r="T87" s="3"/>
      <c r="U87" s="30"/>
      <c r="V87" s="3"/>
      <c r="W87" s="3"/>
    </row>
    <row r="88" spans="4:23">
      <c r="D88" s="5"/>
      <c r="E88" s="635"/>
      <c r="F88" s="636"/>
      <c r="G88" s="636"/>
      <c r="H88" s="637"/>
      <c r="I88" s="635"/>
      <c r="J88" s="636"/>
      <c r="K88" s="637"/>
      <c r="L88" s="3"/>
      <c r="M88" s="5"/>
      <c r="N88" s="3"/>
      <c r="O88" s="20"/>
      <c r="P88" s="3"/>
      <c r="Q88" s="1"/>
      <c r="R88" s="28"/>
      <c r="S88" s="3"/>
      <c r="T88" s="3"/>
      <c r="U88" s="30"/>
      <c r="V88" s="3"/>
      <c r="W88" s="3"/>
    </row>
    <row r="89" spans="4:23">
      <c r="D89" s="5"/>
      <c r="E89" s="635"/>
      <c r="F89" s="636"/>
      <c r="G89" s="636"/>
      <c r="H89" s="637"/>
      <c r="I89" s="635"/>
      <c r="J89" s="636"/>
      <c r="K89" s="637"/>
      <c r="L89" s="3"/>
      <c r="M89" s="5"/>
      <c r="N89" s="3"/>
      <c r="O89" s="20"/>
      <c r="P89" s="3"/>
      <c r="Q89" s="1"/>
      <c r="R89" s="28"/>
      <c r="S89" s="3"/>
      <c r="T89" s="3"/>
      <c r="U89" s="30"/>
      <c r="V89" s="3"/>
      <c r="W89" s="3"/>
    </row>
    <row r="90" spans="4:23">
      <c r="D90" s="5"/>
      <c r="E90" s="620"/>
      <c r="F90" s="620"/>
      <c r="G90" s="620"/>
      <c r="H90" s="620"/>
      <c r="I90" s="620"/>
      <c r="J90" s="620"/>
      <c r="K90" s="620"/>
      <c r="L90" s="3"/>
      <c r="M90" s="5"/>
      <c r="N90" s="3"/>
      <c r="O90" s="20"/>
      <c r="P90" s="3"/>
      <c r="Q90" s="1"/>
      <c r="R90" s="3"/>
      <c r="S90" s="3"/>
      <c r="T90" s="3"/>
      <c r="U90" s="30"/>
      <c r="V90" s="3"/>
      <c r="W90" s="3"/>
    </row>
    <row r="91" spans="4:23">
      <c r="D91" s="5"/>
      <c r="E91" s="635"/>
      <c r="F91" s="636"/>
      <c r="G91" s="636"/>
      <c r="H91" s="637"/>
      <c r="I91" s="635"/>
      <c r="J91" s="636"/>
      <c r="K91" s="637"/>
      <c r="L91" s="3"/>
      <c r="M91" s="5"/>
      <c r="N91" s="3"/>
      <c r="O91" s="20"/>
      <c r="P91" s="3"/>
      <c r="Q91" s="1"/>
      <c r="R91" s="28"/>
      <c r="S91" s="3"/>
      <c r="T91" s="3"/>
      <c r="U91" s="30"/>
      <c r="V91" s="3"/>
      <c r="W91" s="3"/>
    </row>
    <row r="92" spans="4:23">
      <c r="D92" s="5"/>
      <c r="E92" s="635"/>
      <c r="F92" s="636"/>
      <c r="G92" s="636"/>
      <c r="H92" s="637"/>
      <c r="I92" s="635"/>
      <c r="J92" s="636"/>
      <c r="K92" s="637"/>
      <c r="L92" s="3"/>
      <c r="M92" s="5"/>
      <c r="N92" s="3"/>
      <c r="O92" s="20"/>
      <c r="P92" s="3"/>
      <c r="Q92" s="1"/>
      <c r="R92" s="28"/>
      <c r="S92" s="3"/>
      <c r="T92" s="3"/>
      <c r="U92" s="30"/>
      <c r="V92" s="3"/>
      <c r="W92" s="3"/>
    </row>
    <row r="93" spans="4:23">
      <c r="D93" s="5"/>
      <c r="E93" s="620"/>
      <c r="F93" s="620"/>
      <c r="G93" s="620"/>
      <c r="H93" s="620"/>
      <c r="I93" s="620"/>
      <c r="J93" s="620"/>
      <c r="K93" s="620"/>
      <c r="L93" s="3"/>
      <c r="M93" s="5"/>
      <c r="N93" s="3"/>
      <c r="O93" s="20"/>
      <c r="P93" s="3"/>
      <c r="Q93" s="1"/>
      <c r="R93" s="3"/>
      <c r="S93" s="3"/>
      <c r="T93" s="3"/>
      <c r="U93" s="30"/>
      <c r="V93" s="3"/>
      <c r="W93" s="3"/>
    </row>
    <row r="94" spans="4:23">
      <c r="D94" s="5"/>
      <c r="E94" s="635"/>
      <c r="F94" s="636"/>
      <c r="G94" s="636"/>
      <c r="H94" s="637"/>
      <c r="I94" s="635"/>
      <c r="J94" s="636"/>
      <c r="K94" s="637"/>
      <c r="L94" s="3"/>
      <c r="M94" s="5"/>
      <c r="N94" s="3"/>
      <c r="O94" s="20"/>
      <c r="P94" s="3"/>
      <c r="Q94" s="1"/>
      <c r="R94" s="28"/>
      <c r="S94" s="3"/>
      <c r="T94" s="3"/>
      <c r="U94" s="30"/>
      <c r="V94" s="3"/>
      <c r="W94" s="3"/>
    </row>
    <row r="95" spans="4:23">
      <c r="D95" s="5"/>
      <c r="E95" s="635"/>
      <c r="F95" s="636"/>
      <c r="G95" s="636"/>
      <c r="H95" s="637"/>
      <c r="I95" s="635"/>
      <c r="J95" s="636"/>
      <c r="K95" s="637"/>
      <c r="L95" s="3"/>
      <c r="M95" s="5"/>
      <c r="N95" s="3"/>
      <c r="O95" s="20"/>
      <c r="P95" s="3"/>
      <c r="Q95" s="1"/>
      <c r="R95" s="28"/>
      <c r="S95" s="3"/>
      <c r="T95" s="3"/>
      <c r="U95" s="30"/>
      <c r="V95" s="3"/>
      <c r="W95" s="3"/>
    </row>
    <row r="96" spans="4:23">
      <c r="D96" s="5"/>
      <c r="E96" s="620"/>
      <c r="F96" s="620"/>
      <c r="G96" s="620"/>
      <c r="H96" s="620"/>
      <c r="I96" s="620"/>
      <c r="J96" s="620"/>
      <c r="K96" s="620"/>
      <c r="L96" s="3"/>
      <c r="M96" s="5"/>
      <c r="N96" s="3"/>
      <c r="O96" s="20"/>
      <c r="P96" s="3"/>
      <c r="Q96" s="1"/>
      <c r="R96" s="3"/>
      <c r="S96" s="3"/>
      <c r="T96" s="3"/>
      <c r="U96" s="30"/>
      <c r="V96" s="3"/>
      <c r="W96" s="3"/>
    </row>
    <row r="97" spans="4:23">
      <c r="D97" s="5"/>
      <c r="E97" s="635"/>
      <c r="F97" s="636"/>
      <c r="G97" s="636"/>
      <c r="H97" s="637"/>
      <c r="I97" s="635"/>
      <c r="J97" s="636"/>
      <c r="K97" s="637"/>
      <c r="L97" s="3"/>
      <c r="M97" s="5"/>
      <c r="N97" s="3"/>
      <c r="O97" s="20"/>
      <c r="P97" s="3"/>
      <c r="Q97" s="1"/>
      <c r="R97" s="28"/>
      <c r="S97" s="3"/>
      <c r="T97" s="3"/>
      <c r="U97" s="30"/>
      <c r="V97" s="3"/>
      <c r="W97" s="3"/>
    </row>
    <row r="98" spans="4:23">
      <c r="D98" s="5"/>
      <c r="E98" s="635"/>
      <c r="F98" s="636"/>
      <c r="G98" s="636"/>
      <c r="H98" s="637"/>
      <c r="I98" s="635"/>
      <c r="J98" s="636"/>
      <c r="K98" s="637"/>
      <c r="L98" s="3"/>
      <c r="M98" s="5"/>
      <c r="N98" s="3"/>
      <c r="O98" s="20"/>
      <c r="P98" s="3"/>
      <c r="Q98" s="1"/>
      <c r="R98" s="28"/>
      <c r="S98" s="3"/>
      <c r="T98" s="3"/>
      <c r="U98" s="30"/>
      <c r="V98" s="3"/>
      <c r="W98" s="1"/>
    </row>
    <row r="99" spans="4:23">
      <c r="D99" s="5"/>
      <c r="E99" s="635"/>
      <c r="F99" s="636"/>
      <c r="G99" s="636"/>
      <c r="H99" s="637"/>
      <c r="I99" s="635"/>
      <c r="J99" s="636"/>
      <c r="K99" s="637"/>
      <c r="L99" s="3"/>
      <c r="M99" s="5"/>
      <c r="N99" s="3"/>
      <c r="O99" s="20"/>
      <c r="P99" s="3"/>
      <c r="Q99" s="1"/>
      <c r="R99" s="28"/>
      <c r="S99" s="3"/>
      <c r="T99" s="3"/>
      <c r="U99" s="30"/>
      <c r="V99" s="5"/>
      <c r="W99" s="1"/>
    </row>
    <row r="100" spans="4:23">
      <c r="D100" s="5"/>
      <c r="E100" s="635"/>
      <c r="F100" s="636"/>
      <c r="G100" s="636"/>
      <c r="H100" s="637"/>
      <c r="I100" s="635"/>
      <c r="J100" s="636"/>
      <c r="K100" s="637"/>
      <c r="L100" s="3"/>
      <c r="M100" s="5"/>
      <c r="N100" s="3"/>
      <c r="O100" s="20"/>
      <c r="P100" s="3"/>
      <c r="Q100" s="1"/>
      <c r="R100" s="3"/>
      <c r="S100" s="3"/>
      <c r="T100" s="3"/>
      <c r="U100" s="30"/>
      <c r="V100" s="5"/>
      <c r="W100" s="1"/>
    </row>
    <row r="101" spans="4:23">
      <c r="D101" s="5"/>
      <c r="E101" s="635"/>
      <c r="F101" s="636"/>
      <c r="G101" s="636"/>
      <c r="H101" s="637"/>
      <c r="I101" s="635"/>
      <c r="J101" s="636"/>
      <c r="K101" s="637"/>
      <c r="L101" s="3"/>
      <c r="M101" s="5"/>
      <c r="N101" s="3"/>
      <c r="O101" s="20"/>
      <c r="P101" s="3"/>
      <c r="Q101" s="1"/>
      <c r="R101" s="3"/>
      <c r="S101" s="3"/>
      <c r="T101" s="3"/>
      <c r="U101" s="30"/>
      <c r="V101" s="5"/>
      <c r="W101" s="1"/>
    </row>
    <row r="102" spans="4:23">
      <c r="D102" s="5"/>
      <c r="E102" s="635"/>
      <c r="F102" s="636"/>
      <c r="G102" s="636"/>
      <c r="H102" s="637"/>
      <c r="I102" s="635"/>
      <c r="J102" s="636"/>
      <c r="K102" s="637"/>
      <c r="L102" s="3"/>
      <c r="M102" s="5"/>
      <c r="N102" s="3"/>
      <c r="O102" s="20"/>
      <c r="P102" s="3"/>
      <c r="Q102" s="1"/>
      <c r="R102" s="3"/>
      <c r="S102" s="3"/>
      <c r="T102" s="3"/>
      <c r="U102" s="30"/>
      <c r="V102" s="5"/>
      <c r="W102" s="1"/>
    </row>
    <row r="103" spans="4:23">
      <c r="D103" s="5"/>
      <c r="E103" s="635"/>
      <c r="F103" s="636"/>
      <c r="G103" s="636"/>
      <c r="H103" s="637"/>
      <c r="I103" s="635"/>
      <c r="J103" s="636"/>
      <c r="K103" s="637"/>
      <c r="L103" s="3"/>
      <c r="M103" s="5"/>
      <c r="N103" s="3"/>
      <c r="O103" s="20"/>
      <c r="P103" s="3"/>
      <c r="Q103" s="1"/>
      <c r="R103" s="3"/>
      <c r="S103" s="3"/>
      <c r="T103" s="3"/>
      <c r="U103" s="30"/>
      <c r="V103" s="5"/>
      <c r="W103" s="1"/>
    </row>
    <row r="104" spans="4:23">
      <c r="D104" s="5"/>
      <c r="E104" s="635"/>
      <c r="F104" s="636"/>
      <c r="G104" s="636"/>
      <c r="H104" s="637"/>
      <c r="I104" s="635"/>
      <c r="J104" s="636"/>
      <c r="K104" s="637"/>
      <c r="L104" s="3"/>
      <c r="M104" s="5"/>
      <c r="N104" s="3"/>
      <c r="O104" s="20"/>
      <c r="P104" s="3"/>
      <c r="Q104" s="1"/>
      <c r="R104" s="3"/>
      <c r="S104" s="3"/>
      <c r="T104" s="3"/>
      <c r="U104" s="30"/>
      <c r="V104" s="5"/>
      <c r="W104" s="1"/>
    </row>
    <row r="105" spans="4:23">
      <c r="D105" s="5"/>
      <c r="E105" s="635"/>
      <c r="F105" s="636"/>
      <c r="G105" s="636"/>
      <c r="H105" s="637"/>
      <c r="I105" s="635"/>
      <c r="J105" s="636"/>
      <c r="K105" s="637"/>
      <c r="L105" s="3"/>
      <c r="M105" s="5"/>
      <c r="N105" s="3"/>
      <c r="O105" s="20"/>
      <c r="P105" s="3"/>
      <c r="Q105" s="1"/>
      <c r="R105" s="3"/>
      <c r="S105" s="3"/>
      <c r="T105" s="3"/>
      <c r="U105" s="30"/>
      <c r="V105" s="5"/>
      <c r="W105" s="3"/>
    </row>
    <row r="106" spans="4:23">
      <c r="D106" s="5"/>
      <c r="E106" s="635"/>
      <c r="F106" s="636"/>
      <c r="G106" s="636"/>
      <c r="H106" s="637"/>
      <c r="I106" s="635"/>
      <c r="J106" s="636"/>
      <c r="K106" s="637"/>
      <c r="L106" s="3"/>
      <c r="M106" s="3"/>
      <c r="N106" s="3"/>
      <c r="O106" s="20"/>
      <c r="P106" s="3"/>
      <c r="Q106" s="1"/>
      <c r="R106" s="3"/>
      <c r="S106" s="3"/>
      <c r="T106" s="3"/>
      <c r="U106" s="30"/>
      <c r="V106" s="5"/>
      <c r="W106" s="3"/>
    </row>
  </sheetData>
  <autoFilter ref="D6:V66" xr:uid="{00000000-0009-0000-0000-000003000000}">
    <filterColumn colId="1" showButton="0"/>
    <filterColumn colId="2" showButton="0"/>
    <filterColumn colId="3" showButton="0"/>
    <filterColumn colId="5" showButton="0"/>
    <filterColumn colId="6" showButton="0"/>
  </autoFilter>
  <mergeCells count="143">
    <mergeCell ref="E106:H106"/>
    <mergeCell ref="I106:K106"/>
    <mergeCell ref="D3:W5"/>
    <mergeCell ref="E103:H103"/>
    <mergeCell ref="I103:K103"/>
    <mergeCell ref="E104:H104"/>
    <mergeCell ref="I104:K104"/>
    <mergeCell ref="E105:H105"/>
    <mergeCell ref="I105:K105"/>
    <mergeCell ref="E100:H100"/>
    <mergeCell ref="I100:K100"/>
    <mergeCell ref="E101:H101"/>
    <mergeCell ref="I101:K101"/>
    <mergeCell ref="E102:H102"/>
    <mergeCell ref="I102:K102"/>
    <mergeCell ref="E97:H97"/>
    <mergeCell ref="I97:K97"/>
    <mergeCell ref="E98:H98"/>
    <mergeCell ref="I98:K98"/>
    <mergeCell ref="E99:H99"/>
    <mergeCell ref="I99:K99"/>
    <mergeCell ref="E94:H94"/>
    <mergeCell ref="I94:K94"/>
    <mergeCell ref="E95:H95"/>
    <mergeCell ref="I95:K95"/>
    <mergeCell ref="E96:H96"/>
    <mergeCell ref="I96:K96"/>
    <mergeCell ref="E91:H91"/>
    <mergeCell ref="I91:K91"/>
    <mergeCell ref="E92:H92"/>
    <mergeCell ref="I92:K92"/>
    <mergeCell ref="E93:H93"/>
    <mergeCell ref="I93:K93"/>
    <mergeCell ref="E88:H88"/>
    <mergeCell ref="I88:K88"/>
    <mergeCell ref="E89:H89"/>
    <mergeCell ref="I89:K89"/>
    <mergeCell ref="E90:H90"/>
    <mergeCell ref="I90:K90"/>
    <mergeCell ref="E85:H85"/>
    <mergeCell ref="I85:K85"/>
    <mergeCell ref="E86:H86"/>
    <mergeCell ref="I86:K86"/>
    <mergeCell ref="E87:H87"/>
    <mergeCell ref="I87:K87"/>
    <mergeCell ref="E82:H82"/>
    <mergeCell ref="I82:K82"/>
    <mergeCell ref="E83:H83"/>
    <mergeCell ref="I83:K83"/>
    <mergeCell ref="E84:H84"/>
    <mergeCell ref="I84:K84"/>
    <mergeCell ref="E79:H79"/>
    <mergeCell ref="I79:K79"/>
    <mergeCell ref="E80:H80"/>
    <mergeCell ref="I80:K80"/>
    <mergeCell ref="E81:H81"/>
    <mergeCell ref="I81:K81"/>
    <mergeCell ref="E77:H77"/>
    <mergeCell ref="I77:K77"/>
    <mergeCell ref="E78:H78"/>
    <mergeCell ref="I78:K78"/>
    <mergeCell ref="E73:H73"/>
    <mergeCell ref="I73:K73"/>
    <mergeCell ref="E74:H74"/>
    <mergeCell ref="I74:K74"/>
    <mergeCell ref="E75:H75"/>
    <mergeCell ref="I75:K75"/>
    <mergeCell ref="E72:H72"/>
    <mergeCell ref="I72:K72"/>
    <mergeCell ref="E67:H67"/>
    <mergeCell ref="I67:K67"/>
    <mergeCell ref="E68:H68"/>
    <mergeCell ref="I68:K68"/>
    <mergeCell ref="E69:H69"/>
    <mergeCell ref="I69:K69"/>
    <mergeCell ref="E76:H76"/>
    <mergeCell ref="I76:K76"/>
    <mergeCell ref="E64:H64"/>
    <mergeCell ref="E65:H65"/>
    <mergeCell ref="E66:H66"/>
    <mergeCell ref="E61:H61"/>
    <mergeCell ref="E62:H62"/>
    <mergeCell ref="E63:H63"/>
    <mergeCell ref="E70:H70"/>
    <mergeCell ref="I70:K70"/>
    <mergeCell ref="E71:H71"/>
    <mergeCell ref="I71:K71"/>
    <mergeCell ref="E52:H52"/>
    <mergeCell ref="E53:H53"/>
    <mergeCell ref="E54:H54"/>
    <mergeCell ref="E49:H49"/>
    <mergeCell ref="E50:H50"/>
    <mergeCell ref="E51:H51"/>
    <mergeCell ref="E58:H58"/>
    <mergeCell ref="E59:H59"/>
    <mergeCell ref="E60:H60"/>
    <mergeCell ref="E55:H55"/>
    <mergeCell ref="E56:H56"/>
    <mergeCell ref="E57:H57"/>
    <mergeCell ref="E40:H40"/>
    <mergeCell ref="E41:H41"/>
    <mergeCell ref="E42:H42"/>
    <mergeCell ref="E37:H37"/>
    <mergeCell ref="E38:H38"/>
    <mergeCell ref="E39:H39"/>
    <mergeCell ref="E46:H46"/>
    <mergeCell ref="E47:H47"/>
    <mergeCell ref="E48:H48"/>
    <mergeCell ref="E43:H43"/>
    <mergeCell ref="E44:H44"/>
    <mergeCell ref="E45:H45"/>
    <mergeCell ref="E28:H28"/>
    <mergeCell ref="E29:H29"/>
    <mergeCell ref="E30:H30"/>
    <mergeCell ref="E25:H25"/>
    <mergeCell ref="E26:H26"/>
    <mergeCell ref="E27:H27"/>
    <mergeCell ref="E34:H34"/>
    <mergeCell ref="E35:H35"/>
    <mergeCell ref="E36:H36"/>
    <mergeCell ref="E31:H31"/>
    <mergeCell ref="E32:H32"/>
    <mergeCell ref="E33:H33"/>
    <mergeCell ref="E17:H17"/>
    <mergeCell ref="E18:H18"/>
    <mergeCell ref="E13:H13"/>
    <mergeCell ref="E14:H14"/>
    <mergeCell ref="E15:H15"/>
    <mergeCell ref="E22:H22"/>
    <mergeCell ref="E23:H23"/>
    <mergeCell ref="E24:H24"/>
    <mergeCell ref="E19:H19"/>
    <mergeCell ref="E20:H20"/>
    <mergeCell ref="E21:H21"/>
    <mergeCell ref="E6:H6"/>
    <mergeCell ref="I6:K6"/>
    <mergeCell ref="E10:H10"/>
    <mergeCell ref="E11:H11"/>
    <mergeCell ref="E12:H12"/>
    <mergeCell ref="E7:H7"/>
    <mergeCell ref="E8:H8"/>
    <mergeCell ref="E9:H9"/>
    <mergeCell ref="E16:H16"/>
  </mergeCell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5:V90"/>
  <sheetViews>
    <sheetView topLeftCell="A26" zoomScale="70" zoomScaleNormal="70" workbookViewId="0">
      <selection activeCell="I9" sqref="I9:I57"/>
    </sheetView>
  </sheetViews>
  <sheetFormatPr defaultRowHeight="14.5"/>
  <cols>
    <col min="9" max="9" width="11.81640625" bestFit="1" customWidth="1"/>
    <col min="12" max="12" width="13.81640625" customWidth="1"/>
    <col min="13" max="13" width="12.453125" bestFit="1" customWidth="1"/>
    <col min="14" max="14" width="16.1796875" bestFit="1" customWidth="1"/>
    <col min="15" max="15" width="16.54296875" bestFit="1" customWidth="1"/>
    <col min="16" max="16" width="27" bestFit="1" customWidth="1"/>
    <col min="17" max="17" width="26" bestFit="1" customWidth="1"/>
    <col min="18" max="18" width="10" bestFit="1" customWidth="1"/>
    <col min="19" max="19" width="9.54296875" customWidth="1"/>
    <col min="20" max="20" width="10.54296875" bestFit="1" customWidth="1"/>
    <col min="21" max="21" width="11.453125" bestFit="1" customWidth="1"/>
  </cols>
  <sheetData>
    <row r="5" spans="4:22" ht="14.5" customHeight="1">
      <c r="D5" s="678" t="s">
        <v>40</v>
      </c>
      <c r="E5" s="679"/>
      <c r="F5" s="679"/>
      <c r="G5" s="679"/>
      <c r="H5" s="679"/>
      <c r="I5" s="679"/>
      <c r="J5" s="679"/>
      <c r="K5" s="679"/>
      <c r="L5" s="679"/>
      <c r="M5" s="679"/>
      <c r="N5" s="679"/>
      <c r="O5" s="679"/>
      <c r="P5" s="679"/>
      <c r="Q5" s="679"/>
      <c r="R5" s="679"/>
      <c r="S5" s="679"/>
      <c r="T5" s="679"/>
      <c r="U5" s="679"/>
      <c r="V5" s="680"/>
    </row>
    <row r="6" spans="4:22" ht="14.5" customHeight="1">
      <c r="D6" s="681"/>
      <c r="E6" s="682"/>
      <c r="F6" s="682"/>
      <c r="G6" s="682"/>
      <c r="H6" s="682"/>
      <c r="I6" s="682"/>
      <c r="J6" s="682"/>
      <c r="K6" s="682"/>
      <c r="L6" s="682"/>
      <c r="M6" s="682"/>
      <c r="N6" s="682"/>
      <c r="O6" s="682"/>
      <c r="P6" s="682"/>
      <c r="Q6" s="682"/>
      <c r="R6" s="682"/>
      <c r="S6" s="682"/>
      <c r="T6" s="682"/>
      <c r="U6" s="682"/>
      <c r="V6" s="683"/>
    </row>
    <row r="7" spans="4:22" ht="14.5" customHeight="1">
      <c r="D7" s="684"/>
      <c r="E7" s="685"/>
      <c r="F7" s="685"/>
      <c r="G7" s="685"/>
      <c r="H7" s="685"/>
      <c r="I7" s="685"/>
      <c r="J7" s="685"/>
      <c r="K7" s="685"/>
      <c r="L7" s="685"/>
      <c r="M7" s="685"/>
      <c r="N7" s="685"/>
      <c r="O7" s="685"/>
      <c r="P7" s="685"/>
      <c r="Q7" s="685"/>
      <c r="R7" s="685"/>
      <c r="S7" s="685"/>
      <c r="T7" s="685"/>
      <c r="U7" s="685"/>
      <c r="V7" s="686"/>
    </row>
    <row r="8" spans="4:22" ht="15.5">
      <c r="D8" s="2" t="s">
        <v>0</v>
      </c>
      <c r="E8" s="642" t="s">
        <v>1</v>
      </c>
      <c r="F8" s="642"/>
      <c r="G8" s="642"/>
      <c r="H8" s="642"/>
      <c r="I8" s="642" t="s">
        <v>2</v>
      </c>
      <c r="J8" s="642"/>
      <c r="K8" s="642"/>
      <c r="L8" s="38" t="s">
        <v>3</v>
      </c>
      <c r="M8" s="38" t="s">
        <v>4</v>
      </c>
      <c r="N8" s="38" t="s">
        <v>6</v>
      </c>
      <c r="O8" s="38" t="s">
        <v>8</v>
      </c>
      <c r="P8" s="38" t="s">
        <v>9</v>
      </c>
      <c r="Q8" s="38" t="s">
        <v>10</v>
      </c>
      <c r="R8" s="44" t="s">
        <v>293</v>
      </c>
      <c r="S8" s="38" t="s">
        <v>321</v>
      </c>
      <c r="T8" s="44" t="s">
        <v>327</v>
      </c>
      <c r="U8" s="38" t="s">
        <v>243</v>
      </c>
      <c r="V8" s="3"/>
    </row>
    <row r="9" spans="4:22">
      <c r="D9" s="5">
        <v>1</v>
      </c>
      <c r="E9" s="644" t="s">
        <v>333</v>
      </c>
      <c r="F9" s="644"/>
      <c r="G9" s="644"/>
      <c r="H9" s="644"/>
      <c r="I9" s="239">
        <v>545509308</v>
      </c>
      <c r="J9" s="239"/>
      <c r="K9" s="239"/>
      <c r="L9" s="25">
        <v>199</v>
      </c>
      <c r="M9" s="25" t="s">
        <v>50</v>
      </c>
      <c r="N9" s="92">
        <v>44593</v>
      </c>
      <c r="O9" s="25" t="s">
        <v>15</v>
      </c>
      <c r="P9" s="25" t="s">
        <v>1024</v>
      </c>
      <c r="Q9" s="25">
        <v>1.4521247500000001</v>
      </c>
      <c r="R9" s="25">
        <v>62446949</v>
      </c>
      <c r="S9" s="25" t="s">
        <v>390</v>
      </c>
      <c r="T9" s="30" t="s">
        <v>1159</v>
      </c>
      <c r="U9" s="3"/>
      <c r="V9" s="3"/>
    </row>
    <row r="10" spans="4:22">
      <c r="D10" s="5">
        <v>2</v>
      </c>
      <c r="E10" s="643" t="s">
        <v>334</v>
      </c>
      <c r="F10" s="643"/>
      <c r="G10" s="643"/>
      <c r="H10" s="643"/>
      <c r="I10" s="64">
        <v>503659663</v>
      </c>
      <c r="J10" s="64"/>
      <c r="K10" s="64"/>
      <c r="L10" s="5">
        <v>199</v>
      </c>
      <c r="M10" s="5" t="s">
        <v>50</v>
      </c>
      <c r="N10" s="42">
        <v>44593</v>
      </c>
      <c r="O10" s="5" t="s">
        <v>15</v>
      </c>
      <c r="P10" s="1"/>
      <c r="Q10" s="5">
        <v>1.4521339099999999</v>
      </c>
      <c r="R10" s="5">
        <v>62448905</v>
      </c>
      <c r="S10" s="5" t="s">
        <v>390</v>
      </c>
      <c r="T10" s="30"/>
      <c r="U10" s="3" t="s">
        <v>1023</v>
      </c>
      <c r="V10" s="3"/>
    </row>
    <row r="11" spans="4:22">
      <c r="D11" s="5">
        <v>3</v>
      </c>
      <c r="E11" s="643" t="s">
        <v>335</v>
      </c>
      <c r="F11" s="643"/>
      <c r="G11" s="643"/>
      <c r="H11" s="643"/>
      <c r="I11" s="64">
        <v>551636010</v>
      </c>
      <c r="J11" s="64"/>
      <c r="K11" s="64"/>
      <c r="L11" s="5">
        <v>199</v>
      </c>
      <c r="M11" s="5" t="s">
        <v>50</v>
      </c>
      <c r="N11" s="42">
        <v>44595</v>
      </c>
      <c r="O11" s="5" t="s">
        <v>15</v>
      </c>
      <c r="P11" s="1"/>
      <c r="Q11" s="5">
        <v>1.4525894699999999</v>
      </c>
      <c r="R11" s="5"/>
      <c r="S11" s="5" t="s">
        <v>383</v>
      </c>
      <c r="T11" s="30"/>
      <c r="U11" s="3" t="s">
        <v>1023</v>
      </c>
      <c r="V11" s="3"/>
    </row>
    <row r="12" spans="4:22">
      <c r="D12" s="5">
        <v>4</v>
      </c>
      <c r="E12" s="643" t="s">
        <v>336</v>
      </c>
      <c r="F12" s="643"/>
      <c r="G12" s="643"/>
      <c r="H12" s="643"/>
      <c r="I12" s="64">
        <v>521404917</v>
      </c>
      <c r="J12" s="64"/>
      <c r="K12" s="64"/>
      <c r="L12" s="5">
        <v>199</v>
      </c>
      <c r="M12" s="5" t="s">
        <v>50</v>
      </c>
      <c r="N12" s="42">
        <v>44595</v>
      </c>
      <c r="O12" s="5" t="s">
        <v>15</v>
      </c>
      <c r="P12" s="1"/>
      <c r="Q12" s="5">
        <v>1.3556465099999999</v>
      </c>
      <c r="R12" s="5">
        <v>62494602</v>
      </c>
      <c r="S12" s="5" t="s">
        <v>385</v>
      </c>
      <c r="T12" s="30"/>
      <c r="U12" s="3" t="s">
        <v>1023</v>
      </c>
      <c r="V12" s="3"/>
    </row>
    <row r="13" spans="4:22">
      <c r="D13" s="5">
        <v>5</v>
      </c>
      <c r="E13" s="645" t="s">
        <v>337</v>
      </c>
      <c r="F13" s="646"/>
      <c r="G13" s="646"/>
      <c r="H13" s="647"/>
      <c r="I13" s="64">
        <v>508216000</v>
      </c>
      <c r="J13" s="64"/>
      <c r="K13" s="64"/>
      <c r="L13" s="5">
        <v>199</v>
      </c>
      <c r="M13" s="5" t="s">
        <v>338</v>
      </c>
      <c r="N13" s="42">
        <v>44595</v>
      </c>
      <c r="O13" s="5" t="s">
        <v>15</v>
      </c>
      <c r="P13" s="1"/>
      <c r="Q13" s="5">
        <v>1.3118112200000001</v>
      </c>
      <c r="R13" s="5">
        <v>62488463</v>
      </c>
      <c r="S13" s="5" t="s">
        <v>384</v>
      </c>
      <c r="T13" s="30"/>
      <c r="U13" s="3" t="s">
        <v>1023</v>
      </c>
      <c r="V13" s="3"/>
    </row>
    <row r="14" spans="4:22">
      <c r="D14" s="5">
        <v>6</v>
      </c>
      <c r="E14" s="645" t="s">
        <v>339</v>
      </c>
      <c r="F14" s="646"/>
      <c r="G14" s="646"/>
      <c r="H14" s="647"/>
      <c r="I14" s="64">
        <v>508586068</v>
      </c>
      <c r="J14" s="64"/>
      <c r="K14" s="64"/>
      <c r="L14" s="5">
        <v>199</v>
      </c>
      <c r="M14" s="5" t="s">
        <v>338</v>
      </c>
      <c r="N14" s="42">
        <v>44595</v>
      </c>
      <c r="O14" s="5" t="s">
        <v>15</v>
      </c>
      <c r="P14" s="1"/>
      <c r="Q14" s="5">
        <v>1.45253151</v>
      </c>
      <c r="R14" s="5">
        <v>62497466</v>
      </c>
      <c r="S14" s="5" t="s">
        <v>384</v>
      </c>
      <c r="T14" s="30"/>
      <c r="U14" s="3" t="s">
        <v>1023</v>
      </c>
      <c r="V14" s="3"/>
    </row>
    <row r="15" spans="4:22">
      <c r="D15" s="5">
        <v>7</v>
      </c>
      <c r="E15" s="645" t="s">
        <v>340</v>
      </c>
      <c r="F15" s="646"/>
      <c r="G15" s="646"/>
      <c r="H15" s="647"/>
      <c r="I15" s="64">
        <v>527269191</v>
      </c>
      <c r="J15" s="64"/>
      <c r="K15" s="64"/>
      <c r="L15" s="5">
        <v>199</v>
      </c>
      <c r="M15" s="5" t="s">
        <v>50</v>
      </c>
      <c r="N15" s="42">
        <v>44598</v>
      </c>
      <c r="O15" s="5" t="s">
        <v>15</v>
      </c>
      <c r="P15" s="1"/>
      <c r="Q15" s="5">
        <v>1.45319562</v>
      </c>
      <c r="R15" s="5">
        <v>62572357</v>
      </c>
      <c r="S15" s="5" t="s">
        <v>386</v>
      </c>
      <c r="T15" s="30"/>
      <c r="U15" s="3" t="s">
        <v>1023</v>
      </c>
      <c r="V15" s="3"/>
    </row>
    <row r="16" spans="4:22">
      <c r="D16" s="5">
        <v>8</v>
      </c>
      <c r="E16" s="645" t="s">
        <v>341</v>
      </c>
      <c r="F16" s="646"/>
      <c r="G16" s="646"/>
      <c r="H16" s="647"/>
      <c r="I16" s="64">
        <v>545268201</v>
      </c>
      <c r="J16" s="64"/>
      <c r="K16" s="64"/>
      <c r="L16" s="5">
        <v>199</v>
      </c>
      <c r="M16" s="5" t="s">
        <v>50</v>
      </c>
      <c r="N16" s="42">
        <v>44598</v>
      </c>
      <c r="O16" s="5" t="s">
        <v>15</v>
      </c>
      <c r="P16" s="1"/>
      <c r="Q16" s="5">
        <v>1.4532011899999999</v>
      </c>
      <c r="R16" s="5">
        <v>62573306</v>
      </c>
      <c r="S16" s="5" t="s">
        <v>385</v>
      </c>
      <c r="T16" s="30"/>
      <c r="U16" s="3" t="s">
        <v>1023</v>
      </c>
      <c r="V16" s="3"/>
    </row>
    <row r="17" spans="4:22">
      <c r="D17" s="5">
        <v>9</v>
      </c>
      <c r="E17" s="645" t="s">
        <v>342</v>
      </c>
      <c r="F17" s="646"/>
      <c r="G17" s="646"/>
      <c r="H17" s="647"/>
      <c r="I17" s="64">
        <v>582503448</v>
      </c>
      <c r="J17" s="64"/>
      <c r="K17" s="64"/>
      <c r="L17" s="5">
        <v>199</v>
      </c>
      <c r="M17" s="5" t="s">
        <v>50</v>
      </c>
      <c r="N17" s="42">
        <v>44599</v>
      </c>
      <c r="O17" s="5" t="s">
        <v>15</v>
      </c>
      <c r="P17" s="1"/>
      <c r="Q17" s="5">
        <v>1.4534087200000001</v>
      </c>
      <c r="R17" s="5">
        <v>62597100</v>
      </c>
      <c r="S17" s="5" t="s">
        <v>387</v>
      </c>
      <c r="T17" s="30"/>
      <c r="U17" s="3" t="s">
        <v>1023</v>
      </c>
      <c r="V17" s="3"/>
    </row>
    <row r="18" spans="4:22">
      <c r="D18" s="5">
        <v>10</v>
      </c>
      <c r="E18" s="643" t="s">
        <v>343</v>
      </c>
      <c r="F18" s="643"/>
      <c r="G18" s="643"/>
      <c r="H18" s="643"/>
      <c r="I18" s="64">
        <v>503740086</v>
      </c>
      <c r="J18" s="64"/>
      <c r="K18" s="64"/>
      <c r="L18" s="5">
        <v>199</v>
      </c>
      <c r="M18" s="5" t="s">
        <v>338</v>
      </c>
      <c r="N18" s="42">
        <v>44599</v>
      </c>
      <c r="O18" s="5" t="s">
        <v>15</v>
      </c>
      <c r="P18" s="1"/>
      <c r="Q18" s="5">
        <v>1.41361859</v>
      </c>
      <c r="R18" s="5">
        <v>62569634</v>
      </c>
      <c r="S18" s="5" t="s">
        <v>384</v>
      </c>
      <c r="T18" s="30"/>
      <c r="U18" s="3" t="s">
        <v>1023</v>
      </c>
      <c r="V18" s="3"/>
    </row>
    <row r="19" spans="4:22">
      <c r="D19" s="5">
        <v>11</v>
      </c>
      <c r="E19" s="644" t="s">
        <v>344</v>
      </c>
      <c r="F19" s="644"/>
      <c r="G19" s="644"/>
      <c r="H19" s="644"/>
      <c r="I19" s="239">
        <v>544931054</v>
      </c>
      <c r="J19" s="239"/>
      <c r="K19" s="239"/>
      <c r="L19" s="25">
        <v>199</v>
      </c>
      <c r="M19" s="25" t="s">
        <v>50</v>
      </c>
      <c r="N19" s="92">
        <v>44600</v>
      </c>
      <c r="O19" s="25" t="s">
        <v>15</v>
      </c>
      <c r="P19" s="25" t="s">
        <v>1024</v>
      </c>
      <c r="Q19" s="25">
        <v>1.4534674999999999</v>
      </c>
      <c r="R19" s="25">
        <v>62604472</v>
      </c>
      <c r="S19" s="25" t="s">
        <v>386</v>
      </c>
      <c r="T19" s="30" t="s">
        <v>1159</v>
      </c>
      <c r="U19" s="3"/>
      <c r="V19" s="3"/>
    </row>
    <row r="20" spans="4:22">
      <c r="D20" s="5">
        <v>12</v>
      </c>
      <c r="E20" s="645" t="s">
        <v>345</v>
      </c>
      <c r="F20" s="646"/>
      <c r="G20" s="646"/>
      <c r="H20" s="647"/>
      <c r="I20" s="64">
        <v>527864344</v>
      </c>
      <c r="J20" s="64"/>
      <c r="K20" s="64"/>
      <c r="L20" s="5">
        <v>199</v>
      </c>
      <c r="M20" s="5" t="s">
        <v>50</v>
      </c>
      <c r="N20" s="42">
        <v>44600</v>
      </c>
      <c r="O20" s="5" t="s">
        <v>15</v>
      </c>
      <c r="P20" s="1"/>
      <c r="Q20" s="5">
        <v>1.45361824</v>
      </c>
      <c r="R20" s="5">
        <v>62620912</v>
      </c>
      <c r="S20" s="5" t="s">
        <v>131</v>
      </c>
      <c r="T20" s="30"/>
      <c r="U20" s="3" t="s">
        <v>1023</v>
      </c>
      <c r="V20" s="3"/>
    </row>
    <row r="21" spans="4:22">
      <c r="D21" s="5">
        <v>13</v>
      </c>
      <c r="E21" s="645" t="s">
        <v>346</v>
      </c>
      <c r="F21" s="646"/>
      <c r="G21" s="646"/>
      <c r="H21" s="647"/>
      <c r="I21" s="64">
        <v>552335059</v>
      </c>
      <c r="J21" s="64"/>
      <c r="K21" s="64"/>
      <c r="L21" s="5">
        <v>199</v>
      </c>
      <c r="M21" s="5" t="s">
        <v>50</v>
      </c>
      <c r="N21" s="42">
        <v>44600</v>
      </c>
      <c r="O21" s="5" t="s">
        <v>15</v>
      </c>
      <c r="P21" s="1"/>
      <c r="Q21" s="5">
        <v>1.4536650900000001</v>
      </c>
      <c r="R21" s="5">
        <v>62627705</v>
      </c>
      <c r="S21" s="5" t="s">
        <v>383</v>
      </c>
      <c r="T21" s="30"/>
      <c r="U21" s="3" t="s">
        <v>1023</v>
      </c>
      <c r="V21" s="3"/>
    </row>
    <row r="22" spans="4:22">
      <c r="D22" s="5">
        <v>14</v>
      </c>
      <c r="E22" s="643" t="s">
        <v>347</v>
      </c>
      <c r="F22" s="643"/>
      <c r="G22" s="643"/>
      <c r="H22" s="643"/>
      <c r="I22" s="64">
        <v>558635362</v>
      </c>
      <c r="J22" s="64"/>
      <c r="K22" s="64"/>
      <c r="L22" s="5">
        <v>199</v>
      </c>
      <c r="M22" s="5" t="s">
        <v>50</v>
      </c>
      <c r="N22" s="42">
        <v>44601</v>
      </c>
      <c r="O22" s="5" t="s">
        <v>15</v>
      </c>
      <c r="P22" s="1"/>
      <c r="Q22" s="5">
        <v>1.4538363599999999</v>
      </c>
      <c r="R22" s="5">
        <v>62643644</v>
      </c>
      <c r="S22" s="5" t="s">
        <v>385</v>
      </c>
      <c r="T22" s="30"/>
      <c r="U22" s="3" t="s">
        <v>1023</v>
      </c>
      <c r="V22" s="3"/>
    </row>
    <row r="23" spans="4:22">
      <c r="D23" s="5">
        <v>15</v>
      </c>
      <c r="E23" s="645" t="s">
        <v>348</v>
      </c>
      <c r="F23" s="646"/>
      <c r="G23" s="646"/>
      <c r="H23" s="647"/>
      <c r="I23" s="64">
        <v>561960041</v>
      </c>
      <c r="J23" s="64"/>
      <c r="K23" s="64"/>
      <c r="L23" s="5">
        <v>199</v>
      </c>
      <c r="M23" s="5" t="s">
        <v>50</v>
      </c>
      <c r="N23" s="42">
        <v>44602</v>
      </c>
      <c r="O23" s="5" t="s">
        <v>15</v>
      </c>
      <c r="P23" s="1"/>
      <c r="Q23" s="5">
        <v>1.4540003399999999</v>
      </c>
      <c r="R23" s="5">
        <v>62661435</v>
      </c>
      <c r="S23" s="5" t="s">
        <v>385</v>
      </c>
      <c r="T23" s="30"/>
      <c r="U23" s="3" t="s">
        <v>1023</v>
      </c>
      <c r="V23" s="3"/>
    </row>
    <row r="24" spans="4:22">
      <c r="D24" s="5">
        <v>16</v>
      </c>
      <c r="E24" s="645" t="s">
        <v>349</v>
      </c>
      <c r="F24" s="646"/>
      <c r="G24" s="646"/>
      <c r="H24" s="647"/>
      <c r="I24" s="68">
        <v>561313812</v>
      </c>
      <c r="J24" s="230"/>
      <c r="K24" s="231"/>
      <c r="L24" s="5">
        <v>199</v>
      </c>
      <c r="M24" s="5" t="s">
        <v>50</v>
      </c>
      <c r="N24" s="42">
        <v>44602</v>
      </c>
      <c r="O24" s="5" t="s">
        <v>15</v>
      </c>
      <c r="P24" s="1"/>
      <c r="Q24" s="5">
        <v>1.4538828399999999</v>
      </c>
      <c r="R24" s="5">
        <v>62651672</v>
      </c>
      <c r="S24" s="5" t="s">
        <v>386</v>
      </c>
      <c r="T24" s="30"/>
      <c r="U24" s="3" t="s">
        <v>1023</v>
      </c>
      <c r="V24" s="3"/>
    </row>
    <row r="25" spans="4:22">
      <c r="D25" s="5">
        <v>17</v>
      </c>
      <c r="E25" s="645" t="s">
        <v>350</v>
      </c>
      <c r="F25" s="646"/>
      <c r="G25" s="646"/>
      <c r="H25" s="647"/>
      <c r="I25" s="68">
        <v>552519983</v>
      </c>
      <c r="J25" s="230"/>
      <c r="K25" s="231"/>
      <c r="L25" s="5">
        <v>199</v>
      </c>
      <c r="M25" s="5" t="s">
        <v>50</v>
      </c>
      <c r="N25" s="42">
        <v>44602</v>
      </c>
      <c r="O25" s="5" t="s">
        <v>15</v>
      </c>
      <c r="P25" s="1"/>
      <c r="Q25" s="5">
        <v>1.45400368</v>
      </c>
      <c r="R25" s="5">
        <v>62662494</v>
      </c>
      <c r="S25" s="5"/>
      <c r="T25" s="30"/>
      <c r="U25" s="3" t="s">
        <v>1023</v>
      </c>
      <c r="V25" s="3"/>
    </row>
    <row r="26" spans="4:22">
      <c r="D26" s="5">
        <v>18</v>
      </c>
      <c r="E26" s="645" t="s">
        <v>351</v>
      </c>
      <c r="F26" s="646"/>
      <c r="G26" s="646"/>
      <c r="H26" s="647"/>
      <c r="I26" s="68">
        <v>567433421</v>
      </c>
      <c r="J26" s="230"/>
      <c r="K26" s="231"/>
      <c r="L26" s="5">
        <v>199</v>
      </c>
      <c r="M26" s="5" t="s">
        <v>50</v>
      </c>
      <c r="N26" s="42">
        <v>44602</v>
      </c>
      <c r="O26" s="5" t="s">
        <v>15</v>
      </c>
      <c r="P26" s="1"/>
      <c r="Q26" s="43">
        <v>1.4540126200000001</v>
      </c>
      <c r="R26" s="5">
        <v>62664178</v>
      </c>
      <c r="S26" s="5" t="s">
        <v>386</v>
      </c>
      <c r="T26" s="30"/>
      <c r="U26" s="3" t="s">
        <v>1023</v>
      </c>
      <c r="V26" s="3"/>
    </row>
    <row r="27" spans="4:22">
      <c r="D27" s="5">
        <v>19</v>
      </c>
      <c r="E27" s="643" t="s">
        <v>352</v>
      </c>
      <c r="F27" s="643"/>
      <c r="G27" s="643"/>
      <c r="H27" s="643"/>
      <c r="I27" s="64">
        <v>528187328</v>
      </c>
      <c r="J27" s="64"/>
      <c r="K27" s="64"/>
      <c r="L27" s="5">
        <v>199</v>
      </c>
      <c r="M27" s="5" t="s">
        <v>50</v>
      </c>
      <c r="N27" s="42">
        <v>44602</v>
      </c>
      <c r="O27" s="5" t="s">
        <v>15</v>
      </c>
      <c r="P27" s="5"/>
      <c r="Q27" s="5">
        <v>1.42174026</v>
      </c>
      <c r="R27" s="5">
        <v>62650958</v>
      </c>
      <c r="S27" s="5" t="s">
        <v>386</v>
      </c>
      <c r="T27" s="30"/>
      <c r="U27" s="3" t="s">
        <v>1023</v>
      </c>
      <c r="V27" s="3"/>
    </row>
    <row r="28" spans="4:22">
      <c r="D28" s="5">
        <v>20</v>
      </c>
      <c r="E28" s="643" t="s">
        <v>353</v>
      </c>
      <c r="F28" s="643"/>
      <c r="G28" s="643"/>
      <c r="H28" s="643"/>
      <c r="I28" s="64">
        <v>529708042</v>
      </c>
      <c r="J28" s="64"/>
      <c r="K28" s="64"/>
      <c r="L28" s="5">
        <v>199</v>
      </c>
      <c r="M28" s="5" t="s">
        <v>50</v>
      </c>
      <c r="N28" s="42">
        <v>44602</v>
      </c>
      <c r="O28" s="5" t="s">
        <v>15</v>
      </c>
      <c r="P28" s="1"/>
      <c r="Q28" s="5">
        <v>1.4540596100000001</v>
      </c>
      <c r="R28" s="5">
        <v>62673584</v>
      </c>
      <c r="S28" s="5"/>
      <c r="T28" s="30"/>
      <c r="U28" s="3" t="s">
        <v>1023</v>
      </c>
      <c r="V28" s="1"/>
    </row>
    <row r="29" spans="4:22">
      <c r="D29" s="5">
        <v>21</v>
      </c>
      <c r="E29" s="645" t="s">
        <v>354</v>
      </c>
      <c r="F29" s="646"/>
      <c r="G29" s="646"/>
      <c r="H29" s="647"/>
      <c r="I29" s="68">
        <v>569379571</v>
      </c>
      <c r="J29" s="230"/>
      <c r="K29" s="231"/>
      <c r="L29" s="5">
        <v>199</v>
      </c>
      <c r="M29" s="5" t="s">
        <v>50</v>
      </c>
      <c r="N29" s="42">
        <v>44602</v>
      </c>
      <c r="O29" s="5" t="s">
        <v>15</v>
      </c>
      <c r="P29" s="1"/>
      <c r="Q29" s="5">
        <v>1.45423535</v>
      </c>
      <c r="R29" s="5">
        <v>62691689</v>
      </c>
      <c r="S29" s="5" t="s">
        <v>385</v>
      </c>
      <c r="T29" s="30"/>
      <c r="U29" s="3" t="s">
        <v>1023</v>
      </c>
      <c r="V29" s="1"/>
    </row>
    <row r="30" spans="4:22">
      <c r="D30" s="5">
        <v>22</v>
      </c>
      <c r="E30" s="649" t="s">
        <v>355</v>
      </c>
      <c r="F30" s="650"/>
      <c r="G30" s="650"/>
      <c r="H30" s="651"/>
      <c r="I30" s="232">
        <v>581351524</v>
      </c>
      <c r="J30" s="233"/>
      <c r="K30" s="234"/>
      <c r="L30" s="25">
        <v>199</v>
      </c>
      <c r="M30" s="25" t="s">
        <v>50</v>
      </c>
      <c r="N30" s="92">
        <v>44603</v>
      </c>
      <c r="O30" s="25" t="s">
        <v>15</v>
      </c>
      <c r="P30" s="25" t="s">
        <v>1024</v>
      </c>
      <c r="Q30" s="115">
        <v>1.4542702700000001</v>
      </c>
      <c r="R30" s="25">
        <v>62700106</v>
      </c>
      <c r="S30" s="25"/>
      <c r="T30" s="30" t="s">
        <v>1159</v>
      </c>
      <c r="U30" s="3"/>
      <c r="V30" s="1"/>
    </row>
    <row r="31" spans="4:22">
      <c r="D31" s="5">
        <v>23</v>
      </c>
      <c r="E31" s="645" t="s">
        <v>356</v>
      </c>
      <c r="F31" s="646"/>
      <c r="G31" s="646"/>
      <c r="H31" s="647"/>
      <c r="I31" s="68">
        <v>523591573</v>
      </c>
      <c r="J31" s="230"/>
      <c r="K31" s="231"/>
      <c r="L31" s="5">
        <v>199</v>
      </c>
      <c r="M31" s="5" t="s">
        <v>50</v>
      </c>
      <c r="N31" s="42">
        <v>44604</v>
      </c>
      <c r="O31" s="5" t="s">
        <v>15</v>
      </c>
      <c r="P31" s="1"/>
      <c r="Q31" s="5">
        <v>1.4546982500000001</v>
      </c>
      <c r="R31" s="5"/>
      <c r="S31" s="5"/>
      <c r="T31" s="30"/>
      <c r="U31" s="3" t="s">
        <v>1023</v>
      </c>
      <c r="V31" s="1"/>
    </row>
    <row r="32" spans="4:22">
      <c r="D32" s="5">
        <v>24</v>
      </c>
      <c r="E32" s="645" t="s">
        <v>357</v>
      </c>
      <c r="F32" s="646"/>
      <c r="G32" s="646"/>
      <c r="H32" s="647"/>
      <c r="I32" s="68">
        <v>509929739</v>
      </c>
      <c r="J32" s="230"/>
      <c r="K32" s="231"/>
      <c r="L32" s="5">
        <v>199</v>
      </c>
      <c r="M32" s="5" t="s">
        <v>50</v>
      </c>
      <c r="N32" s="42">
        <v>44605</v>
      </c>
      <c r="O32" s="5" t="s">
        <v>15</v>
      </c>
      <c r="P32" s="1"/>
      <c r="Q32" s="5">
        <v>1.36649632</v>
      </c>
      <c r="R32" s="5">
        <v>62745870</v>
      </c>
      <c r="S32" s="5" t="s">
        <v>383</v>
      </c>
      <c r="T32" s="30"/>
      <c r="U32" s="3" t="s">
        <v>1023</v>
      </c>
      <c r="V32" s="1"/>
    </row>
    <row r="33" spans="4:22">
      <c r="D33" s="5">
        <v>25</v>
      </c>
      <c r="E33" s="645" t="s">
        <v>358</v>
      </c>
      <c r="F33" s="646"/>
      <c r="G33" s="646"/>
      <c r="H33" s="647"/>
      <c r="I33" s="68">
        <v>567834191</v>
      </c>
      <c r="J33" s="230"/>
      <c r="K33" s="231"/>
      <c r="L33" s="5">
        <v>199</v>
      </c>
      <c r="M33" s="5" t="s">
        <v>50</v>
      </c>
      <c r="N33" s="42">
        <v>44605</v>
      </c>
      <c r="O33" s="5" t="s">
        <v>15</v>
      </c>
      <c r="P33" s="1"/>
      <c r="Q33" s="5">
        <v>1.45478292</v>
      </c>
      <c r="R33" s="5">
        <v>62761025</v>
      </c>
      <c r="S33" s="5" t="s">
        <v>383</v>
      </c>
      <c r="T33" s="30"/>
      <c r="U33" s="3" t="s">
        <v>1023</v>
      </c>
      <c r="V33" s="1"/>
    </row>
    <row r="34" spans="4:22">
      <c r="D34" s="5">
        <v>26</v>
      </c>
      <c r="E34" s="645" t="s">
        <v>359</v>
      </c>
      <c r="F34" s="646"/>
      <c r="G34" s="646"/>
      <c r="H34" s="647"/>
      <c r="I34" s="68">
        <v>557902293</v>
      </c>
      <c r="J34" s="230"/>
      <c r="K34" s="231"/>
      <c r="L34" s="5">
        <v>199</v>
      </c>
      <c r="M34" s="5" t="s">
        <v>50</v>
      </c>
      <c r="N34" s="42">
        <v>44606</v>
      </c>
      <c r="O34" s="5" t="s">
        <v>15</v>
      </c>
      <c r="P34" s="1"/>
      <c r="Q34" s="5">
        <v>1.4549661</v>
      </c>
      <c r="R34" s="5">
        <v>62775540</v>
      </c>
      <c r="S34" s="5" t="s">
        <v>383</v>
      </c>
      <c r="T34" s="30"/>
      <c r="U34" s="3" t="s">
        <v>1023</v>
      </c>
      <c r="V34" s="1"/>
    </row>
    <row r="35" spans="4:22">
      <c r="D35" s="5">
        <v>27</v>
      </c>
      <c r="E35" s="645" t="s">
        <v>360</v>
      </c>
      <c r="F35" s="646"/>
      <c r="G35" s="646"/>
      <c r="H35" s="647"/>
      <c r="I35" s="68">
        <v>555278182</v>
      </c>
      <c r="J35" s="230"/>
      <c r="K35" s="231"/>
      <c r="L35" s="5">
        <v>199</v>
      </c>
      <c r="M35" s="5" t="s">
        <v>50</v>
      </c>
      <c r="N35" s="42">
        <v>44606</v>
      </c>
      <c r="O35" s="5" t="s">
        <v>15</v>
      </c>
      <c r="P35" s="1"/>
      <c r="Q35" s="5">
        <v>1.4228184399999999</v>
      </c>
      <c r="R35" s="5">
        <v>62777270</v>
      </c>
      <c r="S35" s="5" t="s">
        <v>386</v>
      </c>
      <c r="T35" s="30"/>
      <c r="U35" s="3" t="s">
        <v>1023</v>
      </c>
      <c r="V35" s="1"/>
    </row>
    <row r="36" spans="4:22">
      <c r="D36" s="5">
        <v>28</v>
      </c>
      <c r="E36" s="645" t="s">
        <v>361</v>
      </c>
      <c r="F36" s="646"/>
      <c r="G36" s="646"/>
      <c r="H36" s="647"/>
      <c r="I36" s="68">
        <v>561494724</v>
      </c>
      <c r="J36" s="230"/>
      <c r="K36" s="231"/>
      <c r="L36" s="5">
        <v>199</v>
      </c>
      <c r="M36" s="5" t="s">
        <v>50</v>
      </c>
      <c r="N36" s="42">
        <v>44606</v>
      </c>
      <c r="O36" s="5" t="s">
        <v>15</v>
      </c>
      <c r="P36" s="1"/>
      <c r="Q36" s="5">
        <v>1.4061060000000001</v>
      </c>
      <c r="R36" s="5">
        <v>62785652</v>
      </c>
      <c r="S36" s="5" t="s">
        <v>131</v>
      </c>
      <c r="T36" s="30"/>
      <c r="U36" s="3" t="s">
        <v>1023</v>
      </c>
      <c r="V36" s="1"/>
    </row>
    <row r="37" spans="4:22">
      <c r="D37" s="5">
        <v>29</v>
      </c>
      <c r="E37" s="664" t="s">
        <v>362</v>
      </c>
      <c r="F37" s="665"/>
      <c r="G37" s="665"/>
      <c r="H37" s="666"/>
      <c r="I37" s="68">
        <v>569231235</v>
      </c>
      <c r="J37" s="230"/>
      <c r="K37" s="231"/>
      <c r="L37" s="5">
        <v>199</v>
      </c>
      <c r="M37" s="5" t="s">
        <v>50</v>
      </c>
      <c r="N37" s="42">
        <v>44606</v>
      </c>
      <c r="O37" s="5" t="s">
        <v>15</v>
      </c>
      <c r="P37" s="1"/>
      <c r="Q37" s="5">
        <v>1.4550308000000001</v>
      </c>
      <c r="R37" s="5">
        <v>62788625</v>
      </c>
      <c r="S37" s="5" t="s">
        <v>385</v>
      </c>
      <c r="T37" s="30"/>
      <c r="U37" s="3" t="s">
        <v>1023</v>
      </c>
      <c r="V37" s="1"/>
    </row>
    <row r="38" spans="4:22">
      <c r="D38" s="5">
        <v>30</v>
      </c>
      <c r="E38" s="664" t="s">
        <v>363</v>
      </c>
      <c r="F38" s="665"/>
      <c r="G38" s="665"/>
      <c r="H38" s="666"/>
      <c r="I38" s="68">
        <v>565833283</v>
      </c>
      <c r="J38" s="230"/>
      <c r="K38" s="231"/>
      <c r="L38" s="5">
        <v>199</v>
      </c>
      <c r="M38" s="5" t="s">
        <v>338</v>
      </c>
      <c r="N38" s="42">
        <v>44607</v>
      </c>
      <c r="O38" s="5" t="s">
        <v>15</v>
      </c>
      <c r="P38" s="1"/>
      <c r="Q38" s="5">
        <v>1.45501485</v>
      </c>
      <c r="R38" s="5">
        <v>62787039</v>
      </c>
      <c r="S38" s="5" t="s">
        <v>384</v>
      </c>
      <c r="T38" s="30"/>
      <c r="U38" s="3" t="s">
        <v>1023</v>
      </c>
      <c r="V38" s="1"/>
    </row>
    <row r="39" spans="4:22">
      <c r="D39" s="5">
        <v>31</v>
      </c>
      <c r="E39" s="664" t="s">
        <v>364</v>
      </c>
      <c r="F39" s="665"/>
      <c r="G39" s="665"/>
      <c r="H39" s="666"/>
      <c r="I39" s="68">
        <v>562887828</v>
      </c>
      <c r="J39" s="230"/>
      <c r="K39" s="231"/>
      <c r="L39" s="5">
        <v>199</v>
      </c>
      <c r="M39" s="5" t="s">
        <v>50</v>
      </c>
      <c r="N39" s="42">
        <v>44607</v>
      </c>
      <c r="O39" s="5" t="s">
        <v>15</v>
      </c>
      <c r="P39" s="1"/>
      <c r="Q39" s="5">
        <v>8.9971031211112899E+18</v>
      </c>
      <c r="R39" s="5">
        <v>62817555</v>
      </c>
      <c r="S39" s="5" t="s">
        <v>386</v>
      </c>
      <c r="T39" s="30"/>
      <c r="U39" s="3" t="s">
        <v>1023</v>
      </c>
      <c r="V39" s="1"/>
    </row>
    <row r="40" spans="4:22">
      <c r="D40" s="5">
        <v>32</v>
      </c>
      <c r="E40" s="645" t="s">
        <v>365</v>
      </c>
      <c r="F40" s="646"/>
      <c r="G40" s="646"/>
      <c r="H40" s="647"/>
      <c r="I40" s="68">
        <v>551394689</v>
      </c>
      <c r="J40" s="230"/>
      <c r="K40" s="231"/>
      <c r="L40" s="5">
        <v>199</v>
      </c>
      <c r="M40" s="5" t="s">
        <v>50</v>
      </c>
      <c r="N40" s="42">
        <v>44607</v>
      </c>
      <c r="O40" s="5" t="s">
        <v>15</v>
      </c>
      <c r="P40" s="1"/>
      <c r="Q40" s="43">
        <v>1.4556263</v>
      </c>
      <c r="R40" s="5">
        <v>62864957</v>
      </c>
      <c r="S40" s="5" t="s">
        <v>131</v>
      </c>
      <c r="T40" s="30"/>
      <c r="U40" s="3" t="s">
        <v>1023</v>
      </c>
      <c r="V40" s="1"/>
    </row>
    <row r="41" spans="4:22">
      <c r="D41" s="5">
        <v>33</v>
      </c>
      <c r="E41" s="645" t="s">
        <v>366</v>
      </c>
      <c r="F41" s="646"/>
      <c r="G41" s="646"/>
      <c r="H41" s="647"/>
      <c r="I41" s="68">
        <v>509282326</v>
      </c>
      <c r="J41" s="230"/>
      <c r="K41" s="231"/>
      <c r="L41" s="5">
        <v>199</v>
      </c>
      <c r="M41" s="5" t="s">
        <v>50</v>
      </c>
      <c r="N41" s="42">
        <v>44609</v>
      </c>
      <c r="O41" s="5" t="s">
        <v>15</v>
      </c>
      <c r="P41" s="1"/>
      <c r="Q41" s="5">
        <v>1.3981885700000001</v>
      </c>
      <c r="R41" s="5">
        <v>62868164</v>
      </c>
      <c r="S41" s="5" t="s">
        <v>386</v>
      </c>
      <c r="T41" s="30"/>
      <c r="U41" s="3" t="s">
        <v>1023</v>
      </c>
      <c r="V41" s="1"/>
    </row>
    <row r="42" spans="4:22">
      <c r="D42" s="5">
        <v>34</v>
      </c>
      <c r="E42" s="645" t="s">
        <v>367</v>
      </c>
      <c r="F42" s="646"/>
      <c r="G42" s="646"/>
      <c r="H42" s="647"/>
      <c r="I42" s="68">
        <v>523676171</v>
      </c>
      <c r="J42" s="230"/>
      <c r="K42" s="231"/>
      <c r="L42" s="5">
        <v>199</v>
      </c>
      <c r="M42" s="5" t="s">
        <v>50</v>
      </c>
      <c r="N42" s="42">
        <v>44609</v>
      </c>
      <c r="O42" s="5" t="s">
        <v>15</v>
      </c>
      <c r="P42" s="1"/>
      <c r="Q42" s="5">
        <v>1.4513640699999999</v>
      </c>
      <c r="R42" s="5">
        <v>62916121</v>
      </c>
      <c r="S42" s="5"/>
      <c r="T42" s="30"/>
      <c r="U42" s="3" t="s">
        <v>1023</v>
      </c>
      <c r="V42" s="1"/>
    </row>
    <row r="43" spans="4:22">
      <c r="D43" s="5">
        <v>35</v>
      </c>
      <c r="E43" s="645" t="s">
        <v>368</v>
      </c>
      <c r="F43" s="646"/>
      <c r="G43" s="646"/>
      <c r="H43" s="647"/>
      <c r="I43" s="68">
        <v>501161425</v>
      </c>
      <c r="J43" s="230"/>
      <c r="K43" s="231"/>
      <c r="L43" s="5">
        <v>199</v>
      </c>
      <c r="M43" s="5" t="s">
        <v>50</v>
      </c>
      <c r="N43" s="42">
        <v>44609</v>
      </c>
      <c r="O43" s="5" t="s">
        <v>15</v>
      </c>
      <c r="P43" s="1"/>
      <c r="Q43" s="5">
        <v>1.4561564199999999</v>
      </c>
      <c r="R43" s="5">
        <v>62923223</v>
      </c>
      <c r="S43" s="5"/>
      <c r="T43" s="30"/>
      <c r="U43" s="3" t="s">
        <v>1023</v>
      </c>
      <c r="V43" s="1"/>
    </row>
    <row r="44" spans="4:22">
      <c r="D44" s="5">
        <v>36</v>
      </c>
      <c r="E44" s="649" t="s">
        <v>369</v>
      </c>
      <c r="F44" s="650"/>
      <c r="G44" s="650"/>
      <c r="H44" s="651"/>
      <c r="I44" s="232">
        <v>523295995</v>
      </c>
      <c r="J44" s="233"/>
      <c r="K44" s="234"/>
      <c r="L44" s="25">
        <v>199</v>
      </c>
      <c r="M44" s="25" t="s">
        <v>50</v>
      </c>
      <c r="N44" s="92">
        <v>44609</v>
      </c>
      <c r="O44" s="25" t="s">
        <v>15</v>
      </c>
      <c r="P44" s="25" t="s">
        <v>1024</v>
      </c>
      <c r="Q44" s="25">
        <v>8.9971031211113595E+18</v>
      </c>
      <c r="R44" s="25">
        <v>62927120</v>
      </c>
      <c r="S44" s="25"/>
      <c r="T44" s="30" t="s">
        <v>1159</v>
      </c>
      <c r="U44" s="3"/>
      <c r="V44" s="1"/>
    </row>
    <row r="45" spans="4:22">
      <c r="D45" s="5">
        <v>37</v>
      </c>
      <c r="E45" s="645" t="s">
        <v>370</v>
      </c>
      <c r="F45" s="646"/>
      <c r="G45" s="646"/>
      <c r="H45" s="647"/>
      <c r="I45" s="68">
        <v>523980254</v>
      </c>
      <c r="J45" s="230"/>
      <c r="K45" s="231"/>
      <c r="L45" s="5">
        <v>199</v>
      </c>
      <c r="M45" s="5" t="s">
        <v>50</v>
      </c>
      <c r="N45" s="42">
        <v>44611</v>
      </c>
      <c r="O45" s="5" t="s">
        <v>15</v>
      </c>
      <c r="P45" s="1"/>
      <c r="Q45" s="5">
        <v>1.4563964300000001</v>
      </c>
      <c r="R45" s="5">
        <v>62952955</v>
      </c>
      <c r="S45" s="5"/>
      <c r="T45" s="30"/>
      <c r="U45" s="3" t="s">
        <v>1023</v>
      </c>
      <c r="V45" s="1"/>
    </row>
    <row r="46" spans="4:22">
      <c r="D46" s="5">
        <v>38</v>
      </c>
      <c r="E46" s="645" t="s">
        <v>371</v>
      </c>
      <c r="F46" s="646"/>
      <c r="G46" s="646"/>
      <c r="H46" s="647"/>
      <c r="I46" s="68">
        <v>566251667</v>
      </c>
      <c r="J46" s="230"/>
      <c r="K46" s="231"/>
      <c r="L46" s="5">
        <v>199</v>
      </c>
      <c r="M46" s="5" t="s">
        <v>50</v>
      </c>
      <c r="N46" s="42">
        <v>44612</v>
      </c>
      <c r="O46" s="5" t="s">
        <v>15</v>
      </c>
      <c r="P46" s="1"/>
      <c r="Q46" s="5">
        <v>1.4564061699999999</v>
      </c>
      <c r="R46" s="5">
        <v>62955418</v>
      </c>
      <c r="S46" s="5" t="s">
        <v>131</v>
      </c>
      <c r="T46" s="30"/>
      <c r="U46" s="3" t="s">
        <v>1023</v>
      </c>
      <c r="V46" s="1"/>
    </row>
    <row r="47" spans="4:22">
      <c r="D47" s="5">
        <v>39</v>
      </c>
      <c r="E47" s="649" t="s">
        <v>372</v>
      </c>
      <c r="F47" s="650"/>
      <c r="G47" s="650"/>
      <c r="H47" s="651"/>
      <c r="I47" s="232">
        <v>527815944</v>
      </c>
      <c r="J47" s="233"/>
      <c r="K47" s="234"/>
      <c r="L47" s="25">
        <v>199</v>
      </c>
      <c r="M47" s="25" t="s">
        <v>50</v>
      </c>
      <c r="N47" s="92">
        <v>44612</v>
      </c>
      <c r="O47" s="25" t="s">
        <v>15</v>
      </c>
      <c r="P47" s="25" t="s">
        <v>1024</v>
      </c>
      <c r="Q47" s="25">
        <v>1.45664711</v>
      </c>
      <c r="R47" s="25">
        <v>62984403</v>
      </c>
      <c r="S47" s="25" t="s">
        <v>386</v>
      </c>
      <c r="T47" s="30" t="s">
        <v>1159</v>
      </c>
      <c r="U47" s="3"/>
      <c r="V47" s="1"/>
    </row>
    <row r="48" spans="4:22">
      <c r="D48" s="5">
        <v>40</v>
      </c>
      <c r="E48" s="652" t="s">
        <v>377</v>
      </c>
      <c r="F48" s="653"/>
      <c r="G48" s="653"/>
      <c r="H48" s="654"/>
      <c r="I48" s="263">
        <v>50789916</v>
      </c>
      <c r="J48" s="264"/>
      <c r="K48" s="265"/>
      <c r="L48" s="53">
        <v>399</v>
      </c>
      <c r="M48" s="53" t="s">
        <v>50</v>
      </c>
      <c r="N48" s="54">
        <v>44612</v>
      </c>
      <c r="O48" s="53" t="s">
        <v>389</v>
      </c>
      <c r="P48" s="55" t="s">
        <v>391</v>
      </c>
      <c r="Q48" s="53"/>
      <c r="R48" s="53"/>
      <c r="S48" s="53" t="s">
        <v>383</v>
      </c>
      <c r="T48" s="30"/>
      <c r="U48" s="3"/>
      <c r="V48" s="3"/>
    </row>
    <row r="49" spans="4:22">
      <c r="D49" s="5">
        <v>41</v>
      </c>
      <c r="E49" s="645" t="s">
        <v>373</v>
      </c>
      <c r="F49" s="646"/>
      <c r="G49" s="646"/>
      <c r="H49" s="647"/>
      <c r="I49" s="68">
        <v>561735303</v>
      </c>
      <c r="J49" s="230"/>
      <c r="K49" s="231"/>
      <c r="L49" s="5">
        <v>199</v>
      </c>
      <c r="M49" s="5" t="s">
        <v>50</v>
      </c>
      <c r="N49" s="42">
        <v>44612</v>
      </c>
      <c r="O49" s="5" t="s">
        <v>15</v>
      </c>
      <c r="P49" s="1"/>
      <c r="Q49" s="5">
        <v>8.9971031211113503E+18</v>
      </c>
      <c r="R49" s="5">
        <v>62985345</v>
      </c>
      <c r="S49" s="5" t="s">
        <v>383</v>
      </c>
      <c r="T49" s="30"/>
      <c r="U49" s="3" t="s">
        <v>1023</v>
      </c>
      <c r="V49" s="3"/>
    </row>
    <row r="50" spans="4:22">
      <c r="D50" s="5">
        <v>42</v>
      </c>
      <c r="E50" s="645" t="s">
        <v>374</v>
      </c>
      <c r="F50" s="646"/>
      <c r="G50" s="646"/>
      <c r="H50" s="647"/>
      <c r="I50" s="68">
        <v>582101534</v>
      </c>
      <c r="J50" s="230"/>
      <c r="K50" s="231"/>
      <c r="L50" s="5">
        <v>199</v>
      </c>
      <c r="M50" s="5" t="s">
        <v>50</v>
      </c>
      <c r="N50" s="42">
        <v>44612</v>
      </c>
      <c r="O50" s="5" t="s">
        <v>15</v>
      </c>
      <c r="P50" s="1"/>
      <c r="Q50" s="5">
        <v>1.4566466199999999</v>
      </c>
      <c r="R50" s="5">
        <v>63007843</v>
      </c>
      <c r="S50" s="5" t="s">
        <v>385</v>
      </c>
      <c r="T50" s="30"/>
      <c r="U50" s="3" t="s">
        <v>1023</v>
      </c>
      <c r="V50" s="3"/>
    </row>
    <row r="51" spans="4:22">
      <c r="D51" s="5">
        <v>43</v>
      </c>
      <c r="E51" s="645" t="s">
        <v>375</v>
      </c>
      <c r="F51" s="646"/>
      <c r="G51" s="646"/>
      <c r="H51" s="647"/>
      <c r="I51" s="68">
        <v>501871429</v>
      </c>
      <c r="J51" s="230"/>
      <c r="K51" s="231"/>
      <c r="L51" s="5">
        <v>199</v>
      </c>
      <c r="M51" s="5" t="s">
        <v>388</v>
      </c>
      <c r="N51" s="42">
        <v>44613</v>
      </c>
      <c r="O51" s="5" t="s">
        <v>15</v>
      </c>
      <c r="P51" s="1"/>
      <c r="Q51" s="5">
        <v>1.4568948100000001</v>
      </c>
      <c r="R51" s="5">
        <v>63018084</v>
      </c>
      <c r="S51" s="5" t="s">
        <v>386</v>
      </c>
      <c r="T51" s="30"/>
      <c r="U51" s="3" t="s">
        <v>1023</v>
      </c>
      <c r="V51" s="3"/>
    </row>
    <row r="52" spans="4:22">
      <c r="D52" s="5">
        <v>44</v>
      </c>
      <c r="E52" s="645" t="s">
        <v>376</v>
      </c>
      <c r="F52" s="646"/>
      <c r="G52" s="646"/>
      <c r="H52" s="647"/>
      <c r="I52" s="68">
        <v>552928026</v>
      </c>
      <c r="J52" s="230"/>
      <c r="K52" s="231"/>
      <c r="L52" s="5">
        <v>199</v>
      </c>
      <c r="M52" s="5" t="s">
        <v>50</v>
      </c>
      <c r="N52" s="42">
        <v>44614</v>
      </c>
      <c r="O52" s="5" t="s">
        <v>15</v>
      </c>
      <c r="P52" s="1"/>
      <c r="Q52" s="5">
        <v>1.33189037</v>
      </c>
      <c r="R52" s="5"/>
      <c r="S52" s="5" t="s">
        <v>383</v>
      </c>
      <c r="T52" s="30"/>
      <c r="U52" s="3" t="s">
        <v>1023</v>
      </c>
      <c r="V52" s="3"/>
    </row>
    <row r="53" spans="4:22">
      <c r="D53" s="5">
        <v>45</v>
      </c>
      <c r="E53" s="643" t="s">
        <v>378</v>
      </c>
      <c r="F53" s="643"/>
      <c r="G53" s="643"/>
      <c r="H53" s="643"/>
      <c r="I53" s="64">
        <v>501599594</v>
      </c>
      <c r="J53" s="64"/>
      <c r="K53" s="64"/>
      <c r="L53" s="5">
        <v>199</v>
      </c>
      <c r="M53" s="5" t="s">
        <v>338</v>
      </c>
      <c r="N53" s="42">
        <v>44616</v>
      </c>
      <c r="O53" s="5" t="s">
        <v>15</v>
      </c>
      <c r="P53" s="1"/>
      <c r="Q53" s="5">
        <v>1.4573621400000001</v>
      </c>
      <c r="R53" s="5">
        <v>63073213</v>
      </c>
      <c r="S53" s="5" t="s">
        <v>386</v>
      </c>
      <c r="T53" s="30"/>
      <c r="U53" s="3" t="s">
        <v>1023</v>
      </c>
      <c r="V53" s="3"/>
    </row>
    <row r="54" spans="4:22">
      <c r="D54" s="5">
        <v>46</v>
      </c>
      <c r="E54" s="677" t="s">
        <v>379</v>
      </c>
      <c r="F54" s="677"/>
      <c r="G54" s="677"/>
      <c r="H54" s="677"/>
      <c r="I54" s="239">
        <v>524608902</v>
      </c>
      <c r="J54" s="239"/>
      <c r="K54" s="239"/>
      <c r="L54" s="25">
        <v>199</v>
      </c>
      <c r="M54" s="25" t="s">
        <v>50</v>
      </c>
      <c r="N54" s="92">
        <v>44618</v>
      </c>
      <c r="O54" s="25" t="s">
        <v>15</v>
      </c>
      <c r="P54" s="25" t="s">
        <v>1024</v>
      </c>
      <c r="Q54" s="25">
        <v>1.4576201799999999</v>
      </c>
      <c r="R54" s="25">
        <v>63110941</v>
      </c>
      <c r="S54" s="25" t="s">
        <v>383</v>
      </c>
      <c r="T54" s="30" t="s">
        <v>1159</v>
      </c>
      <c r="U54" s="3"/>
      <c r="V54" s="3"/>
    </row>
    <row r="55" spans="4:22">
      <c r="D55" s="5">
        <v>47</v>
      </c>
      <c r="E55" s="668" t="s">
        <v>380</v>
      </c>
      <c r="F55" s="668"/>
      <c r="G55" s="668"/>
      <c r="H55" s="668"/>
      <c r="I55" s="1">
        <v>9715227544420</v>
      </c>
      <c r="J55" s="1"/>
      <c r="K55" s="1"/>
      <c r="L55" s="5">
        <v>199</v>
      </c>
      <c r="M55" s="5" t="s">
        <v>50</v>
      </c>
      <c r="N55" s="42">
        <v>44618</v>
      </c>
      <c r="O55" s="5" t="s">
        <v>15</v>
      </c>
      <c r="P55" s="1"/>
      <c r="Q55" s="5">
        <v>1.29656696</v>
      </c>
      <c r="R55" s="5">
        <v>63180449</v>
      </c>
      <c r="S55" s="5" t="s">
        <v>383</v>
      </c>
      <c r="T55" s="30"/>
      <c r="U55" s="3" t="s">
        <v>1023</v>
      </c>
      <c r="V55" s="32"/>
    </row>
    <row r="56" spans="4:22">
      <c r="D56" s="5">
        <v>48</v>
      </c>
      <c r="E56" s="668" t="s">
        <v>381</v>
      </c>
      <c r="F56" s="668"/>
      <c r="G56" s="668"/>
      <c r="H56" s="668"/>
      <c r="I56" s="64">
        <v>555328400</v>
      </c>
      <c r="J56" s="64"/>
      <c r="K56" s="64"/>
      <c r="L56" s="5">
        <v>199</v>
      </c>
      <c r="M56" s="5" t="s">
        <v>50</v>
      </c>
      <c r="N56" s="42">
        <v>44618</v>
      </c>
      <c r="O56" s="5" t="s">
        <v>15</v>
      </c>
      <c r="P56" s="1"/>
      <c r="Q56" s="5">
        <v>1.45813649</v>
      </c>
      <c r="R56" s="5">
        <v>63181245</v>
      </c>
      <c r="S56" s="5" t="s">
        <v>390</v>
      </c>
      <c r="T56" s="30"/>
      <c r="U56" s="3" t="s">
        <v>1023</v>
      </c>
      <c r="V56" s="3"/>
    </row>
    <row r="57" spans="4:22">
      <c r="D57" s="5">
        <v>49</v>
      </c>
      <c r="E57" s="661" t="s">
        <v>382</v>
      </c>
      <c r="F57" s="662"/>
      <c r="G57" s="662"/>
      <c r="H57" s="663"/>
      <c r="I57" s="68">
        <v>522704846</v>
      </c>
      <c r="J57" s="230"/>
      <c r="K57" s="231"/>
      <c r="L57" s="5">
        <v>199</v>
      </c>
      <c r="M57" s="5" t="s">
        <v>50</v>
      </c>
      <c r="N57" s="42">
        <v>44618</v>
      </c>
      <c r="O57" s="5" t="s">
        <v>15</v>
      </c>
      <c r="P57" s="1"/>
      <c r="Q57" s="5">
        <v>8.9971031211114301E+18</v>
      </c>
      <c r="R57" s="5">
        <v>63197240</v>
      </c>
      <c r="S57" s="5" t="s">
        <v>131</v>
      </c>
      <c r="T57" s="30"/>
      <c r="U57" s="3" t="s">
        <v>1023</v>
      </c>
      <c r="V57" s="3"/>
    </row>
    <row r="58" spans="4:22">
      <c r="D58" s="5"/>
      <c r="E58" s="667"/>
      <c r="F58" s="667"/>
      <c r="G58" s="667"/>
      <c r="H58" s="667"/>
      <c r="I58" s="624"/>
      <c r="J58" s="624"/>
      <c r="K58" s="624"/>
      <c r="L58" s="5"/>
      <c r="M58" s="5"/>
      <c r="N58" s="42"/>
      <c r="O58" s="5"/>
      <c r="P58" s="5"/>
      <c r="Q58" s="5"/>
      <c r="R58" s="5"/>
      <c r="S58" s="5"/>
      <c r="T58" s="30"/>
      <c r="U58" s="3"/>
      <c r="V58" s="3"/>
    </row>
    <row r="59" spans="4:22">
      <c r="D59" s="5"/>
      <c r="E59" s="667"/>
      <c r="F59" s="667"/>
      <c r="G59" s="667"/>
      <c r="H59" s="667"/>
      <c r="I59" s="624"/>
      <c r="J59" s="624"/>
      <c r="K59" s="624"/>
      <c r="L59" s="5"/>
      <c r="M59" s="5"/>
      <c r="N59" s="42"/>
      <c r="O59" s="5"/>
      <c r="P59" s="5"/>
      <c r="Q59" s="5"/>
      <c r="R59" s="5"/>
      <c r="S59" s="5"/>
      <c r="T59" s="30"/>
      <c r="U59" s="3"/>
      <c r="V59" s="3"/>
    </row>
    <row r="60" spans="4:22">
      <c r="D60" s="5"/>
      <c r="E60" s="664"/>
      <c r="F60" s="665"/>
      <c r="G60" s="665"/>
      <c r="H60" s="666"/>
      <c r="I60" s="687"/>
      <c r="J60" s="688"/>
      <c r="K60" s="689"/>
      <c r="L60" s="5"/>
      <c r="M60" s="5"/>
      <c r="N60" s="42"/>
      <c r="O60" s="5"/>
      <c r="P60" s="5"/>
      <c r="Q60" s="5"/>
      <c r="R60" s="5"/>
      <c r="S60" s="5"/>
      <c r="T60" s="30"/>
      <c r="U60" s="3"/>
      <c r="V60" s="3"/>
    </row>
    <row r="61" spans="4:22">
      <c r="D61" s="5"/>
      <c r="E61" s="664"/>
      <c r="F61" s="665"/>
      <c r="G61" s="665"/>
      <c r="H61" s="666"/>
      <c r="I61" s="687"/>
      <c r="J61" s="688"/>
      <c r="K61" s="689"/>
      <c r="L61" s="5"/>
      <c r="M61" s="5"/>
      <c r="N61" s="42"/>
      <c r="O61" s="5"/>
      <c r="P61" s="5"/>
      <c r="Q61" s="5"/>
      <c r="R61" s="5"/>
      <c r="S61" s="5"/>
      <c r="T61" s="30"/>
      <c r="U61" s="3"/>
      <c r="V61" s="1"/>
    </row>
    <row r="62" spans="4:22">
      <c r="D62" s="5"/>
      <c r="E62" s="664"/>
      <c r="F62" s="665"/>
      <c r="G62" s="665"/>
      <c r="H62" s="666"/>
      <c r="I62" s="687"/>
      <c r="J62" s="688"/>
      <c r="K62" s="689"/>
      <c r="L62" s="5"/>
      <c r="M62" s="5"/>
      <c r="N62" s="42"/>
      <c r="O62" s="5"/>
      <c r="P62" s="5"/>
      <c r="Q62" s="43"/>
      <c r="R62" s="5"/>
      <c r="S62" s="5"/>
      <c r="T62" s="30"/>
      <c r="U62" s="3"/>
      <c r="V62" s="1"/>
    </row>
    <row r="63" spans="4:22">
      <c r="D63" s="5"/>
      <c r="E63" s="667"/>
      <c r="F63" s="667"/>
      <c r="G63" s="667"/>
      <c r="H63" s="667"/>
      <c r="I63" s="624"/>
      <c r="J63" s="624"/>
      <c r="K63" s="624"/>
      <c r="L63" s="5"/>
      <c r="M63" s="5"/>
      <c r="N63" s="42"/>
      <c r="O63" s="5"/>
      <c r="P63" s="5"/>
      <c r="Q63" s="5"/>
      <c r="R63" s="5"/>
      <c r="S63" s="5"/>
      <c r="T63" s="30"/>
      <c r="U63" s="3"/>
      <c r="V63" s="1"/>
    </row>
    <row r="64" spans="4:22">
      <c r="D64" s="5"/>
      <c r="E64" s="667"/>
      <c r="F64" s="667"/>
      <c r="G64" s="667"/>
      <c r="H64" s="667"/>
      <c r="I64" s="624"/>
      <c r="J64" s="624"/>
      <c r="K64" s="624"/>
      <c r="L64" s="5"/>
      <c r="M64" s="5"/>
      <c r="N64" s="42"/>
      <c r="O64" s="5"/>
      <c r="P64" s="2"/>
      <c r="Q64" s="5"/>
      <c r="R64" s="5"/>
      <c r="S64" s="5"/>
      <c r="T64" s="30"/>
      <c r="U64" s="3"/>
      <c r="V64" s="1"/>
    </row>
    <row r="65" spans="4:22">
      <c r="D65" s="5"/>
      <c r="E65" s="664"/>
      <c r="F65" s="665"/>
      <c r="G65" s="665"/>
      <c r="H65" s="666"/>
      <c r="I65" s="687"/>
      <c r="J65" s="688"/>
      <c r="K65" s="689"/>
      <c r="L65" s="5"/>
      <c r="M65" s="5"/>
      <c r="N65" s="42"/>
      <c r="O65" s="5"/>
      <c r="P65" s="5"/>
      <c r="Q65" s="5"/>
      <c r="R65" s="5"/>
      <c r="S65" s="5"/>
      <c r="T65" s="30"/>
      <c r="U65" s="3"/>
      <c r="V65" s="1"/>
    </row>
    <row r="66" spans="4:22">
      <c r="D66" s="5"/>
      <c r="E66" s="664"/>
      <c r="F66" s="665"/>
      <c r="G66" s="665"/>
      <c r="H66" s="666"/>
      <c r="I66" s="687"/>
      <c r="J66" s="688"/>
      <c r="K66" s="689"/>
      <c r="L66" s="5"/>
      <c r="M66" s="5"/>
      <c r="N66" s="42"/>
      <c r="O66" s="5"/>
      <c r="P66" s="5"/>
      <c r="Q66" s="43"/>
      <c r="R66" s="5"/>
      <c r="S66" s="5"/>
      <c r="T66" s="30"/>
      <c r="U66" s="3"/>
      <c r="V66" s="1"/>
    </row>
    <row r="67" spans="4:22">
      <c r="D67" s="5"/>
      <c r="E67" s="664"/>
      <c r="F67" s="665"/>
      <c r="G67" s="665"/>
      <c r="H67" s="666"/>
      <c r="I67" s="687"/>
      <c r="J67" s="688"/>
      <c r="K67" s="689"/>
      <c r="L67" s="5"/>
      <c r="M67" s="5"/>
      <c r="N67" s="42"/>
      <c r="O67" s="5"/>
      <c r="P67" s="5"/>
      <c r="Q67" s="5"/>
      <c r="R67" s="5"/>
      <c r="S67" s="5"/>
      <c r="T67" s="30"/>
      <c r="U67" s="3"/>
      <c r="V67" s="1"/>
    </row>
    <row r="68" spans="4:22">
      <c r="D68" s="5"/>
      <c r="E68" s="664"/>
      <c r="F68" s="665"/>
      <c r="G68" s="665"/>
      <c r="H68" s="666"/>
      <c r="I68" s="687"/>
      <c r="J68" s="688"/>
      <c r="K68" s="689"/>
      <c r="L68" s="5"/>
      <c r="M68" s="5"/>
      <c r="N68" s="42"/>
      <c r="O68" s="5"/>
      <c r="P68" s="5"/>
      <c r="Q68" s="5"/>
      <c r="R68" s="5"/>
      <c r="S68" s="5"/>
      <c r="T68" s="30"/>
      <c r="U68" s="3"/>
      <c r="V68" s="1"/>
    </row>
    <row r="69" spans="4:22">
      <c r="D69" s="5"/>
      <c r="E69" s="664"/>
      <c r="F69" s="665"/>
      <c r="G69" s="665"/>
      <c r="H69" s="666"/>
      <c r="I69" s="687"/>
      <c r="J69" s="688"/>
      <c r="K69" s="689"/>
      <c r="L69" s="5"/>
      <c r="M69" s="5"/>
      <c r="N69" s="42"/>
      <c r="O69" s="5"/>
      <c r="P69" s="52"/>
      <c r="Q69" s="51"/>
      <c r="R69" s="5"/>
      <c r="S69" s="5"/>
      <c r="T69" s="30"/>
      <c r="U69" s="3"/>
      <c r="V69" s="1"/>
    </row>
    <row r="70" spans="4:22">
      <c r="D70" s="5"/>
      <c r="E70" s="620"/>
      <c r="F70" s="620"/>
      <c r="G70" s="620"/>
      <c r="H70" s="620"/>
      <c r="I70" s="620"/>
      <c r="J70" s="620"/>
      <c r="K70" s="620"/>
      <c r="L70" s="5"/>
      <c r="M70" s="3"/>
      <c r="N70" s="20"/>
      <c r="O70" s="3"/>
      <c r="P70" s="1"/>
      <c r="Q70" s="3"/>
      <c r="R70" s="3"/>
      <c r="S70" s="5"/>
      <c r="T70" s="30"/>
      <c r="U70" s="3"/>
      <c r="V70" s="3"/>
    </row>
    <row r="71" spans="4:22">
      <c r="D71" s="5"/>
      <c r="E71" s="620"/>
      <c r="F71" s="620"/>
      <c r="G71" s="620"/>
      <c r="H71" s="620"/>
      <c r="I71" s="620"/>
      <c r="J71" s="620"/>
      <c r="K71" s="620"/>
      <c r="L71" s="5"/>
      <c r="M71" s="3"/>
      <c r="N71" s="20"/>
      <c r="O71" s="3"/>
      <c r="P71" s="1"/>
      <c r="Q71" s="3"/>
      <c r="R71" s="3"/>
      <c r="S71" s="5"/>
      <c r="T71" s="30"/>
      <c r="U71" s="3"/>
      <c r="V71" s="3"/>
    </row>
    <row r="72" spans="4:22">
      <c r="D72" s="5"/>
      <c r="E72" s="620"/>
      <c r="F72" s="620"/>
      <c r="G72" s="620"/>
      <c r="H72" s="620"/>
      <c r="I72" s="620"/>
      <c r="J72" s="620"/>
      <c r="K72" s="620"/>
      <c r="L72" s="5"/>
      <c r="M72" s="3"/>
      <c r="N72" s="20"/>
      <c r="O72" s="3"/>
      <c r="P72" s="1"/>
      <c r="Q72" s="3"/>
      <c r="R72" s="3"/>
      <c r="S72" s="5"/>
      <c r="T72" s="30"/>
      <c r="U72" s="3"/>
      <c r="V72" s="3"/>
    </row>
    <row r="73" spans="4:22">
      <c r="D73" s="5"/>
      <c r="E73" s="620"/>
      <c r="F73" s="620"/>
      <c r="G73" s="620"/>
      <c r="H73" s="620"/>
      <c r="I73" s="620"/>
      <c r="J73" s="620"/>
      <c r="K73" s="620"/>
      <c r="L73" s="5"/>
      <c r="M73" s="3"/>
      <c r="N73" s="20"/>
      <c r="O73" s="3"/>
      <c r="P73" s="1"/>
      <c r="Q73" s="28"/>
      <c r="R73" s="3"/>
      <c r="S73" s="5"/>
      <c r="T73" s="30"/>
      <c r="U73" s="3"/>
      <c r="V73" s="3"/>
    </row>
    <row r="74" spans="4:22">
      <c r="D74" s="5"/>
      <c r="E74" s="620"/>
      <c r="F74" s="620"/>
      <c r="G74" s="620"/>
      <c r="H74" s="620"/>
      <c r="I74" s="620"/>
      <c r="J74" s="620"/>
      <c r="K74" s="620"/>
      <c r="L74" s="5"/>
      <c r="M74" s="3"/>
      <c r="N74" s="20"/>
      <c r="O74" s="3"/>
      <c r="P74" s="1"/>
      <c r="Q74" s="3"/>
      <c r="R74" s="3"/>
      <c r="S74" s="3"/>
      <c r="T74" s="30"/>
      <c r="U74" s="3"/>
      <c r="V74" s="3"/>
    </row>
    <row r="75" spans="4:22">
      <c r="D75" s="5"/>
      <c r="E75" s="620"/>
      <c r="F75" s="620"/>
      <c r="G75" s="620"/>
      <c r="H75" s="620"/>
      <c r="I75" s="620"/>
      <c r="J75" s="620"/>
      <c r="K75" s="620"/>
      <c r="L75" s="5"/>
      <c r="M75" s="3"/>
      <c r="N75" s="20"/>
      <c r="O75" s="3"/>
      <c r="P75" s="1"/>
      <c r="Q75" s="3"/>
      <c r="R75" s="3"/>
      <c r="S75" s="3"/>
      <c r="T75" s="30"/>
      <c r="U75" s="3"/>
      <c r="V75" s="3"/>
    </row>
    <row r="76" spans="4:22">
      <c r="D76" s="5"/>
      <c r="E76" s="620"/>
      <c r="F76" s="620"/>
      <c r="G76" s="620"/>
      <c r="H76" s="620"/>
      <c r="I76" s="620"/>
      <c r="J76" s="620"/>
      <c r="K76" s="620"/>
      <c r="L76" s="5"/>
      <c r="M76" s="3"/>
      <c r="N76" s="20"/>
      <c r="O76" s="3"/>
      <c r="P76" s="1"/>
      <c r="Q76" s="3"/>
      <c r="R76" s="3"/>
      <c r="S76" s="3"/>
      <c r="T76" s="30"/>
      <c r="U76" s="3"/>
      <c r="V76" s="3"/>
    </row>
    <row r="77" spans="4:22">
      <c r="D77" s="5"/>
      <c r="E77" s="620"/>
      <c r="F77" s="620"/>
      <c r="G77" s="620"/>
      <c r="H77" s="620"/>
      <c r="I77" s="620"/>
      <c r="J77" s="620"/>
      <c r="K77" s="620"/>
      <c r="L77" s="5"/>
      <c r="M77" s="3"/>
      <c r="N77" s="20"/>
      <c r="O77" s="3"/>
      <c r="P77" s="1"/>
      <c r="Q77" s="3"/>
      <c r="R77" s="3"/>
      <c r="S77" s="3"/>
      <c r="T77" s="30"/>
      <c r="U77" s="3"/>
      <c r="V77" s="3"/>
    </row>
    <row r="78" spans="4:22">
      <c r="D78" s="5"/>
      <c r="E78" s="620"/>
      <c r="F78" s="620"/>
      <c r="G78" s="620"/>
      <c r="H78" s="620"/>
      <c r="I78" s="620"/>
      <c r="J78" s="620"/>
      <c r="K78" s="620"/>
      <c r="L78" s="5"/>
      <c r="M78" s="3"/>
      <c r="N78" s="20"/>
      <c r="O78" s="3"/>
      <c r="P78" s="1"/>
      <c r="Q78" s="3"/>
      <c r="R78" s="3"/>
      <c r="S78" s="3"/>
      <c r="T78" s="30"/>
      <c r="U78" s="3"/>
      <c r="V78" s="3"/>
    </row>
    <row r="79" spans="4:22">
      <c r="D79" s="5"/>
      <c r="E79" s="620"/>
      <c r="F79" s="620"/>
      <c r="G79" s="620"/>
      <c r="H79" s="620"/>
      <c r="I79" s="620"/>
      <c r="J79" s="620"/>
      <c r="K79" s="620"/>
      <c r="L79" s="5"/>
      <c r="M79" s="3"/>
      <c r="N79" s="20"/>
      <c r="O79" s="3"/>
      <c r="P79" s="1"/>
      <c r="Q79" s="3"/>
      <c r="R79" s="3"/>
      <c r="S79" s="3"/>
      <c r="T79" s="30"/>
      <c r="U79" s="3"/>
      <c r="V79" s="3"/>
    </row>
    <row r="80" spans="4:22">
      <c r="D80" s="5"/>
      <c r="E80" s="620"/>
      <c r="F80" s="620"/>
      <c r="G80" s="620"/>
      <c r="H80" s="620"/>
      <c r="I80" s="620"/>
      <c r="J80" s="620"/>
      <c r="K80" s="620"/>
      <c r="L80" s="5"/>
      <c r="M80" s="3"/>
      <c r="N80" s="20"/>
      <c r="O80" s="3"/>
      <c r="P80" s="1"/>
      <c r="Q80" s="3"/>
      <c r="R80" s="3"/>
      <c r="S80" s="3"/>
      <c r="T80" s="30"/>
      <c r="U80" s="3"/>
      <c r="V80" s="34"/>
    </row>
    <row r="81" spans="4:22">
      <c r="D81" s="5"/>
      <c r="E81" s="620"/>
      <c r="F81" s="620"/>
      <c r="G81" s="620"/>
      <c r="H81" s="620"/>
      <c r="I81" s="620"/>
      <c r="J81" s="620"/>
      <c r="K81" s="620"/>
      <c r="L81" s="5"/>
      <c r="M81" s="3"/>
      <c r="N81" s="20"/>
      <c r="O81" s="3"/>
      <c r="P81" s="1"/>
      <c r="Q81" s="28"/>
      <c r="R81" s="3"/>
      <c r="S81" s="3"/>
      <c r="T81" s="30"/>
      <c r="U81" s="3"/>
      <c r="V81" s="3"/>
    </row>
    <row r="82" spans="4:22">
      <c r="D82" s="5"/>
      <c r="E82" s="620"/>
      <c r="F82" s="620"/>
      <c r="G82" s="620"/>
      <c r="H82" s="620"/>
      <c r="I82" s="620"/>
      <c r="J82" s="620"/>
      <c r="K82" s="620"/>
      <c r="L82" s="5"/>
      <c r="M82" s="3"/>
      <c r="N82" s="20"/>
      <c r="O82" s="3"/>
      <c r="P82" s="1"/>
      <c r="Q82" s="28"/>
      <c r="R82" s="3"/>
      <c r="S82" s="3"/>
      <c r="T82" s="30"/>
      <c r="U82" s="3"/>
      <c r="V82" s="1"/>
    </row>
    <row r="83" spans="4:22">
      <c r="D83" s="5"/>
      <c r="E83" s="620"/>
      <c r="F83" s="620"/>
      <c r="G83" s="620"/>
      <c r="H83" s="620"/>
      <c r="I83" s="620"/>
      <c r="J83" s="620"/>
      <c r="K83" s="620"/>
      <c r="L83" s="5"/>
      <c r="M83" s="3"/>
      <c r="N83" s="20"/>
      <c r="O83" s="3"/>
      <c r="P83" s="1"/>
      <c r="Q83" s="3"/>
      <c r="R83" s="3"/>
      <c r="S83" s="3"/>
      <c r="T83" s="30"/>
      <c r="U83" s="3"/>
      <c r="V83" s="1"/>
    </row>
    <row r="84" spans="4:22">
      <c r="D84" s="5"/>
      <c r="E84" s="620"/>
      <c r="F84" s="620"/>
      <c r="G84" s="620"/>
      <c r="H84" s="620"/>
      <c r="I84" s="620"/>
      <c r="J84" s="620"/>
      <c r="K84" s="620"/>
      <c r="L84" s="5"/>
      <c r="M84" s="3"/>
      <c r="N84" s="20"/>
      <c r="O84" s="3"/>
      <c r="P84" s="1"/>
      <c r="Q84" s="3"/>
      <c r="R84" s="3"/>
      <c r="S84" s="3"/>
      <c r="T84" s="30"/>
      <c r="U84" s="3"/>
      <c r="V84" s="1"/>
    </row>
    <row r="85" spans="4:22">
      <c r="D85" s="5"/>
      <c r="E85" s="635"/>
      <c r="F85" s="636"/>
      <c r="G85" s="636"/>
      <c r="H85" s="637"/>
      <c r="I85" s="635"/>
      <c r="J85" s="636"/>
      <c r="K85" s="637"/>
      <c r="L85" s="5"/>
      <c r="M85" s="3"/>
      <c r="N85" s="20"/>
      <c r="O85" s="3"/>
      <c r="P85" s="1"/>
      <c r="Q85" s="28"/>
      <c r="R85" s="3"/>
      <c r="S85" s="3"/>
      <c r="T85" s="30"/>
      <c r="U85" s="3"/>
      <c r="V85" s="1"/>
    </row>
    <row r="86" spans="4:22">
      <c r="D86" s="5"/>
      <c r="E86" s="635"/>
      <c r="F86" s="636"/>
      <c r="G86" s="636"/>
      <c r="H86" s="637"/>
      <c r="I86" s="635"/>
      <c r="J86" s="636"/>
      <c r="K86" s="637"/>
      <c r="L86" s="5"/>
      <c r="M86" s="3"/>
      <c r="N86" s="20"/>
      <c r="O86" s="3"/>
      <c r="P86" s="1"/>
      <c r="Q86" s="28"/>
      <c r="R86" s="3"/>
      <c r="S86" s="3"/>
      <c r="T86" s="30"/>
      <c r="U86" s="3"/>
      <c r="V86" s="1"/>
    </row>
    <row r="87" spans="4:22">
      <c r="D87" s="5"/>
      <c r="E87" s="620"/>
      <c r="F87" s="620"/>
      <c r="G87" s="620"/>
      <c r="H87" s="620"/>
      <c r="I87" s="620"/>
      <c r="J87" s="620"/>
      <c r="K87" s="620"/>
      <c r="L87" s="5"/>
      <c r="M87" s="3"/>
      <c r="N87" s="20"/>
      <c r="O87" s="3"/>
      <c r="P87" s="1"/>
      <c r="Q87" s="3"/>
      <c r="R87" s="3"/>
      <c r="S87" s="3"/>
      <c r="T87" s="30"/>
      <c r="U87" s="3"/>
      <c r="V87" s="1"/>
    </row>
    <row r="88" spans="4:22">
      <c r="D88" s="5"/>
      <c r="E88" s="635"/>
      <c r="F88" s="636"/>
      <c r="G88" s="636"/>
      <c r="H88" s="637"/>
      <c r="I88" s="635"/>
      <c r="J88" s="636"/>
      <c r="K88" s="637"/>
      <c r="L88" s="5"/>
      <c r="M88" s="3"/>
      <c r="N88" s="20"/>
      <c r="O88" s="3"/>
      <c r="P88" s="1"/>
      <c r="Q88" s="28"/>
      <c r="R88" s="3"/>
      <c r="S88" s="3"/>
      <c r="T88" s="30"/>
      <c r="U88" s="3"/>
      <c r="V88" s="1"/>
    </row>
    <row r="89" spans="4:22">
      <c r="D89" s="5"/>
      <c r="E89" s="635"/>
      <c r="F89" s="636"/>
      <c r="G89" s="636"/>
      <c r="H89" s="637"/>
      <c r="I89" s="635"/>
      <c r="J89" s="636"/>
      <c r="K89" s="637"/>
      <c r="L89" s="5"/>
      <c r="M89" s="3"/>
      <c r="N89" s="20"/>
      <c r="O89" s="3"/>
      <c r="P89" s="1"/>
      <c r="Q89" s="28"/>
      <c r="R89" s="3"/>
      <c r="S89" s="3"/>
      <c r="T89" s="30"/>
      <c r="U89" s="3"/>
      <c r="V89" s="3"/>
    </row>
    <row r="90" spans="4:22">
      <c r="D90" s="5"/>
      <c r="E90" s="620"/>
      <c r="F90" s="620"/>
      <c r="G90" s="620"/>
      <c r="H90" s="620"/>
      <c r="I90" s="620"/>
      <c r="J90" s="620"/>
      <c r="K90" s="620"/>
      <c r="L90" s="5"/>
      <c r="M90" s="3"/>
      <c r="N90" s="20"/>
      <c r="O90" s="3"/>
      <c r="P90" s="3"/>
      <c r="Q90" s="3"/>
      <c r="R90" s="3"/>
      <c r="S90" s="3"/>
      <c r="T90" s="30"/>
      <c r="U90" s="3"/>
      <c r="V90" s="3"/>
    </row>
  </sheetData>
  <autoFilter ref="D8:U57" xr:uid="{00000000-0009-0000-0000-000004000000}">
    <filterColumn colId="1" showButton="0"/>
    <filterColumn colId="2" showButton="0"/>
    <filterColumn colId="3" showButton="0"/>
    <filterColumn colId="5" showButton="0"/>
    <filterColumn colId="6" showButton="0"/>
  </autoFilter>
  <mergeCells count="118">
    <mergeCell ref="D5:V7"/>
    <mergeCell ref="E8:H8"/>
    <mergeCell ref="I8:K8"/>
    <mergeCell ref="E9:H9"/>
    <mergeCell ref="E10:H10"/>
    <mergeCell ref="E15:H15"/>
    <mergeCell ref="E20:H20"/>
    <mergeCell ref="E21:H21"/>
    <mergeCell ref="E22:H22"/>
    <mergeCell ref="E17:H17"/>
    <mergeCell ref="E18:H18"/>
    <mergeCell ref="E19:H19"/>
    <mergeCell ref="E16:H16"/>
    <mergeCell ref="E14:H14"/>
    <mergeCell ref="E11:H11"/>
    <mergeCell ref="E12:H12"/>
    <mergeCell ref="E13:H13"/>
    <mergeCell ref="E29:H29"/>
    <mergeCell ref="E30:H30"/>
    <mergeCell ref="E31:H31"/>
    <mergeCell ref="E26:H26"/>
    <mergeCell ref="E27:H27"/>
    <mergeCell ref="E28:H28"/>
    <mergeCell ref="E23:H23"/>
    <mergeCell ref="E24:H24"/>
    <mergeCell ref="E25:H25"/>
    <mergeCell ref="E38:H38"/>
    <mergeCell ref="E39:H39"/>
    <mergeCell ref="E40:H40"/>
    <mergeCell ref="E35:H35"/>
    <mergeCell ref="E36:H36"/>
    <mergeCell ref="E37:H37"/>
    <mergeCell ref="E32:H32"/>
    <mergeCell ref="E33:H33"/>
    <mergeCell ref="E34:H34"/>
    <mergeCell ref="E48:H48"/>
    <mergeCell ref="E49:H49"/>
    <mergeCell ref="E50:H50"/>
    <mergeCell ref="E44:H44"/>
    <mergeCell ref="E45:H45"/>
    <mergeCell ref="E46:H46"/>
    <mergeCell ref="E47:H47"/>
    <mergeCell ref="E41:H41"/>
    <mergeCell ref="E42:H42"/>
    <mergeCell ref="E43:H43"/>
    <mergeCell ref="E57:H57"/>
    <mergeCell ref="E58:H58"/>
    <mergeCell ref="I58:K58"/>
    <mergeCell ref="E59:H59"/>
    <mergeCell ref="I59:K59"/>
    <mergeCell ref="E54:H54"/>
    <mergeCell ref="E55:H55"/>
    <mergeCell ref="E56:H56"/>
    <mergeCell ref="E51:H51"/>
    <mergeCell ref="E52:H52"/>
    <mergeCell ref="E53:H53"/>
    <mergeCell ref="E63:H63"/>
    <mergeCell ref="I63:K63"/>
    <mergeCell ref="E64:H64"/>
    <mergeCell ref="I64:K64"/>
    <mergeCell ref="E65:H65"/>
    <mergeCell ref="I65:K65"/>
    <mergeCell ref="E60:H60"/>
    <mergeCell ref="I60:K60"/>
    <mergeCell ref="E61:H61"/>
    <mergeCell ref="I61:K61"/>
    <mergeCell ref="E62:H62"/>
    <mergeCell ref="I62:K62"/>
    <mergeCell ref="E69:H69"/>
    <mergeCell ref="I69:K69"/>
    <mergeCell ref="E70:H70"/>
    <mergeCell ref="I70:K70"/>
    <mergeCell ref="E71:H71"/>
    <mergeCell ref="I71:K71"/>
    <mergeCell ref="E66:H66"/>
    <mergeCell ref="I66:K66"/>
    <mergeCell ref="E67:H67"/>
    <mergeCell ref="I67:K67"/>
    <mergeCell ref="E68:H68"/>
    <mergeCell ref="I68:K68"/>
    <mergeCell ref="E80:H80"/>
    <mergeCell ref="I80:K80"/>
    <mergeCell ref="E75:H75"/>
    <mergeCell ref="I75:K75"/>
    <mergeCell ref="E76:H76"/>
    <mergeCell ref="I76:K76"/>
    <mergeCell ref="E77:H77"/>
    <mergeCell ref="I77:K77"/>
    <mergeCell ref="E72:H72"/>
    <mergeCell ref="I72:K72"/>
    <mergeCell ref="E73:H73"/>
    <mergeCell ref="I73:K73"/>
    <mergeCell ref="E74:H74"/>
    <mergeCell ref="I74:K74"/>
    <mergeCell ref="E81:H81"/>
    <mergeCell ref="I81:K81"/>
    <mergeCell ref="E82:H82"/>
    <mergeCell ref="I82:K82"/>
    <mergeCell ref="E83:H83"/>
    <mergeCell ref="I83:K83"/>
    <mergeCell ref="E78:H78"/>
    <mergeCell ref="I78:K78"/>
    <mergeCell ref="E90:H90"/>
    <mergeCell ref="I90:K90"/>
    <mergeCell ref="E87:H87"/>
    <mergeCell ref="I87:K87"/>
    <mergeCell ref="E88:H88"/>
    <mergeCell ref="I88:K88"/>
    <mergeCell ref="E89:H89"/>
    <mergeCell ref="I89:K89"/>
    <mergeCell ref="E84:H84"/>
    <mergeCell ref="I84:K84"/>
    <mergeCell ref="E85:H85"/>
    <mergeCell ref="I85:K85"/>
    <mergeCell ref="E86:H86"/>
    <mergeCell ref="I86:K86"/>
    <mergeCell ref="E79:H79"/>
    <mergeCell ref="I79:K7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D3:W106"/>
  <sheetViews>
    <sheetView topLeftCell="A64" zoomScale="70" zoomScaleNormal="70" workbookViewId="0">
      <selection activeCell="I8" sqref="I8:I95"/>
    </sheetView>
  </sheetViews>
  <sheetFormatPr defaultRowHeight="14.5"/>
  <cols>
    <col min="4" max="4" width="9.54296875" bestFit="1" customWidth="1"/>
    <col min="8" max="8" width="10.81640625" customWidth="1"/>
    <col min="9" max="9" width="10.81640625" bestFit="1" customWidth="1"/>
    <col min="12" max="12" width="13.81640625" bestFit="1" customWidth="1"/>
    <col min="13" max="13" width="17.54296875" bestFit="1" customWidth="1"/>
    <col min="14" max="14" width="15.81640625" bestFit="1" customWidth="1"/>
    <col min="15" max="15" width="16.453125" bestFit="1" customWidth="1"/>
    <col min="16" max="16" width="32.453125" bestFit="1" customWidth="1"/>
    <col min="17" max="17" width="25.54296875" bestFit="1" customWidth="1"/>
    <col min="18" max="18" width="11.453125" bestFit="1" customWidth="1"/>
    <col min="19" max="19" width="11.81640625" bestFit="1" customWidth="1"/>
    <col min="20" max="20" width="16.1796875" bestFit="1" customWidth="1"/>
    <col min="21" max="21" width="11.453125" bestFit="1" customWidth="1"/>
  </cols>
  <sheetData>
    <row r="3" spans="4:23" ht="14.5" customHeight="1">
      <c r="D3" s="682" t="s">
        <v>40</v>
      </c>
      <c r="E3" s="682"/>
      <c r="F3" s="682"/>
      <c r="G3" s="682"/>
      <c r="H3" s="682"/>
      <c r="I3" s="682"/>
      <c r="J3" s="682"/>
      <c r="K3" s="682"/>
      <c r="L3" s="682"/>
      <c r="M3" s="682"/>
      <c r="N3" s="682"/>
      <c r="O3" s="682"/>
      <c r="P3" s="682"/>
      <c r="Q3" s="682"/>
      <c r="R3" s="682"/>
      <c r="S3" s="682"/>
      <c r="T3" s="682"/>
      <c r="U3" s="682"/>
      <c r="V3" s="56"/>
      <c r="W3" s="56"/>
    </row>
    <row r="4" spans="4:23" ht="14.5" customHeight="1">
      <c r="D4" s="682"/>
      <c r="E4" s="682"/>
      <c r="F4" s="682"/>
      <c r="G4" s="682"/>
      <c r="H4" s="682"/>
      <c r="I4" s="682"/>
      <c r="J4" s="682"/>
      <c r="K4" s="682"/>
      <c r="L4" s="682"/>
      <c r="M4" s="682"/>
      <c r="N4" s="682"/>
      <c r="O4" s="682"/>
      <c r="P4" s="682"/>
      <c r="Q4" s="682"/>
      <c r="R4" s="682"/>
      <c r="S4" s="682"/>
      <c r="T4" s="682"/>
      <c r="U4" s="682"/>
      <c r="V4" s="56"/>
      <c r="W4" s="56"/>
    </row>
    <row r="5" spans="4:23" ht="14.5" customHeight="1">
      <c r="D5" s="682"/>
      <c r="E5" s="682"/>
      <c r="F5" s="682"/>
      <c r="G5" s="682"/>
      <c r="H5" s="682"/>
      <c r="I5" s="682"/>
      <c r="J5" s="682"/>
      <c r="K5" s="682"/>
      <c r="L5" s="682"/>
      <c r="M5" s="682"/>
      <c r="N5" s="682"/>
      <c r="O5" s="682"/>
      <c r="P5" s="682"/>
      <c r="Q5" s="682"/>
      <c r="R5" s="682"/>
      <c r="S5" s="682"/>
      <c r="T5" s="682"/>
      <c r="U5" s="682"/>
      <c r="V5" s="56"/>
      <c r="W5" s="56"/>
    </row>
    <row r="6" spans="4:23" ht="14.5" customHeight="1">
      <c r="D6" s="682"/>
      <c r="E6" s="682"/>
      <c r="F6" s="682"/>
      <c r="G6" s="682"/>
      <c r="H6" s="682"/>
      <c r="I6" s="682"/>
      <c r="J6" s="682"/>
      <c r="K6" s="682"/>
      <c r="L6" s="682"/>
      <c r="M6" s="682"/>
      <c r="N6" s="682"/>
      <c r="O6" s="682"/>
      <c r="P6" s="682"/>
      <c r="Q6" s="682"/>
      <c r="R6" s="682"/>
      <c r="S6" s="682"/>
      <c r="T6" s="682"/>
      <c r="U6" s="682"/>
      <c r="V6" s="56"/>
      <c r="W6" s="56"/>
    </row>
    <row r="7" spans="4:23" ht="15.5">
      <c r="D7" s="2" t="s">
        <v>0</v>
      </c>
      <c r="E7" s="642" t="s">
        <v>1</v>
      </c>
      <c r="F7" s="642"/>
      <c r="G7" s="642"/>
      <c r="H7" s="642"/>
      <c r="I7" s="642" t="s">
        <v>2</v>
      </c>
      <c r="J7" s="642"/>
      <c r="K7" s="642"/>
      <c r="L7" s="38" t="s">
        <v>3</v>
      </c>
      <c r="M7" s="38" t="s">
        <v>4</v>
      </c>
      <c r="N7" s="38" t="s">
        <v>6</v>
      </c>
      <c r="O7" s="38" t="s">
        <v>8</v>
      </c>
      <c r="P7" s="38" t="s">
        <v>9</v>
      </c>
      <c r="Q7" s="38" t="s">
        <v>10</v>
      </c>
      <c r="R7" s="44" t="s">
        <v>293</v>
      </c>
      <c r="S7" s="38" t="s">
        <v>321</v>
      </c>
      <c r="T7" s="44" t="s">
        <v>327</v>
      </c>
      <c r="U7" s="38" t="s">
        <v>243</v>
      </c>
    </row>
    <row r="8" spans="4:23">
      <c r="D8" s="5">
        <v>1</v>
      </c>
      <c r="E8" s="645" t="s">
        <v>392</v>
      </c>
      <c r="F8" s="646"/>
      <c r="G8" s="646"/>
      <c r="H8" s="647"/>
      <c r="I8" s="68">
        <v>559413515</v>
      </c>
      <c r="J8" s="230"/>
      <c r="K8" s="231"/>
      <c r="L8" s="5">
        <v>199</v>
      </c>
      <c r="M8" s="5" t="s">
        <v>12</v>
      </c>
      <c r="N8" s="42">
        <v>44622</v>
      </c>
      <c r="O8" s="5" t="s">
        <v>393</v>
      </c>
      <c r="P8" s="5"/>
      <c r="Q8" s="5">
        <v>8.9971031211114301E+18</v>
      </c>
      <c r="R8" s="5">
        <v>63238455</v>
      </c>
      <c r="S8" s="1" t="s">
        <v>193</v>
      </c>
      <c r="T8" s="60"/>
      <c r="U8" s="3" t="s">
        <v>1096</v>
      </c>
    </row>
    <row r="9" spans="4:23">
      <c r="D9" s="5">
        <v>2</v>
      </c>
      <c r="E9" s="643" t="s">
        <v>394</v>
      </c>
      <c r="F9" s="643"/>
      <c r="G9" s="643"/>
      <c r="H9" s="643"/>
      <c r="I9" s="64">
        <v>507375551</v>
      </c>
      <c r="J9" s="64"/>
      <c r="K9" s="64"/>
      <c r="L9" s="5">
        <v>199</v>
      </c>
      <c r="M9" s="5" t="s">
        <v>12</v>
      </c>
      <c r="N9" s="42">
        <v>44622</v>
      </c>
      <c r="O9" s="5" t="s">
        <v>393</v>
      </c>
      <c r="P9" s="5"/>
      <c r="Q9" s="5">
        <v>1.4586764400000001</v>
      </c>
      <c r="R9" s="5">
        <v>63254235</v>
      </c>
      <c r="S9" s="1" t="s">
        <v>193</v>
      </c>
      <c r="T9" s="60"/>
      <c r="U9" s="3" t="s">
        <v>1096</v>
      </c>
    </row>
    <row r="10" spans="4:23">
      <c r="D10" s="5">
        <v>3</v>
      </c>
      <c r="E10" s="643" t="s">
        <v>395</v>
      </c>
      <c r="F10" s="643"/>
      <c r="G10" s="643"/>
      <c r="H10" s="643"/>
      <c r="I10" s="64">
        <v>551476504</v>
      </c>
      <c r="J10" s="64"/>
      <c r="K10" s="64"/>
      <c r="L10" s="5">
        <v>199</v>
      </c>
      <c r="M10" s="5" t="s">
        <v>12</v>
      </c>
      <c r="N10" s="42">
        <v>44622</v>
      </c>
      <c r="O10" s="5" t="s">
        <v>393</v>
      </c>
      <c r="P10" s="5"/>
      <c r="Q10" s="5">
        <v>1.45868774</v>
      </c>
      <c r="R10" s="5">
        <v>63257080</v>
      </c>
      <c r="S10" s="1" t="s">
        <v>465</v>
      </c>
      <c r="T10" s="60"/>
      <c r="U10" s="3" t="s">
        <v>1096</v>
      </c>
    </row>
    <row r="11" spans="4:23">
      <c r="D11" s="5">
        <v>4</v>
      </c>
      <c r="E11" s="643" t="s">
        <v>396</v>
      </c>
      <c r="F11" s="643"/>
      <c r="G11" s="643"/>
      <c r="H11" s="643"/>
      <c r="I11" s="64">
        <v>508970547</v>
      </c>
      <c r="J11" s="64"/>
      <c r="K11" s="64"/>
      <c r="L11" s="5">
        <v>199</v>
      </c>
      <c r="M11" s="5" t="s">
        <v>12</v>
      </c>
      <c r="N11" s="42">
        <v>44623</v>
      </c>
      <c r="O11" s="5" t="s">
        <v>393</v>
      </c>
      <c r="P11" s="5"/>
      <c r="Q11" s="5">
        <v>1.4587159999999999</v>
      </c>
      <c r="R11" s="5">
        <v>63264381</v>
      </c>
      <c r="S11" s="1" t="s">
        <v>175</v>
      </c>
      <c r="T11" s="60"/>
      <c r="U11" s="3" t="s">
        <v>1096</v>
      </c>
    </row>
    <row r="12" spans="4:23">
      <c r="D12" s="5">
        <v>5</v>
      </c>
      <c r="E12" s="645" t="s">
        <v>397</v>
      </c>
      <c r="F12" s="646"/>
      <c r="G12" s="646"/>
      <c r="H12" s="647"/>
      <c r="I12" s="64">
        <v>552729703</v>
      </c>
      <c r="J12" s="64"/>
      <c r="K12" s="64"/>
      <c r="L12" s="5">
        <v>199</v>
      </c>
      <c r="M12" s="5" t="s">
        <v>12</v>
      </c>
      <c r="N12" s="42">
        <v>44623</v>
      </c>
      <c r="O12" s="5" t="s">
        <v>393</v>
      </c>
      <c r="P12" s="5"/>
      <c r="Q12" s="5">
        <v>8.9971031211114301E+18</v>
      </c>
      <c r="R12" s="5">
        <v>63272336</v>
      </c>
      <c r="S12" s="1" t="s">
        <v>465</v>
      </c>
      <c r="T12" s="60"/>
      <c r="U12" s="3" t="s">
        <v>1096</v>
      </c>
    </row>
    <row r="13" spans="4:23">
      <c r="D13" s="5">
        <v>6</v>
      </c>
      <c r="E13" s="645" t="s">
        <v>398</v>
      </c>
      <c r="F13" s="646"/>
      <c r="G13" s="646"/>
      <c r="H13" s="647"/>
      <c r="I13" s="64">
        <v>556727435</v>
      </c>
      <c r="J13" s="64"/>
      <c r="K13" s="64"/>
      <c r="L13" s="5">
        <v>199</v>
      </c>
      <c r="M13" s="5" t="s">
        <v>12</v>
      </c>
      <c r="N13" s="42">
        <v>44623</v>
      </c>
      <c r="O13" s="5" t="s">
        <v>393</v>
      </c>
      <c r="P13" s="5"/>
      <c r="Q13" s="5">
        <v>1.4589099999999999</v>
      </c>
      <c r="R13" s="5">
        <v>63290658</v>
      </c>
      <c r="S13" s="1" t="s">
        <v>463</v>
      </c>
      <c r="T13" s="60"/>
      <c r="U13" s="3" t="s">
        <v>1096</v>
      </c>
    </row>
    <row r="14" spans="4:23">
      <c r="D14" s="5">
        <v>7</v>
      </c>
      <c r="E14" s="645" t="s">
        <v>380</v>
      </c>
      <c r="F14" s="646"/>
      <c r="G14" s="646"/>
      <c r="H14" s="647"/>
      <c r="I14" s="64">
        <v>527844420</v>
      </c>
      <c r="J14" s="64"/>
      <c r="K14" s="64"/>
      <c r="L14" s="5">
        <v>199</v>
      </c>
      <c r="M14" s="5" t="s">
        <v>12</v>
      </c>
      <c r="N14" s="42">
        <v>44623</v>
      </c>
      <c r="O14" s="5" t="s">
        <v>393</v>
      </c>
      <c r="P14" s="5"/>
      <c r="Q14" s="5">
        <v>1.29656696</v>
      </c>
      <c r="R14" s="5">
        <v>63297120</v>
      </c>
      <c r="S14" s="1" t="s">
        <v>463</v>
      </c>
      <c r="T14" s="60"/>
      <c r="U14" s="3" t="s">
        <v>1096</v>
      </c>
    </row>
    <row r="15" spans="4:23">
      <c r="D15" s="5">
        <v>8</v>
      </c>
      <c r="E15" s="645" t="s">
        <v>399</v>
      </c>
      <c r="F15" s="646"/>
      <c r="G15" s="646"/>
      <c r="H15" s="647"/>
      <c r="I15" s="64">
        <v>552081716</v>
      </c>
      <c r="J15" s="64"/>
      <c r="K15" s="64"/>
      <c r="L15" s="5">
        <v>199</v>
      </c>
      <c r="M15" s="5" t="s">
        <v>12</v>
      </c>
      <c r="N15" s="42">
        <v>44623</v>
      </c>
      <c r="O15" s="5" t="s">
        <v>393</v>
      </c>
      <c r="P15" s="5"/>
      <c r="Q15" s="5">
        <v>1.45895748</v>
      </c>
      <c r="R15" s="5">
        <v>63301770</v>
      </c>
      <c r="S15" s="1" t="s">
        <v>465</v>
      </c>
      <c r="T15" s="60"/>
      <c r="U15" s="3" t="s">
        <v>1096</v>
      </c>
    </row>
    <row r="16" spans="4:23">
      <c r="D16" s="5">
        <v>9</v>
      </c>
      <c r="E16" s="645" t="s">
        <v>399</v>
      </c>
      <c r="F16" s="646"/>
      <c r="G16" s="646"/>
      <c r="H16" s="647"/>
      <c r="I16" s="64">
        <v>552081716</v>
      </c>
      <c r="J16" s="64"/>
      <c r="K16" s="64"/>
      <c r="L16" s="5">
        <v>199</v>
      </c>
      <c r="M16" s="5" t="s">
        <v>12</v>
      </c>
      <c r="N16" s="42">
        <v>44623</v>
      </c>
      <c r="O16" s="5" t="s">
        <v>393</v>
      </c>
      <c r="P16" s="5"/>
      <c r="Q16" s="5">
        <v>1.45895748</v>
      </c>
      <c r="R16" s="5">
        <v>63301960</v>
      </c>
      <c r="S16" s="1" t="s">
        <v>465</v>
      </c>
      <c r="T16" s="60"/>
      <c r="U16" s="3" t="s">
        <v>1096</v>
      </c>
    </row>
    <row r="17" spans="4:21">
      <c r="D17" s="5">
        <v>10</v>
      </c>
      <c r="E17" s="643" t="s">
        <v>400</v>
      </c>
      <c r="F17" s="643"/>
      <c r="G17" s="643"/>
      <c r="H17" s="643"/>
      <c r="I17" s="64">
        <v>561552019</v>
      </c>
      <c r="J17" s="64"/>
      <c r="K17" s="64"/>
      <c r="L17" s="5">
        <v>199</v>
      </c>
      <c r="M17" s="5" t="s">
        <v>12</v>
      </c>
      <c r="N17" s="42">
        <v>44624</v>
      </c>
      <c r="O17" s="5" t="s">
        <v>393</v>
      </c>
      <c r="P17" s="5"/>
      <c r="Q17" s="5">
        <v>8.9971031211114496E+18</v>
      </c>
      <c r="R17" s="5">
        <v>63333965</v>
      </c>
      <c r="S17" s="1" t="s">
        <v>463</v>
      </c>
      <c r="T17" s="60"/>
      <c r="U17" s="3" t="s">
        <v>1096</v>
      </c>
    </row>
    <row r="18" spans="4:21">
      <c r="D18" s="5">
        <v>11</v>
      </c>
      <c r="E18" s="643" t="s">
        <v>401</v>
      </c>
      <c r="F18" s="643"/>
      <c r="G18" s="643"/>
      <c r="H18" s="643"/>
      <c r="I18" s="64">
        <v>547679722</v>
      </c>
      <c r="J18" s="64"/>
      <c r="K18" s="64"/>
      <c r="L18" s="5">
        <v>199</v>
      </c>
      <c r="M18" s="5" t="s">
        <v>12</v>
      </c>
      <c r="N18" s="42">
        <v>44624</v>
      </c>
      <c r="O18" s="5" t="s">
        <v>393</v>
      </c>
      <c r="P18" s="5" t="s">
        <v>1094</v>
      </c>
      <c r="Q18" s="5">
        <v>8.9971031211114998E+18</v>
      </c>
      <c r="R18" s="5">
        <v>63350756</v>
      </c>
      <c r="S18" s="1" t="s">
        <v>463</v>
      </c>
      <c r="T18" s="60" t="s">
        <v>1161</v>
      </c>
      <c r="U18" s="3" t="s">
        <v>1096</v>
      </c>
    </row>
    <row r="19" spans="4:21">
      <c r="D19" s="5">
        <v>12</v>
      </c>
      <c r="E19" s="645" t="s">
        <v>402</v>
      </c>
      <c r="F19" s="646"/>
      <c r="G19" s="646"/>
      <c r="H19" s="647"/>
      <c r="I19" s="64">
        <v>521961277</v>
      </c>
      <c r="J19" s="64"/>
      <c r="K19" s="64"/>
      <c r="L19" s="5">
        <v>199</v>
      </c>
      <c r="M19" s="5" t="s">
        <v>12</v>
      </c>
      <c r="N19" s="42">
        <v>44624</v>
      </c>
      <c r="O19" s="5" t="s">
        <v>393</v>
      </c>
      <c r="P19" s="5"/>
      <c r="Q19" s="5">
        <v>1.45937611</v>
      </c>
      <c r="R19" s="5">
        <v>63362592</v>
      </c>
      <c r="S19" s="1" t="s">
        <v>175</v>
      </c>
      <c r="T19" s="60"/>
      <c r="U19" s="3" t="s">
        <v>1096</v>
      </c>
    </row>
    <row r="20" spans="4:21">
      <c r="D20" s="5">
        <v>13</v>
      </c>
      <c r="E20" s="645" t="s">
        <v>403</v>
      </c>
      <c r="F20" s="646"/>
      <c r="G20" s="646"/>
      <c r="H20" s="647"/>
      <c r="I20" s="64">
        <v>524630943</v>
      </c>
      <c r="J20" s="64"/>
      <c r="K20" s="64"/>
      <c r="L20" s="5">
        <v>199</v>
      </c>
      <c r="M20" s="5" t="s">
        <v>12</v>
      </c>
      <c r="N20" s="42">
        <v>44624</v>
      </c>
      <c r="O20" s="5" t="s">
        <v>393</v>
      </c>
      <c r="P20" s="5"/>
      <c r="Q20" s="5">
        <v>1.45937216</v>
      </c>
      <c r="R20" s="5">
        <v>63361788</v>
      </c>
      <c r="S20" s="1" t="s">
        <v>175</v>
      </c>
      <c r="T20" s="60"/>
      <c r="U20" s="3" t="s">
        <v>1096</v>
      </c>
    </row>
    <row r="21" spans="4:21">
      <c r="D21" s="5">
        <v>14</v>
      </c>
      <c r="E21" s="645" t="s">
        <v>404</v>
      </c>
      <c r="F21" s="646"/>
      <c r="G21" s="646"/>
      <c r="H21" s="647"/>
      <c r="I21" s="64">
        <v>557911415</v>
      </c>
      <c r="J21" s="64"/>
      <c r="K21" s="64"/>
      <c r="L21" s="5">
        <v>199</v>
      </c>
      <c r="M21" s="5" t="s">
        <v>12</v>
      </c>
      <c r="N21" s="42">
        <v>44624</v>
      </c>
      <c r="O21" s="5" t="s">
        <v>393</v>
      </c>
      <c r="P21" s="5"/>
      <c r="Q21" s="5">
        <v>1.4594015300000001</v>
      </c>
      <c r="R21" s="5">
        <v>63367526</v>
      </c>
      <c r="S21" s="1" t="s">
        <v>465</v>
      </c>
      <c r="T21" s="60"/>
      <c r="U21" s="3" t="s">
        <v>1096</v>
      </c>
    </row>
    <row r="22" spans="4:21">
      <c r="D22" s="5">
        <v>15</v>
      </c>
      <c r="E22" s="693" t="s">
        <v>469</v>
      </c>
      <c r="F22" s="693"/>
      <c r="G22" s="693"/>
      <c r="H22" s="693"/>
      <c r="I22" s="68">
        <v>502914827</v>
      </c>
      <c r="J22" s="230"/>
      <c r="K22" s="231"/>
      <c r="L22" s="5">
        <v>199</v>
      </c>
      <c r="M22" s="5" t="s">
        <v>61</v>
      </c>
      <c r="N22" s="42">
        <v>44627</v>
      </c>
      <c r="O22" s="5" t="s">
        <v>393</v>
      </c>
      <c r="P22" s="5"/>
      <c r="Q22" s="61">
        <v>1.4599181299999999</v>
      </c>
      <c r="R22" s="62">
        <v>63428207</v>
      </c>
      <c r="S22" s="1" t="s">
        <v>464</v>
      </c>
      <c r="T22" s="60"/>
      <c r="U22" s="3" t="s">
        <v>1096</v>
      </c>
    </row>
    <row r="23" spans="4:21">
      <c r="D23" s="5">
        <v>16</v>
      </c>
      <c r="E23" s="690" t="s">
        <v>470</v>
      </c>
      <c r="F23" s="691"/>
      <c r="G23" s="691"/>
      <c r="H23" s="692"/>
      <c r="I23" s="68">
        <v>509675868</v>
      </c>
      <c r="J23" s="230"/>
      <c r="K23" s="231"/>
      <c r="L23" s="5">
        <v>199</v>
      </c>
      <c r="M23" s="5" t="s">
        <v>61</v>
      </c>
      <c r="N23" s="42">
        <v>44627</v>
      </c>
      <c r="O23" s="5" t="s">
        <v>393</v>
      </c>
      <c r="P23" s="5"/>
      <c r="Q23" s="61">
        <v>1.45991319</v>
      </c>
      <c r="R23" s="62">
        <v>63427747</v>
      </c>
      <c r="S23" s="1" t="s">
        <v>464</v>
      </c>
      <c r="T23" s="60"/>
      <c r="U23" s="3" t="s">
        <v>1096</v>
      </c>
    </row>
    <row r="24" spans="4:21">
      <c r="D24" s="5">
        <v>17</v>
      </c>
      <c r="E24" s="645" t="s">
        <v>405</v>
      </c>
      <c r="F24" s="646"/>
      <c r="G24" s="646"/>
      <c r="H24" s="647"/>
      <c r="I24" s="64">
        <v>502769551</v>
      </c>
      <c r="J24" s="64"/>
      <c r="K24" s="64"/>
      <c r="L24" s="5">
        <v>199</v>
      </c>
      <c r="M24" s="5" t="s">
        <v>12</v>
      </c>
      <c r="N24" s="42">
        <v>44626</v>
      </c>
      <c r="O24" s="5" t="s">
        <v>393</v>
      </c>
      <c r="P24" s="5"/>
      <c r="Q24" s="5">
        <v>1.45963321</v>
      </c>
      <c r="R24" s="5">
        <v>63393222</v>
      </c>
      <c r="S24" s="1" t="s">
        <v>463</v>
      </c>
      <c r="T24" s="60"/>
      <c r="U24" s="3" t="s">
        <v>1096</v>
      </c>
    </row>
    <row r="25" spans="4:21">
      <c r="D25" s="5">
        <v>18</v>
      </c>
      <c r="E25" s="645" t="s">
        <v>406</v>
      </c>
      <c r="F25" s="646"/>
      <c r="G25" s="646"/>
      <c r="H25" s="647"/>
      <c r="I25" s="68">
        <v>526349690</v>
      </c>
      <c r="J25" s="230"/>
      <c r="K25" s="231"/>
      <c r="L25" s="5">
        <v>199</v>
      </c>
      <c r="M25" s="5" t="s">
        <v>12</v>
      </c>
      <c r="N25" s="42">
        <v>44628</v>
      </c>
      <c r="O25" s="5" t="s">
        <v>393</v>
      </c>
      <c r="P25" s="5"/>
      <c r="Q25" s="5">
        <v>1.32793922</v>
      </c>
      <c r="R25" s="5">
        <v>63443632</v>
      </c>
      <c r="S25" s="1" t="s">
        <v>175</v>
      </c>
      <c r="T25" s="60"/>
      <c r="U25" s="3" t="s">
        <v>1096</v>
      </c>
    </row>
    <row r="26" spans="4:21">
      <c r="D26" s="5">
        <v>19</v>
      </c>
      <c r="E26" s="645" t="s">
        <v>407</v>
      </c>
      <c r="F26" s="646"/>
      <c r="G26" s="646"/>
      <c r="H26" s="647"/>
      <c r="I26" s="68">
        <v>558511993</v>
      </c>
      <c r="J26" s="230"/>
      <c r="K26" s="231"/>
      <c r="L26" s="5">
        <v>199</v>
      </c>
      <c r="M26" s="5" t="s">
        <v>12</v>
      </c>
      <c r="N26" s="42">
        <v>44629</v>
      </c>
      <c r="O26" s="5" t="s">
        <v>393</v>
      </c>
      <c r="P26" s="5"/>
      <c r="Q26" s="5">
        <v>1.4602684100000001</v>
      </c>
      <c r="R26" s="5">
        <v>63468397</v>
      </c>
      <c r="S26" s="1" t="s">
        <v>465</v>
      </c>
      <c r="T26" s="60"/>
      <c r="U26" s="3" t="s">
        <v>1096</v>
      </c>
    </row>
    <row r="27" spans="4:21">
      <c r="D27" s="5">
        <v>20</v>
      </c>
      <c r="E27" s="645" t="s">
        <v>408</v>
      </c>
      <c r="F27" s="646"/>
      <c r="G27" s="646"/>
      <c r="H27" s="647"/>
      <c r="I27" s="68">
        <v>554409154</v>
      </c>
      <c r="J27" s="230"/>
      <c r="K27" s="231"/>
      <c r="L27" s="5">
        <v>199</v>
      </c>
      <c r="M27" s="5" t="s">
        <v>12</v>
      </c>
      <c r="N27" s="42">
        <v>44629</v>
      </c>
      <c r="O27" s="5" t="s">
        <v>393</v>
      </c>
      <c r="P27" s="5" t="s">
        <v>1094</v>
      </c>
      <c r="Q27" s="43">
        <v>1.4602743300000001</v>
      </c>
      <c r="R27" s="5">
        <v>63470192</v>
      </c>
      <c r="S27" s="1" t="s">
        <v>175</v>
      </c>
      <c r="T27" s="60" t="s">
        <v>1161</v>
      </c>
      <c r="U27" s="3" t="s">
        <v>1096</v>
      </c>
    </row>
    <row r="28" spans="4:21">
      <c r="D28" s="5">
        <v>21</v>
      </c>
      <c r="E28" s="643" t="s">
        <v>409</v>
      </c>
      <c r="F28" s="643"/>
      <c r="G28" s="643"/>
      <c r="H28" s="643"/>
      <c r="I28" s="64">
        <v>557230729</v>
      </c>
      <c r="J28" s="64"/>
      <c r="K28" s="64"/>
      <c r="L28" s="5">
        <v>199</v>
      </c>
      <c r="M28" s="5" t="s">
        <v>102</v>
      </c>
      <c r="N28" s="42">
        <v>44629</v>
      </c>
      <c r="O28" s="5" t="s">
        <v>393</v>
      </c>
      <c r="P28" s="5"/>
      <c r="Q28" s="5">
        <v>1.46034526</v>
      </c>
      <c r="R28" s="5">
        <v>634483377</v>
      </c>
      <c r="S28" s="1" t="s">
        <v>175</v>
      </c>
      <c r="T28" s="60"/>
      <c r="U28" s="3" t="s">
        <v>1096</v>
      </c>
    </row>
    <row r="29" spans="4:21">
      <c r="D29" s="5">
        <v>22</v>
      </c>
      <c r="E29" s="694" t="s">
        <v>408</v>
      </c>
      <c r="F29" s="695"/>
      <c r="G29" s="695"/>
      <c r="H29" s="696"/>
      <c r="I29" s="68">
        <v>554409154</v>
      </c>
      <c r="J29" s="230"/>
      <c r="K29" s="231"/>
      <c r="L29" s="5">
        <v>199</v>
      </c>
      <c r="M29" s="5" t="s">
        <v>12</v>
      </c>
      <c r="N29" s="42">
        <v>44629</v>
      </c>
      <c r="O29" s="5" t="s">
        <v>393</v>
      </c>
      <c r="P29" s="5" t="s">
        <v>1094</v>
      </c>
      <c r="Q29" s="43">
        <v>1.4602743300000001</v>
      </c>
      <c r="R29" s="5">
        <v>8.9971031211114496E+18</v>
      </c>
      <c r="S29" s="1" t="s">
        <v>464</v>
      </c>
      <c r="T29" s="60" t="s">
        <v>1161</v>
      </c>
      <c r="U29" s="3" t="s">
        <v>1096</v>
      </c>
    </row>
    <row r="30" spans="4:21">
      <c r="D30" s="5">
        <v>23</v>
      </c>
      <c r="E30" s="643" t="s">
        <v>410</v>
      </c>
      <c r="F30" s="643"/>
      <c r="G30" s="643"/>
      <c r="H30" s="643"/>
      <c r="I30" s="64">
        <v>544863243</v>
      </c>
      <c r="J30" s="64"/>
      <c r="K30" s="64"/>
      <c r="L30" s="5">
        <v>199</v>
      </c>
      <c r="M30" s="5" t="s">
        <v>12</v>
      </c>
      <c r="N30" s="42">
        <v>44629</v>
      </c>
      <c r="O30" s="5" t="s">
        <v>393</v>
      </c>
      <c r="P30" s="5"/>
      <c r="Q30" s="5">
        <v>1.4603266800000001</v>
      </c>
      <c r="R30" s="5">
        <v>63482188</v>
      </c>
      <c r="S30" s="1" t="s">
        <v>193</v>
      </c>
      <c r="T30" s="60"/>
      <c r="U30" s="3" t="s">
        <v>1096</v>
      </c>
    </row>
    <row r="31" spans="4:21">
      <c r="D31" s="5">
        <v>24</v>
      </c>
      <c r="E31" s="645" t="s">
        <v>411</v>
      </c>
      <c r="F31" s="646"/>
      <c r="G31" s="646"/>
      <c r="H31" s="647"/>
      <c r="I31" s="68">
        <v>563563922</v>
      </c>
      <c r="J31" s="230"/>
      <c r="K31" s="231"/>
      <c r="L31" s="5">
        <v>199</v>
      </c>
      <c r="M31" s="5" t="s">
        <v>12</v>
      </c>
      <c r="N31" s="42">
        <v>44629</v>
      </c>
      <c r="O31" s="5" t="s">
        <v>393</v>
      </c>
      <c r="P31" s="5"/>
      <c r="Q31" s="5">
        <v>1.46048928</v>
      </c>
      <c r="R31" s="5">
        <v>63491407</v>
      </c>
      <c r="S31" s="1" t="s">
        <v>464</v>
      </c>
      <c r="T31" s="60"/>
      <c r="U31" s="3" t="s">
        <v>1096</v>
      </c>
    </row>
    <row r="32" spans="4:21">
      <c r="D32" s="5">
        <v>25</v>
      </c>
      <c r="E32" s="645" t="s">
        <v>412</v>
      </c>
      <c r="F32" s="646"/>
      <c r="G32" s="646"/>
      <c r="H32" s="647"/>
      <c r="I32" s="68">
        <v>554206484</v>
      </c>
      <c r="J32" s="230"/>
      <c r="K32" s="231"/>
      <c r="L32" s="5">
        <v>199</v>
      </c>
      <c r="M32" s="5" t="s">
        <v>12</v>
      </c>
      <c r="N32" s="42">
        <v>44631</v>
      </c>
      <c r="O32" s="5" t="s">
        <v>393</v>
      </c>
      <c r="P32" s="5" t="s">
        <v>1094</v>
      </c>
      <c r="Q32" s="43">
        <v>8.9971031211114895E+18</v>
      </c>
      <c r="R32" s="5">
        <v>63529033</v>
      </c>
      <c r="S32" s="1" t="s">
        <v>463</v>
      </c>
      <c r="T32" s="60" t="s">
        <v>1161</v>
      </c>
      <c r="U32" s="3" t="s">
        <v>1096</v>
      </c>
    </row>
    <row r="33" spans="4:21">
      <c r="D33" s="5">
        <v>26</v>
      </c>
      <c r="E33" s="645" t="s">
        <v>413</v>
      </c>
      <c r="F33" s="646"/>
      <c r="G33" s="646"/>
      <c r="H33" s="647"/>
      <c r="I33" s="68">
        <v>522758980</v>
      </c>
      <c r="J33" s="230"/>
      <c r="K33" s="231"/>
      <c r="L33" s="5">
        <v>199</v>
      </c>
      <c r="M33" s="5" t="s">
        <v>12</v>
      </c>
      <c r="N33" s="42">
        <v>44631</v>
      </c>
      <c r="O33" s="5" t="s">
        <v>393</v>
      </c>
      <c r="P33" s="5"/>
      <c r="Q33" s="5">
        <v>1.4013792599999999</v>
      </c>
      <c r="R33" s="5">
        <v>63531616</v>
      </c>
      <c r="S33" s="1" t="s">
        <v>465</v>
      </c>
      <c r="T33" s="60"/>
      <c r="U33" s="3" t="s">
        <v>1096</v>
      </c>
    </row>
    <row r="34" spans="4:21">
      <c r="D34" s="5">
        <v>27</v>
      </c>
      <c r="E34" s="645" t="s">
        <v>414</v>
      </c>
      <c r="F34" s="646"/>
      <c r="G34" s="646"/>
      <c r="H34" s="647"/>
      <c r="I34" s="68">
        <v>5228032064</v>
      </c>
      <c r="J34" s="230"/>
      <c r="K34" s="231"/>
      <c r="L34" s="5">
        <v>199</v>
      </c>
      <c r="M34" s="5" t="s">
        <v>12</v>
      </c>
      <c r="N34" s="42">
        <v>44631</v>
      </c>
      <c r="O34" s="5" t="s">
        <v>393</v>
      </c>
      <c r="P34" s="5"/>
      <c r="Q34" s="5">
        <v>1.46081938</v>
      </c>
      <c r="R34" s="5">
        <v>63534152</v>
      </c>
      <c r="S34" s="1" t="s">
        <v>465</v>
      </c>
      <c r="T34" s="60"/>
      <c r="U34" s="3" t="s">
        <v>1096</v>
      </c>
    </row>
    <row r="35" spans="4:21">
      <c r="D35" s="5">
        <v>28</v>
      </c>
      <c r="E35" s="645" t="s">
        <v>415</v>
      </c>
      <c r="F35" s="646"/>
      <c r="G35" s="646"/>
      <c r="H35" s="647"/>
      <c r="I35" s="68">
        <v>5062964998</v>
      </c>
      <c r="J35" s="230"/>
      <c r="K35" s="231"/>
      <c r="L35" s="5">
        <v>199</v>
      </c>
      <c r="M35" s="5" t="s">
        <v>12</v>
      </c>
      <c r="N35" s="42">
        <v>44631</v>
      </c>
      <c r="O35" s="5" t="s">
        <v>393</v>
      </c>
      <c r="P35" s="5"/>
      <c r="Q35" s="5">
        <v>1.4610283900000001</v>
      </c>
      <c r="R35" s="5">
        <v>63553395</v>
      </c>
      <c r="S35" s="1" t="s">
        <v>193</v>
      </c>
      <c r="T35" s="60"/>
      <c r="U35" s="3" t="s">
        <v>1096</v>
      </c>
    </row>
    <row r="36" spans="4:21">
      <c r="D36" s="5">
        <v>29</v>
      </c>
      <c r="E36" s="645" t="s">
        <v>416</v>
      </c>
      <c r="F36" s="646"/>
      <c r="G36" s="646"/>
      <c r="H36" s="647"/>
      <c r="I36" s="68">
        <v>545452090</v>
      </c>
      <c r="J36" s="230"/>
      <c r="K36" s="231"/>
      <c r="L36" s="5">
        <v>199</v>
      </c>
      <c r="M36" s="5" t="s">
        <v>12</v>
      </c>
      <c r="N36" s="42">
        <v>44631</v>
      </c>
      <c r="O36" s="5" t="s">
        <v>393</v>
      </c>
      <c r="P36" s="5"/>
      <c r="Q36" s="5">
        <v>1.3110847000000001</v>
      </c>
      <c r="R36" s="5">
        <v>63562849</v>
      </c>
      <c r="S36" s="1" t="s">
        <v>466</v>
      </c>
      <c r="T36" s="60"/>
      <c r="U36" s="3" t="s">
        <v>1096</v>
      </c>
    </row>
    <row r="37" spans="4:21">
      <c r="D37" s="5">
        <v>30</v>
      </c>
      <c r="E37" s="645" t="s">
        <v>417</v>
      </c>
      <c r="F37" s="646"/>
      <c r="G37" s="646"/>
      <c r="H37" s="647"/>
      <c r="I37" s="68">
        <v>564880945</v>
      </c>
      <c r="J37" s="230"/>
      <c r="K37" s="231"/>
      <c r="L37" s="5">
        <v>199</v>
      </c>
      <c r="M37" s="5" t="s">
        <v>12</v>
      </c>
      <c r="N37" s="42">
        <v>44604</v>
      </c>
      <c r="O37" s="5" t="s">
        <v>393</v>
      </c>
      <c r="P37" s="5"/>
      <c r="Q37" s="5">
        <v>1.46128766</v>
      </c>
      <c r="R37" s="5">
        <v>63588413</v>
      </c>
      <c r="S37" s="1" t="s">
        <v>463</v>
      </c>
      <c r="T37" s="60"/>
      <c r="U37" s="3" t="s">
        <v>1096</v>
      </c>
    </row>
    <row r="38" spans="4:21">
      <c r="D38" s="5">
        <v>31</v>
      </c>
      <c r="E38" s="645" t="s">
        <v>418</v>
      </c>
      <c r="F38" s="646"/>
      <c r="G38" s="646"/>
      <c r="H38" s="647"/>
      <c r="I38" s="68">
        <v>567267959</v>
      </c>
      <c r="J38" s="230"/>
      <c r="K38" s="231"/>
      <c r="L38" s="5">
        <v>199</v>
      </c>
      <c r="M38" s="5" t="s">
        <v>12</v>
      </c>
      <c r="N38" s="42">
        <v>44632</v>
      </c>
      <c r="O38" s="5" t="s">
        <v>393</v>
      </c>
      <c r="P38" s="5"/>
      <c r="Q38" s="5">
        <v>1.4612762800000001</v>
      </c>
      <c r="R38" s="5">
        <v>63585937</v>
      </c>
      <c r="S38" s="1" t="s">
        <v>463</v>
      </c>
      <c r="T38" s="60"/>
      <c r="U38" s="3" t="s">
        <v>1096</v>
      </c>
    </row>
    <row r="39" spans="4:21">
      <c r="D39" s="5">
        <v>32</v>
      </c>
      <c r="E39" s="664" t="s">
        <v>419</v>
      </c>
      <c r="F39" s="665"/>
      <c r="G39" s="665"/>
      <c r="H39" s="666"/>
      <c r="I39" s="68">
        <v>564880945</v>
      </c>
      <c r="J39" s="230"/>
      <c r="K39" s="231"/>
      <c r="L39" s="5">
        <v>199</v>
      </c>
      <c r="M39" s="5" t="s">
        <v>12</v>
      </c>
      <c r="N39" s="42">
        <v>44632</v>
      </c>
      <c r="O39" s="5" t="s">
        <v>393</v>
      </c>
      <c r="P39" s="5"/>
      <c r="Q39" s="5">
        <v>1.4613071099999999</v>
      </c>
      <c r="R39" s="5">
        <v>63592782</v>
      </c>
      <c r="S39" s="1" t="s">
        <v>463</v>
      </c>
      <c r="T39" s="60"/>
      <c r="U39" s="3" t="s">
        <v>1096</v>
      </c>
    </row>
    <row r="40" spans="4:21">
      <c r="D40" s="5">
        <v>33</v>
      </c>
      <c r="E40" s="664" t="s">
        <v>420</v>
      </c>
      <c r="F40" s="665"/>
      <c r="G40" s="665"/>
      <c r="H40" s="666"/>
      <c r="I40" s="68">
        <v>556321297</v>
      </c>
      <c r="J40" s="230"/>
      <c r="K40" s="231"/>
      <c r="L40" s="5">
        <v>199</v>
      </c>
      <c r="M40" s="5" t="s">
        <v>12</v>
      </c>
      <c r="N40" s="42">
        <v>44632</v>
      </c>
      <c r="O40" s="5" t="s">
        <v>393</v>
      </c>
      <c r="P40" s="5"/>
      <c r="Q40" s="5">
        <v>1.46133449</v>
      </c>
      <c r="R40" s="5">
        <v>63597395</v>
      </c>
      <c r="S40" s="1" t="s">
        <v>465</v>
      </c>
      <c r="T40" s="60"/>
      <c r="U40" s="3" t="s">
        <v>1096</v>
      </c>
    </row>
    <row r="41" spans="4:21">
      <c r="D41" s="5">
        <v>34</v>
      </c>
      <c r="E41" s="664" t="s">
        <v>421</v>
      </c>
      <c r="F41" s="665"/>
      <c r="G41" s="665"/>
      <c r="H41" s="666"/>
      <c r="I41" s="68">
        <v>501384320</v>
      </c>
      <c r="J41" s="230"/>
      <c r="K41" s="231"/>
      <c r="L41" s="5">
        <v>199</v>
      </c>
      <c r="M41" s="5" t="s">
        <v>12</v>
      </c>
      <c r="N41" s="42">
        <v>44633</v>
      </c>
      <c r="O41" s="5" t="s">
        <v>393</v>
      </c>
      <c r="P41" s="5"/>
      <c r="Q41" s="5">
        <v>1.46134378</v>
      </c>
      <c r="R41" s="5">
        <v>63598384</v>
      </c>
      <c r="S41" s="1" t="s">
        <v>465</v>
      </c>
      <c r="T41" s="60"/>
      <c r="U41" s="3" t="s">
        <v>1096</v>
      </c>
    </row>
    <row r="42" spans="4:21">
      <c r="D42" s="5">
        <v>35</v>
      </c>
      <c r="E42" s="645" t="s">
        <v>422</v>
      </c>
      <c r="F42" s="646"/>
      <c r="G42" s="646"/>
      <c r="H42" s="647"/>
      <c r="I42" s="68">
        <v>551819389</v>
      </c>
      <c r="J42" s="230"/>
      <c r="K42" s="231"/>
      <c r="L42" s="5">
        <v>199</v>
      </c>
      <c r="M42" s="5" t="s">
        <v>12</v>
      </c>
      <c r="N42" s="42">
        <v>44633</v>
      </c>
      <c r="O42" s="5" t="s">
        <v>393</v>
      </c>
      <c r="P42" s="5"/>
      <c r="Q42" s="43">
        <v>1.3756147299999999</v>
      </c>
      <c r="R42" s="5">
        <v>63620988</v>
      </c>
      <c r="S42" s="1" t="s">
        <v>175</v>
      </c>
      <c r="T42" s="60"/>
      <c r="U42" s="3" t="s">
        <v>1096</v>
      </c>
    </row>
    <row r="43" spans="4:21">
      <c r="D43" s="5">
        <v>36</v>
      </c>
      <c r="E43" s="645" t="s">
        <v>467</v>
      </c>
      <c r="F43" s="646"/>
      <c r="G43" s="646"/>
      <c r="H43" s="647"/>
      <c r="I43" s="68">
        <v>585909052</v>
      </c>
      <c r="J43" s="230"/>
      <c r="K43" s="231"/>
      <c r="L43" s="5">
        <v>199</v>
      </c>
      <c r="M43" s="5" t="s">
        <v>12</v>
      </c>
      <c r="N43" s="42">
        <v>44633</v>
      </c>
      <c r="O43" s="5" t="s">
        <v>393</v>
      </c>
      <c r="P43" s="5"/>
      <c r="Q43" s="5">
        <v>1.4625317</v>
      </c>
      <c r="R43" s="5">
        <v>63724378</v>
      </c>
      <c r="S43" s="1"/>
      <c r="T43" s="60"/>
      <c r="U43" s="3" t="s">
        <v>1096</v>
      </c>
    </row>
    <row r="44" spans="4:21">
      <c r="D44" s="5">
        <v>37</v>
      </c>
      <c r="E44" s="645" t="s">
        <v>245</v>
      </c>
      <c r="F44" s="646"/>
      <c r="G44" s="646"/>
      <c r="H44" s="647"/>
      <c r="I44" s="68">
        <v>569737878</v>
      </c>
      <c r="J44" s="230"/>
      <c r="K44" s="231"/>
      <c r="L44" s="5">
        <v>199</v>
      </c>
      <c r="M44" s="5" t="s">
        <v>12</v>
      </c>
      <c r="N44" s="42">
        <v>44635</v>
      </c>
      <c r="O44" s="5" t="s">
        <v>393</v>
      </c>
      <c r="P44" s="5"/>
      <c r="Q44" s="5">
        <v>1.4464977800000001</v>
      </c>
      <c r="R44" s="5">
        <v>63636952</v>
      </c>
      <c r="S44" s="1" t="s">
        <v>175</v>
      </c>
      <c r="T44" s="60"/>
      <c r="U44" s="3" t="s">
        <v>1096</v>
      </c>
    </row>
    <row r="45" spans="4:21">
      <c r="D45" s="5">
        <v>38</v>
      </c>
      <c r="E45" s="702" t="s">
        <v>423</v>
      </c>
      <c r="F45" s="703"/>
      <c r="G45" s="703"/>
      <c r="H45" s="704"/>
      <c r="I45" s="266">
        <v>503248487</v>
      </c>
      <c r="J45" s="267"/>
      <c r="K45" s="268"/>
      <c r="L45" s="57">
        <v>399</v>
      </c>
      <c r="M45" s="57" t="s">
        <v>20</v>
      </c>
      <c r="N45" s="58">
        <v>44636</v>
      </c>
      <c r="O45" s="57" t="s">
        <v>393</v>
      </c>
      <c r="P45" s="57"/>
      <c r="Q45" s="57"/>
      <c r="R45" s="57"/>
      <c r="S45" s="1" t="s">
        <v>463</v>
      </c>
      <c r="T45" s="60"/>
      <c r="U45" s="3" t="s">
        <v>1096</v>
      </c>
    </row>
    <row r="46" spans="4:21">
      <c r="D46" s="5">
        <v>39</v>
      </c>
      <c r="E46" s="645" t="s">
        <v>424</v>
      </c>
      <c r="F46" s="646"/>
      <c r="G46" s="646"/>
      <c r="H46" s="647"/>
      <c r="I46" s="68">
        <v>588153034</v>
      </c>
      <c r="J46" s="230"/>
      <c r="K46" s="231"/>
      <c r="L46" s="5">
        <v>199</v>
      </c>
      <c r="M46" s="5" t="s">
        <v>12</v>
      </c>
      <c r="N46" s="42">
        <v>44639</v>
      </c>
      <c r="O46" s="5" t="s">
        <v>393</v>
      </c>
      <c r="P46" s="5"/>
      <c r="Q46" s="59">
        <v>8.9971031211114496E+18</v>
      </c>
      <c r="R46" s="5">
        <v>63703641</v>
      </c>
      <c r="S46" s="1" t="s">
        <v>193</v>
      </c>
      <c r="T46" s="60"/>
      <c r="U46" s="3" t="s">
        <v>1096</v>
      </c>
    </row>
    <row r="47" spans="4:21">
      <c r="D47" s="5">
        <v>40</v>
      </c>
      <c r="E47" s="645" t="s">
        <v>424</v>
      </c>
      <c r="F47" s="646"/>
      <c r="G47" s="646"/>
      <c r="H47" s="647"/>
      <c r="I47" s="68">
        <v>588153034</v>
      </c>
      <c r="J47" s="230"/>
      <c r="K47" s="231"/>
      <c r="L47" s="5">
        <v>199</v>
      </c>
      <c r="M47" s="5" t="s">
        <v>12</v>
      </c>
      <c r="N47" s="42">
        <v>44639</v>
      </c>
      <c r="O47" s="5" t="s">
        <v>393</v>
      </c>
      <c r="P47" s="5"/>
      <c r="Q47" s="5">
        <v>8.9971031211114496E+18</v>
      </c>
      <c r="R47" s="5">
        <v>63704000</v>
      </c>
      <c r="S47" s="1" t="s">
        <v>193</v>
      </c>
      <c r="T47" s="60"/>
      <c r="U47" s="3" t="s">
        <v>1096</v>
      </c>
    </row>
    <row r="48" spans="4:21">
      <c r="D48" s="5">
        <v>41</v>
      </c>
      <c r="E48" s="645" t="s">
        <v>425</v>
      </c>
      <c r="F48" s="646"/>
      <c r="G48" s="646"/>
      <c r="H48" s="647"/>
      <c r="I48" s="68">
        <v>501962430</v>
      </c>
      <c r="J48" s="230"/>
      <c r="K48" s="231"/>
      <c r="L48" s="5">
        <v>199</v>
      </c>
      <c r="M48" s="5" t="s">
        <v>102</v>
      </c>
      <c r="N48" s="42">
        <v>44640</v>
      </c>
      <c r="O48" s="5" t="s">
        <v>393</v>
      </c>
      <c r="P48" s="5"/>
      <c r="Q48" s="5">
        <v>1.46307578</v>
      </c>
      <c r="R48" s="5">
        <v>63779151</v>
      </c>
      <c r="S48" s="1" t="s">
        <v>175</v>
      </c>
      <c r="T48" s="60"/>
      <c r="U48" s="3" t="s">
        <v>1096</v>
      </c>
    </row>
    <row r="49" spans="4:21">
      <c r="D49" s="5">
        <v>42</v>
      </c>
      <c r="E49" s="645" t="s">
        <v>426</v>
      </c>
      <c r="F49" s="646"/>
      <c r="G49" s="646"/>
      <c r="H49" s="647"/>
      <c r="I49" s="68">
        <v>582619606</v>
      </c>
      <c r="J49" s="230"/>
      <c r="K49" s="231"/>
      <c r="L49" s="5">
        <v>199</v>
      </c>
      <c r="M49" s="5" t="s">
        <v>12</v>
      </c>
      <c r="N49" s="42">
        <v>44640</v>
      </c>
      <c r="O49" s="5" t="s">
        <v>393</v>
      </c>
      <c r="P49" s="5"/>
      <c r="Q49" s="5">
        <v>1.46315274</v>
      </c>
      <c r="R49" s="5">
        <v>63790569</v>
      </c>
      <c r="S49" s="1" t="s">
        <v>465</v>
      </c>
      <c r="T49" s="60"/>
      <c r="U49" s="3" t="s">
        <v>1096</v>
      </c>
    </row>
    <row r="50" spans="4:21">
      <c r="D50" s="5">
        <v>43</v>
      </c>
      <c r="E50" s="645" t="s">
        <v>427</v>
      </c>
      <c r="F50" s="646"/>
      <c r="G50" s="646"/>
      <c r="H50" s="647"/>
      <c r="I50" s="68">
        <v>527598288</v>
      </c>
      <c r="J50" s="230"/>
      <c r="K50" s="231"/>
      <c r="L50" s="5">
        <v>199</v>
      </c>
      <c r="M50" s="5" t="s">
        <v>12</v>
      </c>
      <c r="N50" s="42">
        <v>44640</v>
      </c>
      <c r="O50" s="5" t="s">
        <v>393</v>
      </c>
      <c r="P50" s="5" t="s">
        <v>1094</v>
      </c>
      <c r="Q50" s="5">
        <v>1.46315274</v>
      </c>
      <c r="R50" s="5">
        <v>63791453</v>
      </c>
      <c r="S50" s="1" t="s">
        <v>193</v>
      </c>
      <c r="T50" s="60" t="s">
        <v>1161</v>
      </c>
      <c r="U50" s="3" t="s">
        <v>1096</v>
      </c>
    </row>
    <row r="51" spans="4:21">
      <c r="D51" s="5">
        <v>44</v>
      </c>
      <c r="E51" s="645" t="s">
        <v>428</v>
      </c>
      <c r="F51" s="646"/>
      <c r="G51" s="646"/>
      <c r="H51" s="647"/>
      <c r="I51" s="68">
        <v>547770080</v>
      </c>
      <c r="J51" s="230"/>
      <c r="K51" s="231"/>
      <c r="L51" s="5">
        <v>199</v>
      </c>
      <c r="M51" s="5" t="s">
        <v>102</v>
      </c>
      <c r="N51" s="42">
        <v>44641</v>
      </c>
      <c r="O51" s="5" t="s">
        <v>393</v>
      </c>
      <c r="P51" s="5"/>
      <c r="Q51" s="5">
        <v>1.4633454400000001</v>
      </c>
      <c r="R51" s="5">
        <v>63807290</v>
      </c>
      <c r="S51" s="1" t="s">
        <v>468</v>
      </c>
      <c r="T51" s="60"/>
      <c r="U51" s="3" t="s">
        <v>1096</v>
      </c>
    </row>
    <row r="52" spans="4:21">
      <c r="D52" s="5">
        <v>45</v>
      </c>
      <c r="E52" s="645" t="s">
        <v>429</v>
      </c>
      <c r="F52" s="646"/>
      <c r="G52" s="646"/>
      <c r="H52" s="647"/>
      <c r="I52" s="68">
        <v>507688501</v>
      </c>
      <c r="J52" s="230"/>
      <c r="K52" s="231"/>
      <c r="L52" s="5">
        <v>199</v>
      </c>
      <c r="M52" s="5" t="s">
        <v>12</v>
      </c>
      <c r="N52" s="42">
        <v>44641</v>
      </c>
      <c r="O52" s="5" t="s">
        <v>393</v>
      </c>
      <c r="P52" s="5"/>
      <c r="Q52" s="5">
        <v>1.1352292399999999</v>
      </c>
      <c r="R52" s="5">
        <v>63805897</v>
      </c>
      <c r="S52" s="1"/>
      <c r="T52" s="60"/>
      <c r="U52" s="3" t="s">
        <v>1096</v>
      </c>
    </row>
    <row r="53" spans="4:21">
      <c r="D53" s="5">
        <v>46</v>
      </c>
      <c r="E53" s="645" t="s">
        <v>430</v>
      </c>
      <c r="F53" s="646"/>
      <c r="G53" s="646"/>
      <c r="H53" s="647"/>
      <c r="I53" s="68">
        <v>528431666</v>
      </c>
      <c r="J53" s="230"/>
      <c r="K53" s="231"/>
      <c r="L53" s="5">
        <v>199</v>
      </c>
      <c r="M53" s="5" t="s">
        <v>12</v>
      </c>
      <c r="N53" s="42">
        <v>44641</v>
      </c>
      <c r="O53" s="5" t="s">
        <v>393</v>
      </c>
      <c r="P53" s="5"/>
      <c r="Q53" s="5">
        <v>1.4633527</v>
      </c>
      <c r="R53" s="5">
        <v>63808615</v>
      </c>
      <c r="S53" s="1" t="s">
        <v>464</v>
      </c>
      <c r="T53" s="60"/>
      <c r="U53" s="3" t="s">
        <v>1096</v>
      </c>
    </row>
    <row r="54" spans="4:21">
      <c r="D54" s="5">
        <v>47</v>
      </c>
      <c r="E54" s="645" t="s">
        <v>427</v>
      </c>
      <c r="F54" s="646"/>
      <c r="G54" s="646"/>
      <c r="H54" s="647"/>
      <c r="I54" s="68">
        <v>527598288</v>
      </c>
      <c r="J54" s="230"/>
      <c r="K54" s="231"/>
      <c r="L54" s="5">
        <v>199</v>
      </c>
      <c r="M54" s="5" t="s">
        <v>12</v>
      </c>
      <c r="N54" s="42">
        <v>44641</v>
      </c>
      <c r="O54" s="5" t="s">
        <v>393</v>
      </c>
      <c r="P54" s="5" t="s">
        <v>1094</v>
      </c>
      <c r="Q54" s="5">
        <v>1.46315274</v>
      </c>
      <c r="R54" s="5">
        <v>63811137</v>
      </c>
      <c r="S54" s="1" t="s">
        <v>193</v>
      </c>
      <c r="T54" s="60" t="s">
        <v>1161</v>
      </c>
      <c r="U54" s="3" t="s">
        <v>1096</v>
      </c>
    </row>
    <row r="55" spans="4:21">
      <c r="D55" s="5">
        <v>48</v>
      </c>
      <c r="E55" s="645" t="s">
        <v>431</v>
      </c>
      <c r="F55" s="646"/>
      <c r="G55" s="646"/>
      <c r="H55" s="647"/>
      <c r="I55" s="68">
        <v>501187663</v>
      </c>
      <c r="J55" s="230"/>
      <c r="K55" s="231"/>
      <c r="L55" s="5">
        <v>199</v>
      </c>
      <c r="M55" s="5" t="s">
        <v>12</v>
      </c>
      <c r="N55" s="42">
        <v>44641</v>
      </c>
      <c r="O55" s="5" t="s">
        <v>393</v>
      </c>
      <c r="P55" s="5"/>
      <c r="Q55" s="5">
        <v>1.4633733799999999</v>
      </c>
      <c r="R55" s="5">
        <v>63812463</v>
      </c>
      <c r="S55" s="1" t="s">
        <v>464</v>
      </c>
      <c r="T55" s="60"/>
      <c r="U55" s="3" t="s">
        <v>1096</v>
      </c>
    </row>
    <row r="56" spans="4:21">
      <c r="D56" s="5">
        <v>49</v>
      </c>
      <c r="E56" s="645" t="s">
        <v>432</v>
      </c>
      <c r="F56" s="646"/>
      <c r="G56" s="646"/>
      <c r="H56" s="647"/>
      <c r="I56" s="68">
        <v>582619606</v>
      </c>
      <c r="J56" s="230"/>
      <c r="K56" s="231"/>
      <c r="L56" s="5">
        <v>199</v>
      </c>
      <c r="M56" s="5" t="s">
        <v>12</v>
      </c>
      <c r="N56" s="42">
        <v>44641</v>
      </c>
      <c r="O56" s="5" t="s">
        <v>393</v>
      </c>
      <c r="P56" s="5"/>
      <c r="Q56" s="5">
        <v>1.4486746500000001</v>
      </c>
      <c r="R56" s="5">
        <v>63813511</v>
      </c>
      <c r="S56" s="1" t="s">
        <v>465</v>
      </c>
      <c r="T56" s="60"/>
      <c r="U56" s="3" t="s">
        <v>1096</v>
      </c>
    </row>
    <row r="57" spans="4:21">
      <c r="D57" s="5">
        <v>50</v>
      </c>
      <c r="E57" s="643" t="s">
        <v>433</v>
      </c>
      <c r="F57" s="643"/>
      <c r="G57" s="643"/>
      <c r="H57" s="643"/>
      <c r="I57" s="64">
        <v>555166390</v>
      </c>
      <c r="J57" s="64"/>
      <c r="K57" s="64"/>
      <c r="L57" s="5">
        <v>199</v>
      </c>
      <c r="M57" s="5" t="s">
        <v>12</v>
      </c>
      <c r="N57" s="42">
        <v>44642</v>
      </c>
      <c r="O57" s="5" t="s">
        <v>393</v>
      </c>
      <c r="P57" s="5"/>
      <c r="Q57" s="5">
        <v>1.25986669</v>
      </c>
      <c r="R57" s="5">
        <v>63833707</v>
      </c>
      <c r="S57" s="1" t="s">
        <v>193</v>
      </c>
      <c r="T57" s="60"/>
      <c r="U57" s="3" t="s">
        <v>1096</v>
      </c>
    </row>
    <row r="58" spans="4:21">
      <c r="D58" s="5">
        <v>51</v>
      </c>
      <c r="E58" s="667" t="s">
        <v>434</v>
      </c>
      <c r="F58" s="667"/>
      <c r="G58" s="667"/>
      <c r="H58" s="667"/>
      <c r="I58" s="64">
        <v>502232945</v>
      </c>
      <c r="J58" s="64"/>
      <c r="K58" s="64"/>
      <c r="L58" s="5">
        <v>199</v>
      </c>
      <c r="M58" s="5" t="s">
        <v>12</v>
      </c>
      <c r="N58" s="42">
        <v>44642</v>
      </c>
      <c r="O58" s="5" t="s">
        <v>393</v>
      </c>
      <c r="P58" s="5"/>
      <c r="Q58" s="5">
        <v>8.9971031211115796E+18</v>
      </c>
      <c r="R58" s="5">
        <v>63841127</v>
      </c>
      <c r="S58" s="1" t="s">
        <v>175</v>
      </c>
      <c r="T58" s="60"/>
      <c r="U58" s="3" t="s">
        <v>1096</v>
      </c>
    </row>
    <row r="59" spans="4:21">
      <c r="D59" s="5">
        <v>52</v>
      </c>
      <c r="E59" s="701" t="s">
        <v>435</v>
      </c>
      <c r="F59" s="701"/>
      <c r="G59" s="701"/>
      <c r="H59" s="701"/>
      <c r="I59" s="114">
        <v>556270365</v>
      </c>
      <c r="J59" s="114"/>
      <c r="K59" s="114"/>
      <c r="L59" s="53">
        <v>199</v>
      </c>
      <c r="M59" s="53" t="s">
        <v>12</v>
      </c>
      <c r="N59" s="54">
        <v>44643</v>
      </c>
      <c r="O59" s="53" t="s">
        <v>393</v>
      </c>
      <c r="P59" s="53" t="s">
        <v>1095</v>
      </c>
      <c r="Q59" s="53">
        <v>1.46333362</v>
      </c>
      <c r="R59" s="53">
        <v>63833923</v>
      </c>
      <c r="S59" s="1" t="s">
        <v>464</v>
      </c>
      <c r="T59" s="60" t="s">
        <v>1161</v>
      </c>
      <c r="U59" s="3" t="s">
        <v>1096</v>
      </c>
    </row>
    <row r="60" spans="4:21">
      <c r="D60" s="5">
        <v>53</v>
      </c>
      <c r="E60" s="668" t="s">
        <v>436</v>
      </c>
      <c r="F60" s="668"/>
      <c r="G60" s="668"/>
      <c r="H60" s="668"/>
      <c r="I60" s="64">
        <v>506971828</v>
      </c>
      <c r="J60" s="64"/>
      <c r="K60" s="64"/>
      <c r="L60" s="5">
        <v>199</v>
      </c>
      <c r="M60" s="5" t="s">
        <v>12</v>
      </c>
      <c r="N60" s="42">
        <v>44643</v>
      </c>
      <c r="O60" s="5" t="s">
        <v>393</v>
      </c>
      <c r="P60" s="5"/>
      <c r="Q60" s="5">
        <v>1.46375279</v>
      </c>
      <c r="R60" s="5">
        <v>63851343</v>
      </c>
      <c r="S60" s="1" t="s">
        <v>465</v>
      </c>
      <c r="T60" s="60"/>
      <c r="U60" s="3" t="s">
        <v>1096</v>
      </c>
    </row>
    <row r="61" spans="4:21">
      <c r="D61" s="5">
        <v>54</v>
      </c>
      <c r="E61" s="661" t="s">
        <v>437</v>
      </c>
      <c r="F61" s="662"/>
      <c r="G61" s="662"/>
      <c r="H61" s="663"/>
      <c r="I61" s="68">
        <v>5535540337</v>
      </c>
      <c r="J61" s="230"/>
      <c r="K61" s="231"/>
      <c r="L61" s="5">
        <v>199</v>
      </c>
      <c r="M61" s="5" t="s">
        <v>102</v>
      </c>
      <c r="N61" s="42">
        <v>44643</v>
      </c>
      <c r="O61" s="5" t="s">
        <v>393</v>
      </c>
      <c r="P61" s="5"/>
      <c r="Q61" s="5">
        <v>1.4637939099999999</v>
      </c>
      <c r="R61" s="5">
        <v>63860078</v>
      </c>
      <c r="S61" s="1" t="s">
        <v>468</v>
      </c>
      <c r="T61" s="60"/>
      <c r="U61" s="3" t="s">
        <v>1096</v>
      </c>
    </row>
    <row r="62" spans="4:21">
      <c r="D62" s="5">
        <v>55</v>
      </c>
      <c r="E62" s="645" t="s">
        <v>438</v>
      </c>
      <c r="F62" s="646"/>
      <c r="G62" s="646"/>
      <c r="H62" s="647"/>
      <c r="I62" s="68">
        <v>567705107</v>
      </c>
      <c r="J62" s="230"/>
      <c r="K62" s="231"/>
      <c r="L62" s="5">
        <v>199</v>
      </c>
      <c r="M62" s="5" t="s">
        <v>102</v>
      </c>
      <c r="N62" s="42">
        <v>44643</v>
      </c>
      <c r="O62" s="5" t="s">
        <v>393</v>
      </c>
      <c r="P62" s="5"/>
      <c r="Q62" s="5">
        <v>1.4638025699999999</v>
      </c>
      <c r="R62" s="5">
        <v>638611613</v>
      </c>
      <c r="S62" s="1" t="s">
        <v>468</v>
      </c>
      <c r="T62" s="60"/>
      <c r="U62" s="3" t="s">
        <v>1096</v>
      </c>
    </row>
    <row r="63" spans="4:21">
      <c r="D63" s="5">
        <v>56</v>
      </c>
      <c r="E63" s="664" t="s">
        <v>439</v>
      </c>
      <c r="F63" s="665"/>
      <c r="G63" s="665"/>
      <c r="H63" s="666"/>
      <c r="I63" s="68">
        <v>589551304</v>
      </c>
      <c r="J63" s="230"/>
      <c r="K63" s="231"/>
      <c r="L63" s="5">
        <v>199</v>
      </c>
      <c r="M63" s="5" t="s">
        <v>102</v>
      </c>
      <c r="N63" s="42">
        <v>44643</v>
      </c>
      <c r="O63" s="5" t="s">
        <v>393</v>
      </c>
      <c r="P63" s="5"/>
      <c r="Q63" s="5">
        <v>1.4638115899999999</v>
      </c>
      <c r="R63" s="5">
        <v>63863477</v>
      </c>
      <c r="S63" s="1" t="s">
        <v>175</v>
      </c>
      <c r="T63" s="60"/>
      <c r="U63" s="3" t="s">
        <v>1096</v>
      </c>
    </row>
    <row r="64" spans="4:21">
      <c r="D64" s="5">
        <v>57</v>
      </c>
      <c r="E64" s="667" t="s">
        <v>440</v>
      </c>
      <c r="F64" s="667"/>
      <c r="G64" s="667"/>
      <c r="H64" s="667"/>
      <c r="I64" s="64">
        <v>543259256</v>
      </c>
      <c r="J64" s="64"/>
      <c r="K64" s="64"/>
      <c r="L64" s="5">
        <v>199</v>
      </c>
      <c r="M64" s="5" t="s">
        <v>441</v>
      </c>
      <c r="N64" s="42">
        <v>44643</v>
      </c>
      <c r="O64" s="5" t="s">
        <v>393</v>
      </c>
      <c r="P64" s="5"/>
      <c r="Q64" s="5">
        <v>1.4640344999999999</v>
      </c>
      <c r="R64" s="5">
        <v>63885268</v>
      </c>
      <c r="S64" s="1" t="s">
        <v>193</v>
      </c>
      <c r="T64" s="60"/>
      <c r="U64" s="3" t="s">
        <v>1096</v>
      </c>
    </row>
    <row r="65" spans="4:21">
      <c r="D65" s="5">
        <v>58</v>
      </c>
      <c r="E65" s="667" t="s">
        <v>442</v>
      </c>
      <c r="F65" s="667"/>
      <c r="G65" s="667"/>
      <c r="H65" s="667"/>
      <c r="I65" s="64">
        <v>557508267</v>
      </c>
      <c r="J65" s="64"/>
      <c r="K65" s="64"/>
      <c r="L65" s="5">
        <v>199</v>
      </c>
      <c r="M65" s="5" t="s">
        <v>441</v>
      </c>
      <c r="N65" s="42">
        <v>44643</v>
      </c>
      <c r="O65" s="5" t="s">
        <v>393</v>
      </c>
      <c r="P65" s="5"/>
      <c r="Q65" s="5">
        <v>1.3003513799999999</v>
      </c>
      <c r="R65" s="5">
        <v>63885240</v>
      </c>
      <c r="S65" s="1" t="s">
        <v>193</v>
      </c>
      <c r="T65" s="60"/>
      <c r="U65" s="3" t="s">
        <v>1096</v>
      </c>
    </row>
    <row r="66" spans="4:21">
      <c r="D66" s="5">
        <v>59</v>
      </c>
      <c r="E66" s="664" t="s">
        <v>443</v>
      </c>
      <c r="F66" s="665"/>
      <c r="G66" s="665"/>
      <c r="H66" s="666"/>
      <c r="I66" s="68">
        <v>507274866</v>
      </c>
      <c r="J66" s="230"/>
      <c r="K66" s="231"/>
      <c r="L66" s="5">
        <v>199</v>
      </c>
      <c r="M66" s="5" t="s">
        <v>12</v>
      </c>
      <c r="N66" s="42">
        <v>44643</v>
      </c>
      <c r="O66" s="5" t="s">
        <v>393</v>
      </c>
      <c r="P66" s="5"/>
      <c r="Q66" s="5">
        <v>1.46405271</v>
      </c>
      <c r="R66" s="5">
        <v>63888520</v>
      </c>
      <c r="S66" s="1" t="s">
        <v>466</v>
      </c>
      <c r="T66" s="60"/>
      <c r="U66" s="3" t="s">
        <v>1096</v>
      </c>
    </row>
    <row r="67" spans="4:21">
      <c r="D67" s="5">
        <v>60</v>
      </c>
      <c r="E67" s="664" t="s">
        <v>444</v>
      </c>
      <c r="F67" s="665"/>
      <c r="G67" s="665"/>
      <c r="H67" s="666"/>
      <c r="I67" s="68">
        <v>559966071</v>
      </c>
      <c r="J67" s="230"/>
      <c r="K67" s="231"/>
      <c r="L67" s="5">
        <v>199</v>
      </c>
      <c r="M67" s="5" t="s">
        <v>12</v>
      </c>
      <c r="N67" s="42">
        <v>44643</v>
      </c>
      <c r="O67" s="5" t="s">
        <v>393</v>
      </c>
      <c r="P67" s="5"/>
      <c r="Q67" s="5">
        <v>1.1052325199999999</v>
      </c>
      <c r="R67" s="5">
        <v>63909249</v>
      </c>
      <c r="S67" s="1" t="s">
        <v>463</v>
      </c>
      <c r="T67" s="60"/>
      <c r="U67" s="3" t="s">
        <v>1096</v>
      </c>
    </row>
    <row r="68" spans="4:21">
      <c r="D68" s="5">
        <v>61</v>
      </c>
      <c r="E68" s="664" t="s">
        <v>445</v>
      </c>
      <c r="F68" s="665"/>
      <c r="G68" s="665"/>
      <c r="H68" s="666"/>
      <c r="I68" s="68">
        <v>589545654</v>
      </c>
      <c r="J68" s="230"/>
      <c r="K68" s="231"/>
      <c r="L68" s="5">
        <v>199</v>
      </c>
      <c r="M68" s="5" t="s">
        <v>12</v>
      </c>
      <c r="N68" s="42">
        <v>44644</v>
      </c>
      <c r="O68" s="5" t="s">
        <v>393</v>
      </c>
      <c r="P68" s="5"/>
      <c r="Q68" s="43">
        <v>1.46429242</v>
      </c>
      <c r="R68" s="5">
        <v>63910760</v>
      </c>
      <c r="S68" s="1" t="s">
        <v>466</v>
      </c>
      <c r="T68" s="60"/>
      <c r="U68" s="3" t="s">
        <v>1096</v>
      </c>
    </row>
    <row r="69" spans="4:21">
      <c r="D69" s="5">
        <v>62</v>
      </c>
      <c r="E69" s="667" t="s">
        <v>446</v>
      </c>
      <c r="F69" s="667"/>
      <c r="G69" s="667"/>
      <c r="H69" s="667"/>
      <c r="I69" s="64">
        <v>566471967</v>
      </c>
      <c r="J69" s="64"/>
      <c r="K69" s="64"/>
      <c r="L69" s="5">
        <v>199</v>
      </c>
      <c r="M69" s="5" t="s">
        <v>102</v>
      </c>
      <c r="N69" s="42">
        <v>44644</v>
      </c>
      <c r="O69" s="5" t="s">
        <v>393</v>
      </c>
      <c r="P69" s="5"/>
      <c r="Q69" s="5">
        <v>1.4642966900000001</v>
      </c>
      <c r="R69" s="5">
        <v>63911735</v>
      </c>
      <c r="S69" s="1" t="s">
        <v>466</v>
      </c>
      <c r="T69" s="60"/>
      <c r="U69" s="3" t="s">
        <v>1096</v>
      </c>
    </row>
    <row r="70" spans="4:21">
      <c r="D70" s="5">
        <v>63</v>
      </c>
      <c r="E70" s="700" t="s">
        <v>447</v>
      </c>
      <c r="F70" s="700"/>
      <c r="G70" s="700"/>
      <c r="H70" s="700"/>
      <c r="I70" s="240">
        <v>523564948</v>
      </c>
      <c r="J70" s="240"/>
      <c r="K70" s="240"/>
      <c r="L70" s="53">
        <v>199</v>
      </c>
      <c r="M70" s="53" t="s">
        <v>12</v>
      </c>
      <c r="N70" s="54">
        <v>44644</v>
      </c>
      <c r="O70" s="53" t="s">
        <v>393</v>
      </c>
      <c r="P70" s="53" t="s">
        <v>1095</v>
      </c>
      <c r="Q70" s="53">
        <v>1.46431895</v>
      </c>
      <c r="R70" s="53">
        <v>63926854</v>
      </c>
      <c r="S70" s="1" t="s">
        <v>465</v>
      </c>
      <c r="T70" s="60" t="s">
        <v>1161</v>
      </c>
      <c r="U70" s="3" t="s">
        <v>1096</v>
      </c>
    </row>
    <row r="71" spans="4:21">
      <c r="D71" s="5">
        <v>64</v>
      </c>
      <c r="E71" s="694" t="s">
        <v>471</v>
      </c>
      <c r="F71" s="695"/>
      <c r="G71" s="695"/>
      <c r="H71" s="696"/>
      <c r="I71" s="68">
        <v>506057292</v>
      </c>
      <c r="J71" s="230"/>
      <c r="K71" s="231"/>
      <c r="L71" s="5">
        <v>199</v>
      </c>
      <c r="M71" s="5" t="s">
        <v>61</v>
      </c>
      <c r="N71" s="42">
        <v>44644</v>
      </c>
      <c r="O71" s="5" t="s">
        <v>393</v>
      </c>
      <c r="P71" s="5" t="s">
        <v>1094</v>
      </c>
      <c r="Q71" s="61">
        <v>1.3981163400000001</v>
      </c>
      <c r="R71" s="62">
        <v>63890573</v>
      </c>
      <c r="S71" s="1" t="s">
        <v>464</v>
      </c>
      <c r="T71" s="60"/>
      <c r="U71" s="3" t="s">
        <v>1096</v>
      </c>
    </row>
    <row r="72" spans="4:21">
      <c r="D72" s="5">
        <v>65</v>
      </c>
      <c r="E72" s="664" t="s">
        <v>473</v>
      </c>
      <c r="F72" s="665"/>
      <c r="G72" s="665"/>
      <c r="H72" s="666"/>
      <c r="I72" s="68">
        <v>545305132</v>
      </c>
      <c r="J72" s="230"/>
      <c r="K72" s="231"/>
      <c r="L72" s="5">
        <v>199</v>
      </c>
      <c r="M72" s="5" t="s">
        <v>61</v>
      </c>
      <c r="N72" s="42">
        <v>44644</v>
      </c>
      <c r="O72" s="5" t="s">
        <v>393</v>
      </c>
      <c r="P72" s="5"/>
      <c r="Q72" s="5">
        <v>8.9971031211116001E+18</v>
      </c>
      <c r="R72" s="5">
        <v>64008360</v>
      </c>
      <c r="S72" s="1" t="s">
        <v>464</v>
      </c>
      <c r="T72" s="60"/>
      <c r="U72" s="3" t="s">
        <v>1096</v>
      </c>
    </row>
    <row r="73" spans="4:21">
      <c r="D73" s="5">
        <v>66</v>
      </c>
      <c r="E73" s="664" t="s">
        <v>474</v>
      </c>
      <c r="F73" s="665"/>
      <c r="G73" s="665"/>
      <c r="H73" s="666"/>
      <c r="I73" s="64">
        <v>566375891</v>
      </c>
      <c r="J73" s="64"/>
      <c r="K73" s="64"/>
      <c r="L73" s="5">
        <v>199</v>
      </c>
      <c r="M73" s="5" t="s">
        <v>61</v>
      </c>
      <c r="N73" s="42">
        <v>44644</v>
      </c>
      <c r="O73" s="5" t="s">
        <v>393</v>
      </c>
      <c r="P73" s="5"/>
      <c r="Q73" s="43">
        <v>8.9971031211115704E+18</v>
      </c>
      <c r="R73" s="5">
        <v>64013204</v>
      </c>
      <c r="S73" s="1" t="s">
        <v>193</v>
      </c>
      <c r="T73" s="60"/>
      <c r="U73" s="3" t="s">
        <v>1096</v>
      </c>
    </row>
    <row r="74" spans="4:21">
      <c r="D74" s="5">
        <v>67</v>
      </c>
      <c r="E74" s="667" t="s">
        <v>475</v>
      </c>
      <c r="F74" s="667"/>
      <c r="G74" s="667"/>
      <c r="H74" s="667"/>
      <c r="I74" s="257">
        <v>566375891</v>
      </c>
      <c r="J74" s="258"/>
      <c r="K74" s="259"/>
      <c r="L74" s="5">
        <v>199</v>
      </c>
      <c r="M74" s="5" t="s">
        <v>61</v>
      </c>
      <c r="N74" s="42">
        <v>44644</v>
      </c>
      <c r="O74" s="5" t="s">
        <v>393</v>
      </c>
      <c r="P74" s="5"/>
      <c r="Q74" s="5">
        <v>1.4655761599999999</v>
      </c>
      <c r="R74" s="5">
        <v>64070972</v>
      </c>
      <c r="S74" s="1" t="s">
        <v>464</v>
      </c>
      <c r="T74" s="60"/>
      <c r="U74" s="3" t="s">
        <v>1096</v>
      </c>
    </row>
    <row r="75" spans="4:21">
      <c r="D75" s="5">
        <v>68</v>
      </c>
      <c r="E75" s="664" t="s">
        <v>472</v>
      </c>
      <c r="F75" s="665"/>
      <c r="G75" s="665"/>
      <c r="H75" s="666"/>
      <c r="I75" s="68">
        <v>501807655</v>
      </c>
      <c r="J75" s="230"/>
      <c r="K75" s="231"/>
      <c r="L75" s="5">
        <v>199</v>
      </c>
      <c r="M75" s="5" t="s">
        <v>61</v>
      </c>
      <c r="N75" s="42">
        <v>44644</v>
      </c>
      <c r="O75" s="5" t="s">
        <v>393</v>
      </c>
      <c r="P75" s="5"/>
      <c r="Q75" s="43">
        <v>1.4640661399999999</v>
      </c>
      <c r="R75" s="5">
        <v>63890999</v>
      </c>
      <c r="S75" s="1" t="s">
        <v>464</v>
      </c>
      <c r="T75" s="60"/>
      <c r="U75" s="3" t="s">
        <v>1096</v>
      </c>
    </row>
    <row r="76" spans="4:21">
      <c r="D76" s="5">
        <v>69</v>
      </c>
      <c r="E76" s="664" t="s">
        <v>448</v>
      </c>
      <c r="F76" s="665"/>
      <c r="G76" s="665"/>
      <c r="H76" s="666"/>
      <c r="I76" s="68">
        <v>504736310</v>
      </c>
      <c r="J76" s="230"/>
      <c r="K76" s="231"/>
      <c r="L76" s="5">
        <v>199</v>
      </c>
      <c r="M76" s="5" t="s">
        <v>12</v>
      </c>
      <c r="N76" s="42">
        <v>44644</v>
      </c>
      <c r="O76" s="5" t="s">
        <v>393</v>
      </c>
      <c r="P76" s="5"/>
      <c r="Q76" s="5">
        <v>1.4643948600000001</v>
      </c>
      <c r="R76" s="5">
        <v>63929041</v>
      </c>
      <c r="S76" s="1" t="s">
        <v>465</v>
      </c>
      <c r="T76" s="60"/>
      <c r="U76" s="3" t="s">
        <v>1096</v>
      </c>
    </row>
    <row r="77" spans="4:21">
      <c r="D77" s="5">
        <v>70</v>
      </c>
      <c r="E77" s="664" t="s">
        <v>449</v>
      </c>
      <c r="F77" s="665"/>
      <c r="G77" s="665"/>
      <c r="H77" s="666"/>
      <c r="I77" s="68">
        <v>528063709</v>
      </c>
      <c r="J77" s="230"/>
      <c r="K77" s="231"/>
      <c r="L77" s="5">
        <v>199</v>
      </c>
      <c r="M77" s="5" t="s">
        <v>12</v>
      </c>
      <c r="N77" s="42">
        <v>44645</v>
      </c>
      <c r="O77" s="5" t="s">
        <v>393</v>
      </c>
      <c r="P77" s="5"/>
      <c r="Q77" s="43">
        <v>1.46460466</v>
      </c>
      <c r="R77" s="5">
        <v>63947397</v>
      </c>
      <c r="S77" s="1" t="s">
        <v>175</v>
      </c>
      <c r="T77" s="60"/>
      <c r="U77" s="3" t="s">
        <v>1096</v>
      </c>
    </row>
    <row r="78" spans="4:21">
      <c r="D78" s="5">
        <v>71</v>
      </c>
      <c r="E78" s="664" t="s">
        <v>450</v>
      </c>
      <c r="F78" s="665"/>
      <c r="G78" s="665"/>
      <c r="H78" s="666"/>
      <c r="I78" s="68">
        <v>523261101</v>
      </c>
      <c r="J78" s="230"/>
      <c r="K78" s="231"/>
      <c r="L78" s="5">
        <v>199</v>
      </c>
      <c r="M78" s="5" t="s">
        <v>12</v>
      </c>
      <c r="N78" s="42">
        <v>44645</v>
      </c>
      <c r="O78" s="5" t="s">
        <v>393</v>
      </c>
      <c r="P78" s="5"/>
      <c r="Q78" s="5">
        <v>1.46483154</v>
      </c>
      <c r="R78" s="5">
        <v>8.9971031211115704E+18</v>
      </c>
      <c r="S78" s="1" t="s">
        <v>465</v>
      </c>
      <c r="T78" s="60"/>
      <c r="U78" s="3" t="s">
        <v>1096</v>
      </c>
    </row>
    <row r="79" spans="4:21">
      <c r="D79" s="5">
        <v>72</v>
      </c>
      <c r="E79" s="664" t="s">
        <v>451</v>
      </c>
      <c r="F79" s="665"/>
      <c r="G79" s="665"/>
      <c r="H79" s="666"/>
      <c r="I79" s="68">
        <v>564772974</v>
      </c>
      <c r="J79" s="230"/>
      <c r="K79" s="231"/>
      <c r="L79" s="5">
        <v>199</v>
      </c>
      <c r="M79" s="5" t="s">
        <v>102</v>
      </c>
      <c r="N79" s="42">
        <v>44646</v>
      </c>
      <c r="O79" s="5" t="s">
        <v>393</v>
      </c>
      <c r="P79" s="5"/>
      <c r="Q79" s="5">
        <v>1.46484948</v>
      </c>
      <c r="R79" s="5">
        <v>63974800</v>
      </c>
      <c r="S79" s="1" t="s">
        <v>465</v>
      </c>
      <c r="T79" s="60"/>
      <c r="U79" s="3" t="s">
        <v>1096</v>
      </c>
    </row>
    <row r="80" spans="4:21">
      <c r="D80" s="5">
        <v>73</v>
      </c>
      <c r="E80" s="664" t="s">
        <v>452</v>
      </c>
      <c r="F80" s="665"/>
      <c r="G80" s="665"/>
      <c r="H80" s="666"/>
      <c r="I80" s="68">
        <v>509774417</v>
      </c>
      <c r="J80" s="230"/>
      <c r="K80" s="231"/>
      <c r="L80" s="5">
        <v>199</v>
      </c>
      <c r="M80" s="5" t="s">
        <v>12</v>
      </c>
      <c r="N80" s="42">
        <v>44646</v>
      </c>
      <c r="O80" s="5" t="s">
        <v>393</v>
      </c>
      <c r="P80" s="5"/>
      <c r="Q80" s="5">
        <v>1.28056317</v>
      </c>
      <c r="R80" s="5">
        <v>63978221</v>
      </c>
      <c r="S80" s="1" t="s">
        <v>465</v>
      </c>
      <c r="T80" s="60"/>
      <c r="U80" s="3" t="s">
        <v>1096</v>
      </c>
    </row>
    <row r="81" spans="4:22">
      <c r="D81" s="5">
        <v>74</v>
      </c>
      <c r="E81" s="664" t="s">
        <v>453</v>
      </c>
      <c r="F81" s="665"/>
      <c r="G81" s="665"/>
      <c r="H81" s="666"/>
      <c r="I81" s="68">
        <v>544279836</v>
      </c>
      <c r="J81" s="230"/>
      <c r="K81" s="231"/>
      <c r="L81" s="5">
        <v>199</v>
      </c>
      <c r="M81" s="5" t="s">
        <v>12</v>
      </c>
      <c r="N81" s="42">
        <v>44646</v>
      </c>
      <c r="O81" s="5" t="s">
        <v>393</v>
      </c>
      <c r="P81" s="5"/>
      <c r="Q81" s="5">
        <v>1.4649074900000001</v>
      </c>
      <c r="R81" s="5">
        <v>63985427</v>
      </c>
      <c r="S81" s="1" t="s">
        <v>468</v>
      </c>
      <c r="T81" s="60"/>
      <c r="U81" s="3" t="s">
        <v>1096</v>
      </c>
    </row>
    <row r="82" spans="4:22">
      <c r="D82" s="5">
        <v>75</v>
      </c>
      <c r="E82" s="664" t="s">
        <v>454</v>
      </c>
      <c r="F82" s="665"/>
      <c r="G82" s="665"/>
      <c r="H82" s="666"/>
      <c r="I82" s="68">
        <v>568525273</v>
      </c>
      <c r="J82" s="230"/>
      <c r="K82" s="231"/>
      <c r="L82" s="5">
        <v>199</v>
      </c>
      <c r="M82" s="5" t="s">
        <v>12</v>
      </c>
      <c r="N82" s="42">
        <v>44647</v>
      </c>
      <c r="O82" s="5" t="s">
        <v>393</v>
      </c>
      <c r="P82" s="5"/>
      <c r="Q82" s="59">
        <v>1.46505047</v>
      </c>
      <c r="R82" s="5">
        <v>63996952</v>
      </c>
      <c r="S82" s="1" t="s">
        <v>193</v>
      </c>
      <c r="T82" s="60"/>
      <c r="U82" s="3" t="s">
        <v>1096</v>
      </c>
    </row>
    <row r="83" spans="4:22">
      <c r="D83" s="5">
        <v>76</v>
      </c>
      <c r="E83" s="661" t="s">
        <v>455</v>
      </c>
      <c r="F83" s="662"/>
      <c r="G83" s="662"/>
      <c r="H83" s="663"/>
      <c r="I83" s="68">
        <v>529318400</v>
      </c>
      <c r="J83" s="230"/>
      <c r="K83" s="231"/>
      <c r="L83" s="5">
        <v>199</v>
      </c>
      <c r="M83" s="5" t="s">
        <v>12</v>
      </c>
      <c r="N83" s="42">
        <v>44647</v>
      </c>
      <c r="O83" s="5" t="s">
        <v>393</v>
      </c>
      <c r="P83" s="5"/>
      <c r="Q83" s="5">
        <v>1.4651223799999999</v>
      </c>
      <c r="R83" s="5">
        <v>64005989</v>
      </c>
      <c r="S83" s="1" t="s">
        <v>193</v>
      </c>
      <c r="T83" s="60"/>
      <c r="U83" s="3" t="s">
        <v>1096</v>
      </c>
    </row>
    <row r="84" spans="4:22">
      <c r="D84" s="5">
        <v>77</v>
      </c>
      <c r="E84" s="661" t="s">
        <v>456</v>
      </c>
      <c r="F84" s="662"/>
      <c r="G84" s="662"/>
      <c r="H84" s="663"/>
      <c r="I84" s="68">
        <v>551883531</v>
      </c>
      <c r="J84" s="230"/>
      <c r="K84" s="231"/>
      <c r="L84" s="5">
        <v>199</v>
      </c>
      <c r="M84" s="5" t="s">
        <v>12</v>
      </c>
      <c r="N84" s="42">
        <v>44647</v>
      </c>
      <c r="O84" s="5" t="s">
        <v>393</v>
      </c>
      <c r="P84" s="5"/>
      <c r="Q84" s="5">
        <v>1.46515741</v>
      </c>
      <c r="R84" s="5">
        <v>64012020</v>
      </c>
      <c r="S84" s="1" t="s">
        <v>465</v>
      </c>
      <c r="T84" s="60"/>
      <c r="U84" s="3" t="s">
        <v>1096</v>
      </c>
    </row>
    <row r="85" spans="4:22">
      <c r="D85" s="5">
        <v>78</v>
      </c>
      <c r="E85" s="661" t="s">
        <v>457</v>
      </c>
      <c r="F85" s="662"/>
      <c r="G85" s="662"/>
      <c r="H85" s="663"/>
      <c r="I85" s="68">
        <v>529538733</v>
      </c>
      <c r="J85" s="230"/>
      <c r="K85" s="231"/>
      <c r="L85" s="5">
        <v>199</v>
      </c>
      <c r="M85" s="5" t="s">
        <v>102</v>
      </c>
      <c r="N85" s="42">
        <v>44648</v>
      </c>
      <c r="O85" s="5" t="s">
        <v>393</v>
      </c>
      <c r="P85" s="5"/>
      <c r="Q85" s="43">
        <v>1.4651068300000001</v>
      </c>
      <c r="R85" s="5">
        <v>64011925</v>
      </c>
      <c r="S85" s="1" t="s">
        <v>464</v>
      </c>
      <c r="T85" s="60"/>
      <c r="U85" s="3" t="s">
        <v>1096</v>
      </c>
    </row>
    <row r="86" spans="4:22">
      <c r="D86" s="5">
        <v>79</v>
      </c>
      <c r="E86" s="661" t="s">
        <v>458</v>
      </c>
      <c r="F86" s="662"/>
      <c r="G86" s="662"/>
      <c r="H86" s="663"/>
      <c r="I86" s="68">
        <v>552992408</v>
      </c>
      <c r="J86" s="230"/>
      <c r="K86" s="231"/>
      <c r="L86" s="5">
        <v>199</v>
      </c>
      <c r="M86" s="5" t="s">
        <v>12</v>
      </c>
      <c r="N86" s="42">
        <v>44648</v>
      </c>
      <c r="O86" s="5" t="s">
        <v>393</v>
      </c>
      <c r="P86" s="5"/>
      <c r="Q86" s="5">
        <v>1.3336967200000001</v>
      </c>
      <c r="R86" s="5">
        <v>64013726</v>
      </c>
      <c r="S86" s="1" t="s">
        <v>466</v>
      </c>
      <c r="T86" s="60"/>
      <c r="U86" s="3" t="s">
        <v>1096</v>
      </c>
    </row>
    <row r="87" spans="4:22">
      <c r="D87" s="5">
        <v>80</v>
      </c>
      <c r="E87" s="697" t="s">
        <v>459</v>
      </c>
      <c r="F87" s="698"/>
      <c r="G87" s="698"/>
      <c r="H87" s="699"/>
      <c r="I87" s="263">
        <v>529538733</v>
      </c>
      <c r="J87" s="264"/>
      <c r="K87" s="265"/>
      <c r="L87" s="53">
        <v>199</v>
      </c>
      <c r="M87" s="53" t="s">
        <v>12</v>
      </c>
      <c r="N87" s="54">
        <v>44648</v>
      </c>
      <c r="O87" s="53" t="s">
        <v>393</v>
      </c>
      <c r="P87" s="53" t="s">
        <v>1095</v>
      </c>
      <c r="Q87" s="53">
        <v>1.46434756</v>
      </c>
      <c r="R87" s="53">
        <v>63922560</v>
      </c>
      <c r="S87" s="1" t="s">
        <v>468</v>
      </c>
      <c r="T87" s="60" t="s">
        <v>1161</v>
      </c>
      <c r="U87" s="3" t="s">
        <v>1096</v>
      </c>
      <c r="V87">
        <v>140</v>
      </c>
    </row>
    <row r="88" spans="4:22">
      <c r="D88" s="5">
        <v>81</v>
      </c>
      <c r="E88" s="661" t="s">
        <v>460</v>
      </c>
      <c r="F88" s="662"/>
      <c r="G88" s="662"/>
      <c r="H88" s="663"/>
      <c r="I88" s="68">
        <v>556073658</v>
      </c>
      <c r="J88" s="230"/>
      <c r="K88" s="231"/>
      <c r="L88" s="5">
        <v>199</v>
      </c>
      <c r="M88" s="5" t="s">
        <v>12</v>
      </c>
      <c r="N88" s="42">
        <v>44649</v>
      </c>
      <c r="O88" s="5" t="s">
        <v>393</v>
      </c>
      <c r="P88" s="5" t="s">
        <v>1094</v>
      </c>
      <c r="Q88" s="5">
        <v>1.4654002699999999</v>
      </c>
      <c r="R88" s="5">
        <v>64048712</v>
      </c>
      <c r="S88" s="1" t="s">
        <v>464</v>
      </c>
      <c r="T88" s="60"/>
      <c r="U88" s="3" t="s">
        <v>1096</v>
      </c>
    </row>
    <row r="89" spans="4:22">
      <c r="D89" s="5">
        <v>82</v>
      </c>
      <c r="E89" s="661" t="s">
        <v>461</v>
      </c>
      <c r="F89" s="662"/>
      <c r="G89" s="662"/>
      <c r="H89" s="663"/>
      <c r="I89" s="68">
        <v>564829661</v>
      </c>
      <c r="J89" s="230"/>
      <c r="K89" s="231"/>
      <c r="L89" s="5">
        <v>199</v>
      </c>
      <c r="M89" s="5" t="s">
        <v>12</v>
      </c>
      <c r="N89" s="42">
        <v>44649</v>
      </c>
      <c r="O89" s="5" t="s">
        <v>393</v>
      </c>
      <c r="P89" s="5" t="s">
        <v>1094</v>
      </c>
      <c r="Q89" s="5">
        <v>1.4648352899999999</v>
      </c>
      <c r="R89" s="5">
        <v>64061995</v>
      </c>
      <c r="S89" s="1" t="s">
        <v>465</v>
      </c>
      <c r="T89" s="60"/>
      <c r="U89" s="3" t="s">
        <v>1096</v>
      </c>
    </row>
    <row r="90" spans="4:22">
      <c r="D90" s="5">
        <v>83</v>
      </c>
      <c r="E90" s="661" t="s">
        <v>462</v>
      </c>
      <c r="F90" s="662"/>
      <c r="G90" s="662"/>
      <c r="H90" s="663"/>
      <c r="I90" s="68">
        <v>509514168</v>
      </c>
      <c r="J90" s="230"/>
      <c r="K90" s="231"/>
      <c r="L90" s="5">
        <v>199</v>
      </c>
      <c r="M90" s="5" t="s">
        <v>12</v>
      </c>
      <c r="N90" s="42">
        <v>44649</v>
      </c>
      <c r="O90" s="5" t="s">
        <v>393</v>
      </c>
      <c r="P90" s="5"/>
      <c r="Q90" s="5">
        <v>1.4655516</v>
      </c>
      <c r="R90" s="5">
        <v>64063678</v>
      </c>
      <c r="S90" s="1" t="s">
        <v>465</v>
      </c>
      <c r="T90" s="1"/>
      <c r="U90" s="3" t="s">
        <v>1096</v>
      </c>
    </row>
    <row r="91" spans="4:22">
      <c r="D91" s="5">
        <v>84</v>
      </c>
      <c r="E91" s="661" t="s">
        <v>476</v>
      </c>
      <c r="F91" s="662"/>
      <c r="G91" s="662"/>
      <c r="H91" s="663"/>
      <c r="I91" s="68">
        <v>503429453</v>
      </c>
      <c r="J91" s="230"/>
      <c r="K91" s="231"/>
      <c r="L91" s="5">
        <v>199</v>
      </c>
      <c r="M91" s="5" t="s">
        <v>102</v>
      </c>
      <c r="N91" s="42">
        <v>44651</v>
      </c>
      <c r="O91" s="5" t="s">
        <v>393</v>
      </c>
      <c r="P91" s="5"/>
      <c r="Q91" s="5">
        <v>1.4656192299999999</v>
      </c>
      <c r="R91" s="5">
        <v>64080304</v>
      </c>
      <c r="S91" s="1" t="s">
        <v>468</v>
      </c>
      <c r="T91" s="60"/>
      <c r="U91" s="3" t="s">
        <v>1096</v>
      </c>
    </row>
    <row r="92" spans="4:22">
      <c r="D92" s="5">
        <v>85</v>
      </c>
      <c r="E92" s="661" t="s">
        <v>477</v>
      </c>
      <c r="F92" s="662"/>
      <c r="G92" s="662"/>
      <c r="H92" s="663"/>
      <c r="I92" s="68">
        <v>501852603</v>
      </c>
      <c r="J92" s="230"/>
      <c r="K92" s="231"/>
      <c r="L92" s="5">
        <v>199</v>
      </c>
      <c r="M92" s="5" t="s">
        <v>102</v>
      </c>
      <c r="N92" s="42">
        <v>44651</v>
      </c>
      <c r="O92" s="5" t="s">
        <v>393</v>
      </c>
      <c r="P92" s="5"/>
      <c r="Q92" s="5">
        <v>1.4657543200000001</v>
      </c>
      <c r="R92" s="5">
        <v>64096992</v>
      </c>
      <c r="S92" s="1" t="s">
        <v>175</v>
      </c>
      <c r="T92" s="60"/>
      <c r="U92" s="3" t="s">
        <v>1096</v>
      </c>
    </row>
    <row r="93" spans="4:22">
      <c r="D93" s="5">
        <v>86</v>
      </c>
      <c r="E93" s="661" t="s">
        <v>478</v>
      </c>
      <c r="F93" s="662"/>
      <c r="G93" s="662"/>
      <c r="H93" s="663"/>
      <c r="I93" s="68">
        <v>589697642</v>
      </c>
      <c r="J93" s="230"/>
      <c r="K93" s="231"/>
      <c r="L93" s="5">
        <v>199</v>
      </c>
      <c r="M93" s="5" t="s">
        <v>102</v>
      </c>
      <c r="N93" s="42">
        <v>44651</v>
      </c>
      <c r="O93" s="5" t="s">
        <v>393</v>
      </c>
      <c r="P93" s="5"/>
      <c r="Q93" s="5">
        <v>1.3194648099999999</v>
      </c>
      <c r="R93" s="5">
        <v>64107551</v>
      </c>
      <c r="S93" s="1" t="s">
        <v>464</v>
      </c>
      <c r="T93" s="60"/>
      <c r="U93" s="3" t="s">
        <v>1096</v>
      </c>
    </row>
    <row r="94" spans="4:22">
      <c r="D94" s="5">
        <v>87</v>
      </c>
      <c r="E94" s="661" t="s">
        <v>479</v>
      </c>
      <c r="F94" s="662"/>
      <c r="G94" s="662"/>
      <c r="H94" s="663"/>
      <c r="I94" s="68">
        <v>509771531</v>
      </c>
      <c r="J94" s="230"/>
      <c r="K94" s="231"/>
      <c r="L94" s="5">
        <v>199</v>
      </c>
      <c r="M94" s="5" t="s">
        <v>102</v>
      </c>
      <c r="N94" s="42">
        <v>44651</v>
      </c>
      <c r="O94" s="5" t="s">
        <v>393</v>
      </c>
      <c r="P94" s="5" t="s">
        <v>1094</v>
      </c>
      <c r="Q94" s="5">
        <v>1.46579763</v>
      </c>
      <c r="R94" s="5">
        <v>64111401</v>
      </c>
      <c r="S94" s="1" t="s">
        <v>468</v>
      </c>
      <c r="T94" s="60" t="s">
        <v>1161</v>
      </c>
      <c r="U94" s="3" t="s">
        <v>1096</v>
      </c>
      <c r="V94">
        <v>140</v>
      </c>
    </row>
    <row r="95" spans="4:22">
      <c r="D95" s="5">
        <v>88</v>
      </c>
      <c r="E95" s="661" t="s">
        <v>480</v>
      </c>
      <c r="F95" s="662"/>
      <c r="G95" s="662"/>
      <c r="H95" s="663"/>
      <c r="I95" s="68">
        <v>558266449</v>
      </c>
      <c r="J95" s="230"/>
      <c r="K95" s="231"/>
      <c r="L95" s="5">
        <v>199</v>
      </c>
      <c r="M95" s="5" t="s">
        <v>102</v>
      </c>
      <c r="N95" s="42">
        <v>44651</v>
      </c>
      <c r="O95" s="5" t="s">
        <v>393</v>
      </c>
      <c r="P95" s="5"/>
      <c r="Q95" s="5">
        <v>1.4658001599999999</v>
      </c>
      <c r="R95" s="5">
        <v>64112392</v>
      </c>
      <c r="S95" s="1" t="s">
        <v>468</v>
      </c>
      <c r="T95" s="60"/>
      <c r="U95" s="3" t="s">
        <v>1096</v>
      </c>
    </row>
    <row r="96" spans="4:22">
      <c r="D96" s="5"/>
      <c r="E96" s="661"/>
      <c r="F96" s="662"/>
      <c r="G96" s="662"/>
      <c r="H96" s="663"/>
      <c r="I96" s="687"/>
      <c r="J96" s="688"/>
      <c r="K96" s="689"/>
      <c r="L96" s="5"/>
      <c r="M96" s="5"/>
      <c r="N96" s="42"/>
      <c r="O96" s="5"/>
      <c r="P96" s="1"/>
      <c r="Q96" s="5"/>
      <c r="R96" s="5"/>
      <c r="S96" s="1"/>
      <c r="T96" s="60"/>
      <c r="U96" s="3"/>
    </row>
    <row r="97" spans="4:21">
      <c r="D97" s="5"/>
      <c r="E97" s="661"/>
      <c r="F97" s="662"/>
      <c r="G97" s="662"/>
      <c r="H97" s="663"/>
      <c r="I97" s="687"/>
      <c r="J97" s="688"/>
      <c r="K97" s="689"/>
      <c r="L97" s="5"/>
      <c r="M97" s="5"/>
      <c r="N97" s="42"/>
      <c r="O97" s="5"/>
      <c r="P97" s="1"/>
      <c r="Q97" s="5"/>
      <c r="R97" s="5"/>
      <c r="S97" s="1"/>
      <c r="T97" s="60"/>
      <c r="U97" s="3"/>
    </row>
    <row r="98" spans="4:21">
      <c r="D98" s="5"/>
      <c r="E98" s="661"/>
      <c r="F98" s="662"/>
      <c r="G98" s="662"/>
      <c r="H98" s="663"/>
      <c r="I98" s="687"/>
      <c r="J98" s="688"/>
      <c r="K98" s="689"/>
      <c r="L98" s="5"/>
      <c r="M98" s="5"/>
      <c r="N98" s="42"/>
      <c r="O98" s="5"/>
      <c r="P98" s="1"/>
      <c r="Q98" s="5"/>
      <c r="R98" s="5"/>
      <c r="S98" s="1"/>
      <c r="T98" s="60"/>
      <c r="U98" s="3"/>
    </row>
    <row r="99" spans="4:21">
      <c r="D99" s="5"/>
      <c r="E99" s="661"/>
      <c r="F99" s="662"/>
      <c r="G99" s="662"/>
      <c r="H99" s="663"/>
      <c r="I99" s="687"/>
      <c r="J99" s="688"/>
      <c r="K99" s="689"/>
      <c r="L99" s="5"/>
      <c r="M99" s="5"/>
      <c r="N99" s="42"/>
      <c r="O99" s="5"/>
      <c r="P99" s="1"/>
      <c r="Q99" s="5"/>
      <c r="R99" s="5"/>
      <c r="S99" s="1"/>
      <c r="T99" s="60"/>
      <c r="U99" s="3"/>
    </row>
    <row r="100" spans="4:21">
      <c r="D100" s="5"/>
      <c r="E100" s="661"/>
      <c r="F100" s="662"/>
      <c r="G100" s="662"/>
      <c r="H100" s="663"/>
      <c r="I100" s="687"/>
      <c r="J100" s="688"/>
      <c r="K100" s="689"/>
      <c r="L100" s="5"/>
      <c r="M100" s="5"/>
      <c r="N100" s="42"/>
      <c r="O100" s="5"/>
      <c r="P100" s="1"/>
      <c r="Q100" s="5"/>
      <c r="R100" s="5"/>
      <c r="S100" s="1"/>
      <c r="T100" s="60"/>
      <c r="U100" s="3"/>
    </row>
    <row r="101" spans="4:21">
      <c r="D101" s="5"/>
      <c r="E101" s="661"/>
      <c r="F101" s="662"/>
      <c r="G101" s="662"/>
      <c r="H101" s="663"/>
      <c r="I101" s="687"/>
      <c r="J101" s="688"/>
      <c r="K101" s="689"/>
      <c r="L101" s="5"/>
      <c r="M101" s="5"/>
      <c r="N101" s="42"/>
      <c r="O101" s="5"/>
      <c r="P101" s="1"/>
      <c r="Q101" s="5"/>
      <c r="R101" s="5"/>
      <c r="S101" s="1"/>
      <c r="T101" s="60"/>
      <c r="U101" s="3"/>
    </row>
    <row r="102" spans="4:21">
      <c r="D102" s="5"/>
      <c r="E102" s="661"/>
      <c r="F102" s="662"/>
      <c r="G102" s="662"/>
      <c r="H102" s="663"/>
      <c r="I102" s="687"/>
      <c r="J102" s="688"/>
      <c r="K102" s="689"/>
      <c r="L102" s="5"/>
      <c r="M102" s="5"/>
      <c r="N102" s="42"/>
      <c r="O102" s="5"/>
      <c r="P102" s="1"/>
      <c r="Q102" s="5"/>
      <c r="R102" s="5"/>
      <c r="S102" s="1"/>
      <c r="T102" s="60"/>
      <c r="U102" s="3"/>
    </row>
    <row r="103" spans="4:21">
      <c r="D103" s="5"/>
      <c r="E103" s="661"/>
      <c r="F103" s="662"/>
      <c r="G103" s="662"/>
      <c r="H103" s="663"/>
      <c r="I103" s="687"/>
      <c r="J103" s="688"/>
      <c r="K103" s="689"/>
      <c r="L103" s="5"/>
      <c r="M103" s="5"/>
      <c r="N103" s="42"/>
      <c r="O103" s="5"/>
      <c r="P103" s="1"/>
      <c r="Q103" s="5"/>
      <c r="R103" s="5"/>
      <c r="S103" s="1"/>
      <c r="T103" s="60"/>
      <c r="U103" s="3"/>
    </row>
    <row r="104" spans="4:21">
      <c r="D104" s="5"/>
      <c r="E104" s="661"/>
      <c r="F104" s="662"/>
      <c r="G104" s="662"/>
      <c r="H104" s="663"/>
      <c r="I104" s="687"/>
      <c r="J104" s="688"/>
      <c r="K104" s="689"/>
      <c r="L104" s="5"/>
      <c r="M104" s="5"/>
      <c r="N104" s="42"/>
      <c r="O104" s="5"/>
      <c r="P104" s="1"/>
      <c r="Q104" s="5"/>
      <c r="R104" s="5"/>
      <c r="S104" s="1"/>
      <c r="T104" s="60"/>
      <c r="U104" s="3"/>
    </row>
    <row r="105" spans="4:21">
      <c r="D105" s="5"/>
      <c r="E105" s="661"/>
      <c r="F105" s="662"/>
      <c r="G105" s="662"/>
      <c r="H105" s="663"/>
      <c r="I105" s="687"/>
      <c r="J105" s="688"/>
      <c r="K105" s="689"/>
      <c r="L105" s="5"/>
      <c r="M105" s="5"/>
      <c r="N105" s="42"/>
      <c r="O105" s="5"/>
      <c r="P105" s="1"/>
      <c r="Q105" s="5"/>
      <c r="R105" s="5"/>
      <c r="S105" s="1"/>
      <c r="T105" s="60"/>
      <c r="U105" s="3"/>
    </row>
    <row r="106" spans="4:21">
      <c r="D106" s="5"/>
      <c r="E106" s="661"/>
      <c r="F106" s="662"/>
      <c r="G106" s="662"/>
      <c r="H106" s="663"/>
      <c r="I106" s="687"/>
      <c r="J106" s="688"/>
      <c r="K106" s="689"/>
      <c r="L106" s="5"/>
      <c r="M106" s="5"/>
      <c r="N106" s="42"/>
      <c r="O106" s="5"/>
      <c r="P106" s="1"/>
      <c r="Q106" s="5"/>
      <c r="R106" s="5"/>
      <c r="S106" s="1"/>
      <c r="T106" s="60"/>
      <c r="U106" s="3"/>
    </row>
  </sheetData>
  <autoFilter ref="D7:U95" xr:uid="{00000000-0009-0000-0000-000005000000}">
    <filterColumn colId="1" showButton="0"/>
    <filterColumn colId="2" showButton="0"/>
    <filterColumn colId="3" showButton="0"/>
    <filterColumn colId="5" showButton="0"/>
    <filterColumn colId="6" showButton="0"/>
  </autoFilter>
  <mergeCells count="113">
    <mergeCell ref="E90:H90"/>
    <mergeCell ref="E13:H13"/>
    <mergeCell ref="E14:H14"/>
    <mergeCell ref="E15:H15"/>
    <mergeCell ref="E10:H10"/>
    <mergeCell ref="E11:H11"/>
    <mergeCell ref="E12:H12"/>
    <mergeCell ref="E19:H19"/>
    <mergeCell ref="E20:H20"/>
    <mergeCell ref="E21:H21"/>
    <mergeCell ref="E16:H16"/>
    <mergeCell ref="E17:H17"/>
    <mergeCell ref="E18:H18"/>
    <mergeCell ref="E27:H27"/>
    <mergeCell ref="E42:H42"/>
    <mergeCell ref="E44:H44"/>
    <mergeCell ref="E45:H45"/>
    <mergeCell ref="E46:H46"/>
    <mergeCell ref="E43:H43"/>
    <mergeCell ref="E39:H39"/>
    <mergeCell ref="E40:H40"/>
    <mergeCell ref="E41:H41"/>
    <mergeCell ref="E36:H36"/>
    <mergeCell ref="E37:H37"/>
    <mergeCell ref="E7:H7"/>
    <mergeCell ref="I7:K7"/>
    <mergeCell ref="E8:H8"/>
    <mergeCell ref="E9:H9"/>
    <mergeCell ref="E33:H33"/>
    <mergeCell ref="E34:H34"/>
    <mergeCell ref="E35:H35"/>
    <mergeCell ref="E30:H30"/>
    <mergeCell ref="E31:H31"/>
    <mergeCell ref="E32:H32"/>
    <mergeCell ref="E28:H28"/>
    <mergeCell ref="E29:H29"/>
    <mergeCell ref="E24:H24"/>
    <mergeCell ref="E25:H25"/>
    <mergeCell ref="E26:H26"/>
    <mergeCell ref="E38:H38"/>
    <mergeCell ref="E53:H53"/>
    <mergeCell ref="E54:H54"/>
    <mergeCell ref="E55:H55"/>
    <mergeCell ref="E50:H50"/>
    <mergeCell ref="E51:H51"/>
    <mergeCell ref="E52:H52"/>
    <mergeCell ref="E47:H47"/>
    <mergeCell ref="E48:H48"/>
    <mergeCell ref="E49:H49"/>
    <mergeCell ref="E62:H62"/>
    <mergeCell ref="E63:H63"/>
    <mergeCell ref="E64:H64"/>
    <mergeCell ref="E59:H59"/>
    <mergeCell ref="E60:H60"/>
    <mergeCell ref="E61:H61"/>
    <mergeCell ref="E56:H56"/>
    <mergeCell ref="E57:H57"/>
    <mergeCell ref="E58:H58"/>
    <mergeCell ref="E76:H76"/>
    <mergeCell ref="E77:H77"/>
    <mergeCell ref="E78:H78"/>
    <mergeCell ref="E68:H68"/>
    <mergeCell ref="E69:H69"/>
    <mergeCell ref="E70:H70"/>
    <mergeCell ref="E65:H65"/>
    <mergeCell ref="E66:H66"/>
    <mergeCell ref="E67:H67"/>
    <mergeCell ref="E88:H88"/>
    <mergeCell ref="E89:H89"/>
    <mergeCell ref="E85:H85"/>
    <mergeCell ref="E86:H86"/>
    <mergeCell ref="E87:H87"/>
    <mergeCell ref="E82:H82"/>
    <mergeCell ref="E83:H83"/>
    <mergeCell ref="E84:H84"/>
    <mergeCell ref="E79:H79"/>
    <mergeCell ref="E80:H80"/>
    <mergeCell ref="E81:H81"/>
    <mergeCell ref="E98:H98"/>
    <mergeCell ref="I98:K98"/>
    <mergeCell ref="E99:H99"/>
    <mergeCell ref="I99:K99"/>
    <mergeCell ref="E100:H100"/>
    <mergeCell ref="I100:K100"/>
    <mergeCell ref="E91:H91"/>
    <mergeCell ref="E92:H92"/>
    <mergeCell ref="E93:H93"/>
    <mergeCell ref="E94:H94"/>
    <mergeCell ref="E95:H95"/>
    <mergeCell ref="D3:U6"/>
    <mergeCell ref="E106:H106"/>
    <mergeCell ref="I106:K106"/>
    <mergeCell ref="E23:H23"/>
    <mergeCell ref="E22:H22"/>
    <mergeCell ref="E71:H71"/>
    <mergeCell ref="E75:H75"/>
    <mergeCell ref="E72:H72"/>
    <mergeCell ref="E73:H73"/>
    <mergeCell ref="E74:H74"/>
    <mergeCell ref="E101:H101"/>
    <mergeCell ref="I101:K101"/>
    <mergeCell ref="E102:H102"/>
    <mergeCell ref="I102:K102"/>
    <mergeCell ref="E103:H103"/>
    <mergeCell ref="I103:K103"/>
    <mergeCell ref="E104:H104"/>
    <mergeCell ref="I104:K104"/>
    <mergeCell ref="E105:H105"/>
    <mergeCell ref="I105:K105"/>
    <mergeCell ref="E96:H96"/>
    <mergeCell ref="I96:K96"/>
    <mergeCell ref="E97:H97"/>
    <mergeCell ref="I97:K97"/>
  </mergeCells>
  <conditionalFormatting sqref="E22:E23">
    <cfRule type="duplicateValues" dxfId="1087" priority="68"/>
    <cfRule type="duplicateValues" dxfId="1086" priority="61"/>
    <cfRule type="duplicateValues" dxfId="1085" priority="59"/>
  </conditionalFormatting>
  <conditionalFormatting sqref="I22:I23 E22:E23">
    <cfRule type="duplicateValues" dxfId="1084" priority="93"/>
    <cfRule type="duplicateValues" dxfId="1083" priority="82"/>
    <cfRule type="duplicateValues" dxfId="1082" priority="94"/>
  </conditionalFormatting>
  <conditionalFormatting sqref="I22:I23">
    <cfRule type="duplicateValues" dxfId="1081" priority="54"/>
    <cfRule type="duplicateValues" dxfId="1080" priority="57"/>
    <cfRule type="duplicateValues" dxfId="1079" priority="56"/>
    <cfRule type="duplicateValues" dxfId="1078" priority="72"/>
    <cfRule type="duplicateValues" dxfId="1077" priority="76"/>
    <cfRule type="duplicateValues" dxfId="1076" priority="75"/>
    <cfRule type="duplicateValues" dxfId="1075" priority="74"/>
    <cfRule type="duplicateValues" dxfId="1074" priority="73"/>
    <cfRule type="duplicateValues" dxfId="1073" priority="71"/>
    <cfRule type="duplicateValues" dxfId="1072" priority="70"/>
    <cfRule type="duplicateValues" dxfId="1071" priority="67"/>
    <cfRule type="duplicateValues" dxfId="1070" priority="65"/>
    <cfRule type="duplicateValues" dxfId="1069" priority="62"/>
    <cfRule type="duplicateValues" dxfId="1068" priority="60"/>
    <cfRule type="duplicateValues" dxfId="1067" priority="58"/>
  </conditionalFormatting>
  <conditionalFormatting sqref="Q22">
    <cfRule type="duplicateValues" dxfId="1066" priority="47"/>
    <cfRule type="duplicateValues" dxfId="1065" priority="48"/>
    <cfRule type="duplicateValues" dxfId="1064" priority="49"/>
    <cfRule type="duplicateValues" dxfId="1063" priority="39"/>
    <cfRule type="duplicateValues" dxfId="1062" priority="40"/>
    <cfRule type="duplicateValues" dxfId="1061" priority="41"/>
    <cfRule type="duplicateValues" dxfId="1060" priority="42"/>
    <cfRule type="duplicateValues" dxfId="1059" priority="43"/>
    <cfRule type="duplicateValues" dxfId="1058" priority="44"/>
    <cfRule type="duplicateValues" dxfId="1057" priority="45"/>
    <cfRule type="duplicateValues" dxfId="1056" priority="46"/>
  </conditionalFormatting>
  <conditionalFormatting sqref="Q23">
    <cfRule type="duplicateValues" dxfId="1055" priority="28"/>
    <cfRule type="duplicateValues" dxfId="1054" priority="35"/>
    <cfRule type="duplicateValues" dxfId="1053" priority="37"/>
    <cfRule type="duplicateValues" dxfId="1052" priority="36"/>
    <cfRule type="duplicateValues" dxfId="1051" priority="34"/>
    <cfRule type="duplicateValues" dxfId="1050" priority="33"/>
    <cfRule type="duplicateValues" dxfId="1049" priority="32"/>
    <cfRule type="duplicateValues" dxfId="1048" priority="31"/>
    <cfRule type="duplicateValues" dxfId="1047" priority="30"/>
    <cfRule type="duplicateValues" dxfId="1046" priority="29"/>
    <cfRule type="duplicateValues" dxfId="1045" priority="27"/>
  </conditionalFormatting>
  <conditionalFormatting sqref="Q71">
    <cfRule type="duplicateValues" dxfId="1044" priority="15"/>
    <cfRule type="duplicateValues" dxfId="1043" priority="20"/>
    <cfRule type="duplicateValues" dxfId="1042" priority="13"/>
    <cfRule type="duplicateValues" dxfId="1041" priority="23"/>
    <cfRule type="duplicateValues" dxfId="1040" priority="22"/>
    <cfRule type="duplicateValues" dxfId="1039" priority="21"/>
    <cfRule type="duplicateValues" dxfId="1038" priority="19"/>
    <cfRule type="duplicateValues" dxfId="1037" priority="18"/>
    <cfRule type="duplicateValues" dxfId="1036" priority="17"/>
    <cfRule type="duplicateValues" dxfId="1035" priority="16"/>
  </conditionalFormatting>
  <conditionalFormatting sqref="Q71:R71">
    <cfRule type="duplicateValues" dxfId="1034" priority="14"/>
  </conditionalFormatting>
  <conditionalFormatting sqref="R22">
    <cfRule type="duplicateValues" dxfId="1033" priority="26"/>
  </conditionalFormatting>
  <conditionalFormatting sqref="R23">
    <cfRule type="duplicateValues" dxfId="1032" priority="25"/>
  </conditionalFormatting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87"/>
  <sheetViews>
    <sheetView topLeftCell="D1" workbookViewId="0">
      <selection activeCell="D5" sqref="D5:D86"/>
    </sheetView>
  </sheetViews>
  <sheetFormatPr defaultRowHeight="14.5"/>
  <cols>
    <col min="2" max="2" width="4.453125" bestFit="1" customWidth="1"/>
    <col min="3" max="3" width="38.453125" bestFit="1" customWidth="1"/>
    <col min="4" max="4" width="31.54296875" bestFit="1" customWidth="1"/>
    <col min="5" max="5" width="20.1796875" bestFit="1" customWidth="1"/>
    <col min="6" max="6" width="18.54296875" bestFit="1" customWidth="1"/>
    <col min="7" max="7" width="22.453125" bestFit="1" customWidth="1"/>
    <col min="8" max="8" width="21.54296875" bestFit="1" customWidth="1"/>
    <col min="9" max="9" width="32.453125" bestFit="1" customWidth="1"/>
    <col min="10" max="10" width="25.54296875" bestFit="1" customWidth="1"/>
    <col min="11" max="11" width="13.453125" bestFit="1" customWidth="1"/>
    <col min="12" max="12" width="11.81640625" bestFit="1" customWidth="1"/>
    <col min="13" max="13" width="17.1796875" bestFit="1" customWidth="1"/>
    <col min="14" max="14" width="11.453125" bestFit="1" customWidth="1"/>
  </cols>
  <sheetData>
    <row r="2" spans="2:14" ht="46">
      <c r="B2" s="682" t="s">
        <v>40</v>
      </c>
      <c r="C2" s="682"/>
      <c r="D2" s="682"/>
      <c r="E2" s="682"/>
      <c r="F2" s="682"/>
      <c r="G2" s="682"/>
      <c r="H2" s="682"/>
      <c r="I2" s="682"/>
      <c r="J2" s="682"/>
      <c r="K2" s="682"/>
      <c r="L2" s="682"/>
      <c r="M2" s="682"/>
      <c r="N2" s="682"/>
    </row>
    <row r="3" spans="2:14" ht="15.5">
      <c r="B3" s="2" t="s">
        <v>0</v>
      </c>
      <c r="C3" s="38" t="s">
        <v>1</v>
      </c>
      <c r="D3" s="38" t="s">
        <v>2</v>
      </c>
      <c r="E3" s="38" t="s">
        <v>3</v>
      </c>
      <c r="F3" s="38" t="s">
        <v>4</v>
      </c>
      <c r="G3" s="38" t="s">
        <v>6</v>
      </c>
      <c r="H3" s="38" t="s">
        <v>8</v>
      </c>
      <c r="I3" s="38" t="s">
        <v>9</v>
      </c>
      <c r="J3" s="74" t="s">
        <v>10</v>
      </c>
      <c r="K3" s="44" t="s">
        <v>293</v>
      </c>
      <c r="L3" s="74" t="s">
        <v>321</v>
      </c>
      <c r="M3" s="44" t="s">
        <v>327</v>
      </c>
      <c r="N3" s="38" t="s">
        <v>243</v>
      </c>
    </row>
    <row r="4" spans="2:14">
      <c r="B4" s="72">
        <v>1</v>
      </c>
      <c r="C4" s="66" t="s">
        <v>482</v>
      </c>
      <c r="D4" s="67">
        <v>503072963</v>
      </c>
      <c r="E4" s="5">
        <v>199</v>
      </c>
      <c r="F4" s="5" t="s">
        <v>12</v>
      </c>
      <c r="G4" s="42">
        <v>44652</v>
      </c>
      <c r="H4" s="5" t="s">
        <v>393</v>
      </c>
      <c r="I4" s="5" t="s">
        <v>1024</v>
      </c>
      <c r="J4" s="72" t="s">
        <v>483</v>
      </c>
      <c r="K4" s="5">
        <v>64121935</v>
      </c>
      <c r="L4" s="1"/>
      <c r="M4" s="1"/>
      <c r="N4" s="3">
        <v>100</v>
      </c>
    </row>
    <row r="5" spans="2:14">
      <c r="B5" s="72">
        <v>2</v>
      </c>
      <c r="C5" s="65" t="s">
        <v>484</v>
      </c>
      <c r="D5" s="5">
        <v>564347063</v>
      </c>
      <c r="E5" s="5">
        <v>199</v>
      </c>
      <c r="F5" s="5" t="s">
        <v>12</v>
      </c>
      <c r="G5" s="42">
        <v>44652</v>
      </c>
      <c r="H5" s="5" t="s">
        <v>393</v>
      </c>
      <c r="I5" s="5"/>
      <c r="J5" s="72" t="s">
        <v>485</v>
      </c>
      <c r="K5" s="5">
        <v>64124381</v>
      </c>
      <c r="L5" s="1"/>
      <c r="M5" s="1"/>
      <c r="N5" s="3">
        <v>100</v>
      </c>
    </row>
    <row r="6" spans="2:14">
      <c r="B6" s="72">
        <v>3</v>
      </c>
      <c r="C6" s="65" t="s">
        <v>486</v>
      </c>
      <c r="D6" s="5">
        <v>545695663</v>
      </c>
      <c r="E6" s="5">
        <v>199</v>
      </c>
      <c r="F6" s="5" t="s">
        <v>12</v>
      </c>
      <c r="G6" s="42">
        <v>44652</v>
      </c>
      <c r="H6" s="5" t="s">
        <v>393</v>
      </c>
      <c r="I6" s="5"/>
      <c r="J6" s="72" t="s">
        <v>487</v>
      </c>
      <c r="K6" s="5">
        <v>64131242</v>
      </c>
      <c r="L6" s="5" t="s">
        <v>644</v>
      </c>
      <c r="M6" s="1"/>
      <c r="N6" s="3">
        <v>100</v>
      </c>
    </row>
    <row r="7" spans="2:14">
      <c r="B7" s="72">
        <v>4</v>
      </c>
      <c r="C7" s="65" t="s">
        <v>488</v>
      </c>
      <c r="D7" s="5">
        <v>503072963</v>
      </c>
      <c r="E7" s="5">
        <v>199</v>
      </c>
      <c r="F7" s="5" t="s">
        <v>12</v>
      </c>
      <c r="G7" s="42">
        <v>44652</v>
      </c>
      <c r="H7" s="5" t="s">
        <v>393</v>
      </c>
      <c r="I7" s="5"/>
      <c r="J7" s="72" t="s">
        <v>489</v>
      </c>
      <c r="K7" s="5">
        <v>64133745</v>
      </c>
      <c r="L7" s="5" t="s">
        <v>644</v>
      </c>
      <c r="M7" s="1"/>
      <c r="N7" s="3">
        <v>100</v>
      </c>
    </row>
    <row r="8" spans="2:14">
      <c r="B8" s="72">
        <v>5</v>
      </c>
      <c r="C8" s="73" t="s">
        <v>490</v>
      </c>
      <c r="D8" s="5">
        <v>502797028</v>
      </c>
      <c r="E8" s="5">
        <v>199</v>
      </c>
      <c r="F8" s="5" t="s">
        <v>102</v>
      </c>
      <c r="G8" s="42">
        <v>44653</v>
      </c>
      <c r="H8" s="5" t="s">
        <v>393</v>
      </c>
      <c r="I8" s="5"/>
      <c r="J8" s="72" t="s">
        <v>491</v>
      </c>
      <c r="K8" s="5">
        <v>64158726</v>
      </c>
      <c r="L8" s="5"/>
      <c r="M8" s="1"/>
      <c r="N8" s="3">
        <v>100</v>
      </c>
    </row>
    <row r="9" spans="2:14">
      <c r="B9" s="72">
        <v>6</v>
      </c>
      <c r="C9" s="66" t="s">
        <v>492</v>
      </c>
      <c r="D9" s="5">
        <v>562091866</v>
      </c>
      <c r="E9" s="5">
        <v>199</v>
      </c>
      <c r="F9" s="5" t="s">
        <v>12</v>
      </c>
      <c r="G9" s="42">
        <v>44653</v>
      </c>
      <c r="H9" s="5" t="s">
        <v>393</v>
      </c>
      <c r="I9" s="5"/>
      <c r="J9" s="72" t="s">
        <v>493</v>
      </c>
      <c r="K9" s="5">
        <v>64194291</v>
      </c>
      <c r="L9" s="5" t="s">
        <v>386</v>
      </c>
      <c r="M9" s="1"/>
      <c r="N9" s="3">
        <v>100</v>
      </c>
    </row>
    <row r="10" spans="2:14">
      <c r="B10" s="72">
        <v>7</v>
      </c>
      <c r="C10" s="71" t="s">
        <v>635</v>
      </c>
      <c r="D10" s="5">
        <v>543890376</v>
      </c>
      <c r="E10" s="5">
        <v>199</v>
      </c>
      <c r="F10" s="5" t="s">
        <v>61</v>
      </c>
      <c r="G10" s="42">
        <v>44653</v>
      </c>
      <c r="H10" s="5" t="s">
        <v>393</v>
      </c>
      <c r="I10" s="5"/>
      <c r="J10" s="72"/>
      <c r="K10" s="5"/>
      <c r="L10" s="5"/>
      <c r="M10" s="1"/>
      <c r="N10" s="3">
        <v>100</v>
      </c>
    </row>
    <row r="11" spans="2:14">
      <c r="B11" s="72">
        <v>8</v>
      </c>
      <c r="C11" s="82" t="s">
        <v>494</v>
      </c>
      <c r="D11" s="81">
        <v>555200760</v>
      </c>
      <c r="E11" s="81">
        <v>199</v>
      </c>
      <c r="F11" s="81" t="s">
        <v>12</v>
      </c>
      <c r="G11" s="83">
        <v>44653</v>
      </c>
      <c r="H11" s="81" t="s">
        <v>393</v>
      </c>
      <c r="I11" s="81" t="s">
        <v>1164</v>
      </c>
      <c r="J11" s="84" t="s">
        <v>495</v>
      </c>
      <c r="K11" s="81">
        <v>64189824</v>
      </c>
      <c r="L11" s="81" t="s">
        <v>385</v>
      </c>
      <c r="M11" s="1"/>
      <c r="N11" s="3">
        <v>100</v>
      </c>
    </row>
    <row r="12" spans="2:14">
      <c r="B12" s="72">
        <v>9</v>
      </c>
      <c r="C12" s="66" t="s">
        <v>496</v>
      </c>
      <c r="D12" s="5">
        <v>508116039</v>
      </c>
      <c r="E12" s="5">
        <v>199</v>
      </c>
      <c r="F12" s="5" t="s">
        <v>12</v>
      </c>
      <c r="G12" s="42">
        <v>44654</v>
      </c>
      <c r="H12" s="5" t="s">
        <v>393</v>
      </c>
      <c r="I12" s="5" t="s">
        <v>1024</v>
      </c>
      <c r="J12" s="72" t="s">
        <v>497</v>
      </c>
      <c r="K12" s="5">
        <v>64195565</v>
      </c>
      <c r="L12" s="5"/>
      <c r="M12" s="1"/>
      <c r="N12" s="3">
        <v>100</v>
      </c>
    </row>
    <row r="13" spans="2:14">
      <c r="B13" s="72">
        <v>10</v>
      </c>
      <c r="C13" s="75" t="s">
        <v>498</v>
      </c>
      <c r="D13" s="76">
        <v>504592861</v>
      </c>
      <c r="E13" s="76" t="s">
        <v>499</v>
      </c>
      <c r="F13" s="76" t="s">
        <v>112</v>
      </c>
      <c r="G13" s="77">
        <v>44655</v>
      </c>
      <c r="H13" s="76" t="s">
        <v>393</v>
      </c>
      <c r="I13" s="76"/>
      <c r="J13" s="80" t="s">
        <v>500</v>
      </c>
      <c r="K13" s="76"/>
      <c r="L13" s="76" t="s">
        <v>386</v>
      </c>
      <c r="M13" s="1"/>
      <c r="N13" s="3">
        <v>150</v>
      </c>
    </row>
    <row r="14" spans="2:14">
      <c r="B14" s="72">
        <v>11</v>
      </c>
      <c r="C14" s="71" t="s">
        <v>636</v>
      </c>
      <c r="D14" s="5">
        <v>543768819</v>
      </c>
      <c r="E14" s="5">
        <v>199</v>
      </c>
      <c r="F14" s="5" t="s">
        <v>12</v>
      </c>
      <c r="G14" s="42">
        <v>44654</v>
      </c>
      <c r="H14" s="5" t="s">
        <v>393</v>
      </c>
      <c r="I14" s="5"/>
      <c r="J14" s="61">
        <v>1.4665862300000001</v>
      </c>
      <c r="K14" s="62">
        <v>64248415</v>
      </c>
      <c r="L14" s="5"/>
      <c r="M14" s="1"/>
      <c r="N14" s="3">
        <v>100</v>
      </c>
    </row>
    <row r="15" spans="2:14">
      <c r="B15" s="72">
        <v>12</v>
      </c>
      <c r="C15" s="65" t="s">
        <v>501</v>
      </c>
      <c r="D15" s="5">
        <v>505463503</v>
      </c>
      <c r="E15" s="5">
        <v>199</v>
      </c>
      <c r="F15" s="5" t="s">
        <v>12</v>
      </c>
      <c r="G15" s="42">
        <v>44655</v>
      </c>
      <c r="H15" s="5" t="s">
        <v>393</v>
      </c>
      <c r="I15" s="5"/>
      <c r="J15" s="72" t="s">
        <v>502</v>
      </c>
      <c r="K15" s="5">
        <v>64206221</v>
      </c>
      <c r="L15" s="5" t="s">
        <v>385</v>
      </c>
      <c r="M15" s="1"/>
      <c r="N15" s="3">
        <v>100</v>
      </c>
    </row>
    <row r="16" spans="2:14">
      <c r="B16" s="72">
        <v>13</v>
      </c>
      <c r="C16" s="65" t="s">
        <v>637</v>
      </c>
      <c r="D16" s="5">
        <v>527224406</v>
      </c>
      <c r="E16" s="5">
        <v>999</v>
      </c>
      <c r="F16" s="5" t="s">
        <v>112</v>
      </c>
      <c r="G16" s="42">
        <v>44655</v>
      </c>
      <c r="H16" s="5" t="s">
        <v>393</v>
      </c>
      <c r="I16" s="5"/>
      <c r="J16" s="72"/>
      <c r="K16" s="5"/>
      <c r="L16" s="5"/>
      <c r="M16" s="1"/>
      <c r="N16" s="3">
        <v>100</v>
      </c>
    </row>
    <row r="17" spans="2:14">
      <c r="B17" s="72">
        <v>14</v>
      </c>
      <c r="C17" s="65" t="s">
        <v>503</v>
      </c>
      <c r="D17" s="5">
        <v>554015348</v>
      </c>
      <c r="E17" s="5">
        <v>199</v>
      </c>
      <c r="F17" s="5" t="s">
        <v>12</v>
      </c>
      <c r="G17" s="42">
        <v>44655</v>
      </c>
      <c r="H17" s="5" t="s">
        <v>393</v>
      </c>
      <c r="I17" s="5"/>
      <c r="J17" s="72" t="s">
        <v>504</v>
      </c>
      <c r="K17" s="5">
        <v>64218842</v>
      </c>
      <c r="L17" s="5" t="s">
        <v>385</v>
      </c>
      <c r="M17" s="1"/>
      <c r="N17" s="3">
        <v>100</v>
      </c>
    </row>
    <row r="18" spans="2:14">
      <c r="B18" s="72">
        <v>15</v>
      </c>
      <c r="C18" s="66" t="s">
        <v>505</v>
      </c>
      <c r="D18" s="5">
        <v>556547544</v>
      </c>
      <c r="E18" s="5">
        <v>199</v>
      </c>
      <c r="F18" s="5" t="s">
        <v>12</v>
      </c>
      <c r="G18" s="42">
        <v>44655</v>
      </c>
      <c r="H18" s="5" t="s">
        <v>393</v>
      </c>
      <c r="I18" s="5"/>
      <c r="J18" s="72" t="s">
        <v>506</v>
      </c>
      <c r="K18" s="5">
        <v>64237268</v>
      </c>
      <c r="L18" s="5" t="s">
        <v>642</v>
      </c>
      <c r="M18" s="1"/>
      <c r="N18" s="3">
        <v>100</v>
      </c>
    </row>
    <row r="19" spans="2:14">
      <c r="B19" s="72">
        <v>16</v>
      </c>
      <c r="C19" s="66" t="s">
        <v>507</v>
      </c>
      <c r="D19" s="5">
        <v>557600523</v>
      </c>
      <c r="E19" s="5">
        <v>199</v>
      </c>
      <c r="F19" s="5" t="s">
        <v>12</v>
      </c>
      <c r="G19" s="42">
        <v>44655</v>
      </c>
      <c r="H19" s="5" t="s">
        <v>393</v>
      </c>
      <c r="I19" s="5"/>
      <c r="J19" s="72" t="s">
        <v>508</v>
      </c>
      <c r="K19" s="5">
        <v>64244829</v>
      </c>
      <c r="L19" s="5" t="s">
        <v>386</v>
      </c>
      <c r="M19" s="1"/>
      <c r="N19" s="3">
        <v>100</v>
      </c>
    </row>
    <row r="20" spans="2:14">
      <c r="B20" s="72">
        <v>17</v>
      </c>
      <c r="C20" s="66" t="s">
        <v>509</v>
      </c>
      <c r="D20" s="5">
        <v>543768819</v>
      </c>
      <c r="E20" s="5">
        <v>199</v>
      </c>
      <c r="F20" s="5" t="s">
        <v>61</v>
      </c>
      <c r="G20" s="42">
        <v>44657</v>
      </c>
      <c r="H20" s="5" t="s">
        <v>393</v>
      </c>
      <c r="I20" s="5" t="s">
        <v>1266</v>
      </c>
      <c r="J20" s="72" t="s">
        <v>510</v>
      </c>
      <c r="K20" s="5">
        <v>64248415</v>
      </c>
      <c r="L20" s="5"/>
      <c r="M20" s="1"/>
      <c r="N20" s="3">
        <v>100</v>
      </c>
    </row>
    <row r="21" spans="2:14">
      <c r="B21" s="72">
        <v>18</v>
      </c>
      <c r="C21" s="71" t="s">
        <v>511</v>
      </c>
      <c r="D21" s="67">
        <v>565698013</v>
      </c>
      <c r="E21" s="5">
        <v>199</v>
      </c>
      <c r="F21" s="5" t="s">
        <v>12</v>
      </c>
      <c r="G21" s="42">
        <v>44658</v>
      </c>
      <c r="H21" s="5" t="s">
        <v>393</v>
      </c>
      <c r="I21" s="5"/>
      <c r="J21" s="59">
        <v>1.4668704299999999</v>
      </c>
      <c r="K21" s="5">
        <v>64295437</v>
      </c>
      <c r="L21" s="5"/>
      <c r="M21" s="1"/>
      <c r="N21" s="3">
        <v>100</v>
      </c>
    </row>
    <row r="22" spans="2:14">
      <c r="B22" s="72">
        <v>19</v>
      </c>
      <c r="C22" s="70" t="s">
        <v>512</v>
      </c>
      <c r="D22" s="67">
        <v>589959104</v>
      </c>
      <c r="E22" s="5">
        <v>199</v>
      </c>
      <c r="F22" s="5" t="s">
        <v>112</v>
      </c>
      <c r="G22" s="42">
        <v>44658</v>
      </c>
      <c r="H22" s="5" t="s">
        <v>393</v>
      </c>
      <c r="I22" s="5" t="s">
        <v>1024</v>
      </c>
      <c r="J22" s="72" t="s">
        <v>513</v>
      </c>
      <c r="K22" s="62"/>
      <c r="L22" s="5" t="s">
        <v>386</v>
      </c>
      <c r="M22" s="1"/>
      <c r="N22" s="3">
        <v>100</v>
      </c>
    </row>
    <row r="23" spans="2:14">
      <c r="B23" s="72">
        <v>20</v>
      </c>
      <c r="C23" s="66" t="s">
        <v>514</v>
      </c>
      <c r="D23" s="5">
        <v>559806849</v>
      </c>
      <c r="E23" s="5">
        <v>199</v>
      </c>
      <c r="F23" s="5" t="s">
        <v>12</v>
      </c>
      <c r="G23" s="42">
        <v>44659</v>
      </c>
      <c r="H23" s="5" t="s">
        <v>393</v>
      </c>
      <c r="I23" s="5" t="s">
        <v>1024</v>
      </c>
      <c r="J23" s="72">
        <v>784197781438375</v>
      </c>
      <c r="K23" s="5">
        <v>64302747</v>
      </c>
      <c r="L23" s="5" t="s">
        <v>385</v>
      </c>
      <c r="M23" s="1"/>
      <c r="N23" s="3">
        <v>100</v>
      </c>
    </row>
    <row r="24" spans="2:14">
      <c r="B24" s="72">
        <v>21</v>
      </c>
      <c r="C24" s="66" t="s">
        <v>515</v>
      </c>
      <c r="D24" s="67">
        <v>544743359</v>
      </c>
      <c r="E24" s="5">
        <v>199</v>
      </c>
      <c r="F24" s="5" t="s">
        <v>12</v>
      </c>
      <c r="G24" s="42">
        <v>44659</v>
      </c>
      <c r="H24" s="5" t="s">
        <v>393</v>
      </c>
      <c r="I24" s="5" t="s">
        <v>1266</v>
      </c>
      <c r="J24" s="72" t="s">
        <v>516</v>
      </c>
      <c r="K24" s="67">
        <v>64307625</v>
      </c>
      <c r="L24" s="5" t="s">
        <v>641</v>
      </c>
      <c r="M24" s="1"/>
      <c r="N24" s="3">
        <v>100</v>
      </c>
    </row>
    <row r="25" spans="2:14">
      <c r="B25" s="72">
        <v>22</v>
      </c>
      <c r="C25" s="66" t="s">
        <v>517</v>
      </c>
      <c r="D25" s="67">
        <v>506472937</v>
      </c>
      <c r="E25" s="5">
        <v>199</v>
      </c>
      <c r="F25" s="5" t="s">
        <v>12</v>
      </c>
      <c r="G25" s="42">
        <v>44659</v>
      </c>
      <c r="H25" s="5" t="s">
        <v>393</v>
      </c>
      <c r="I25" s="5"/>
      <c r="J25" s="72" t="s">
        <v>518</v>
      </c>
      <c r="K25" s="5">
        <v>64312594</v>
      </c>
      <c r="L25" s="5"/>
      <c r="M25" s="1"/>
      <c r="N25" s="3">
        <v>100</v>
      </c>
    </row>
    <row r="26" spans="2:14">
      <c r="B26" s="72">
        <v>23</v>
      </c>
      <c r="C26" s="66" t="s">
        <v>519</v>
      </c>
      <c r="D26" s="67">
        <v>558688866</v>
      </c>
      <c r="E26" s="5">
        <v>199</v>
      </c>
      <c r="F26" s="5" t="s">
        <v>12</v>
      </c>
      <c r="G26" s="42">
        <v>44659</v>
      </c>
      <c r="H26" s="5" t="s">
        <v>393</v>
      </c>
      <c r="I26" s="5"/>
      <c r="J26" s="72" t="s">
        <v>520</v>
      </c>
      <c r="K26" s="5">
        <v>64320530</v>
      </c>
      <c r="L26" s="5" t="s">
        <v>643</v>
      </c>
      <c r="M26" s="1"/>
      <c r="N26" s="3">
        <v>100</v>
      </c>
    </row>
    <row r="27" spans="2:14">
      <c r="B27" s="72">
        <v>24</v>
      </c>
      <c r="C27" s="65" t="s">
        <v>521</v>
      </c>
      <c r="D27" s="5">
        <v>501268312</v>
      </c>
      <c r="E27" s="5">
        <v>199</v>
      </c>
      <c r="F27" s="5" t="s">
        <v>12</v>
      </c>
      <c r="G27" s="42">
        <v>44660</v>
      </c>
      <c r="H27" s="5" t="s">
        <v>393</v>
      </c>
      <c r="I27" s="5"/>
      <c r="J27" s="72" t="s">
        <v>522</v>
      </c>
      <c r="K27" s="5">
        <v>64344859</v>
      </c>
      <c r="L27" s="5" t="s">
        <v>643</v>
      </c>
      <c r="M27" s="1"/>
      <c r="N27" s="3">
        <v>100</v>
      </c>
    </row>
    <row r="28" spans="2:14">
      <c r="B28" s="72">
        <v>25</v>
      </c>
      <c r="C28" s="85" t="s">
        <v>523</v>
      </c>
      <c r="D28" s="86">
        <v>545360395</v>
      </c>
      <c r="E28" s="81">
        <v>199</v>
      </c>
      <c r="F28" s="81" t="s">
        <v>12</v>
      </c>
      <c r="G28" s="83">
        <v>44660</v>
      </c>
      <c r="H28" s="81" t="s">
        <v>393</v>
      </c>
      <c r="I28" s="81" t="s">
        <v>1164</v>
      </c>
      <c r="J28" s="84" t="s">
        <v>524</v>
      </c>
      <c r="K28" s="81">
        <v>64374571</v>
      </c>
      <c r="L28" s="81" t="s">
        <v>642</v>
      </c>
      <c r="M28" s="1"/>
      <c r="N28" s="3">
        <v>100</v>
      </c>
    </row>
    <row r="29" spans="2:14">
      <c r="B29" s="72">
        <v>26</v>
      </c>
      <c r="C29" s="65" t="s">
        <v>525</v>
      </c>
      <c r="D29" s="5">
        <v>507249160</v>
      </c>
      <c r="E29" s="5">
        <v>199</v>
      </c>
      <c r="F29" s="5" t="s">
        <v>12</v>
      </c>
      <c r="G29" s="42">
        <v>44661</v>
      </c>
      <c r="H29" s="5" t="s">
        <v>393</v>
      </c>
      <c r="I29" s="5" t="s">
        <v>1024</v>
      </c>
      <c r="J29" s="72" t="s">
        <v>526</v>
      </c>
      <c r="K29" s="5">
        <v>64380249</v>
      </c>
      <c r="L29" s="5"/>
      <c r="M29" s="1"/>
      <c r="N29" s="3">
        <v>100</v>
      </c>
    </row>
    <row r="30" spans="2:14">
      <c r="B30" s="72">
        <v>27</v>
      </c>
      <c r="C30" s="66" t="s">
        <v>527</v>
      </c>
      <c r="D30" s="67">
        <v>551971021</v>
      </c>
      <c r="E30" s="5">
        <v>199</v>
      </c>
      <c r="F30" s="5" t="s">
        <v>12</v>
      </c>
      <c r="G30" s="42">
        <v>44661</v>
      </c>
      <c r="H30" s="5" t="s">
        <v>393</v>
      </c>
      <c r="I30" s="5" t="s">
        <v>1024</v>
      </c>
      <c r="J30" s="72" t="s">
        <v>528</v>
      </c>
      <c r="K30" s="5">
        <v>64382750</v>
      </c>
      <c r="L30" s="5" t="s">
        <v>642</v>
      </c>
      <c r="M30" s="1"/>
      <c r="N30" s="3">
        <v>100</v>
      </c>
    </row>
    <row r="31" spans="2:14">
      <c r="B31" s="72">
        <v>28</v>
      </c>
      <c r="C31" s="66" t="s">
        <v>529</v>
      </c>
      <c r="D31" s="67">
        <v>585908685</v>
      </c>
      <c r="E31" s="5">
        <v>199</v>
      </c>
      <c r="F31" s="5" t="s">
        <v>12</v>
      </c>
      <c r="G31" s="42">
        <v>44661</v>
      </c>
      <c r="H31" s="5" t="s">
        <v>393</v>
      </c>
      <c r="I31" s="5"/>
      <c r="J31" s="72" t="s">
        <v>530</v>
      </c>
      <c r="K31" s="5">
        <v>64384845</v>
      </c>
      <c r="L31" s="5"/>
      <c r="M31" s="1"/>
      <c r="N31" s="3">
        <v>100</v>
      </c>
    </row>
    <row r="32" spans="2:14">
      <c r="B32" s="72">
        <v>29</v>
      </c>
      <c r="C32" s="66" t="s">
        <v>531</v>
      </c>
      <c r="D32" s="67">
        <v>509455254</v>
      </c>
      <c r="E32" s="5">
        <v>199</v>
      </c>
      <c r="F32" s="5" t="s">
        <v>12</v>
      </c>
      <c r="G32" s="42">
        <v>44661</v>
      </c>
      <c r="H32" s="5" t="s">
        <v>393</v>
      </c>
      <c r="I32" s="5"/>
      <c r="J32" s="72" t="s">
        <v>532</v>
      </c>
      <c r="K32" s="5">
        <v>64386511</v>
      </c>
      <c r="L32" s="5" t="s">
        <v>641</v>
      </c>
      <c r="M32" s="1"/>
      <c r="N32" s="3">
        <v>100</v>
      </c>
    </row>
    <row r="33" spans="2:14">
      <c r="B33" s="72">
        <v>30</v>
      </c>
      <c r="C33" s="66" t="s">
        <v>533</v>
      </c>
      <c r="D33" s="67">
        <v>569708817</v>
      </c>
      <c r="E33" s="5">
        <v>199</v>
      </c>
      <c r="F33" s="5" t="s">
        <v>12</v>
      </c>
      <c r="G33" s="42">
        <v>44662</v>
      </c>
      <c r="H33" s="5" t="s">
        <v>393</v>
      </c>
      <c r="I33" s="5"/>
      <c r="J33" s="72" t="s">
        <v>534</v>
      </c>
      <c r="K33" s="5"/>
      <c r="L33" s="5" t="s">
        <v>386</v>
      </c>
      <c r="M33" s="1"/>
      <c r="N33" s="3">
        <v>100</v>
      </c>
    </row>
    <row r="34" spans="2:14">
      <c r="B34" s="72">
        <v>31</v>
      </c>
      <c r="C34" s="66" t="s">
        <v>535</v>
      </c>
      <c r="D34" s="67">
        <v>557671372</v>
      </c>
      <c r="E34" s="5">
        <v>199</v>
      </c>
      <c r="F34" s="5" t="s">
        <v>102</v>
      </c>
      <c r="G34" s="42">
        <v>44662</v>
      </c>
      <c r="H34" s="5" t="s">
        <v>393</v>
      </c>
      <c r="I34" s="5"/>
      <c r="J34" s="72" t="s">
        <v>536</v>
      </c>
      <c r="K34" s="5">
        <v>64383630</v>
      </c>
      <c r="L34" s="5"/>
      <c r="M34" s="1"/>
      <c r="N34" s="3">
        <v>100</v>
      </c>
    </row>
    <row r="35" spans="2:14">
      <c r="B35" s="72">
        <v>32</v>
      </c>
      <c r="C35" s="66" t="s">
        <v>537</v>
      </c>
      <c r="D35" s="67">
        <v>589912675</v>
      </c>
      <c r="E35" s="5">
        <v>199</v>
      </c>
      <c r="F35" s="5" t="s">
        <v>12</v>
      </c>
      <c r="G35" s="42">
        <v>44662</v>
      </c>
      <c r="H35" s="5" t="s">
        <v>393</v>
      </c>
      <c r="I35" s="5" t="s">
        <v>1024</v>
      </c>
      <c r="J35" s="72" t="s">
        <v>538</v>
      </c>
      <c r="K35" s="5">
        <v>64451548</v>
      </c>
      <c r="L35" s="5" t="s">
        <v>643</v>
      </c>
      <c r="M35" s="1"/>
      <c r="N35" s="3">
        <v>100</v>
      </c>
    </row>
    <row r="36" spans="2:14">
      <c r="B36" s="72">
        <v>33</v>
      </c>
      <c r="C36" s="66" t="s">
        <v>539</v>
      </c>
      <c r="D36" s="67">
        <v>545977643</v>
      </c>
      <c r="E36" s="5">
        <v>199</v>
      </c>
      <c r="F36" s="5" t="s">
        <v>12</v>
      </c>
      <c r="G36" s="42">
        <v>44662</v>
      </c>
      <c r="H36" s="5" t="s">
        <v>393</v>
      </c>
      <c r="I36" s="5" t="s">
        <v>1024</v>
      </c>
      <c r="J36" s="72" t="s">
        <v>540</v>
      </c>
      <c r="K36" s="5"/>
      <c r="L36" s="5"/>
      <c r="M36" s="1"/>
      <c r="N36" s="3">
        <v>100</v>
      </c>
    </row>
    <row r="37" spans="2:14">
      <c r="B37" s="72">
        <v>34</v>
      </c>
      <c r="C37" s="82" t="s">
        <v>541</v>
      </c>
      <c r="D37" s="86">
        <v>559478034</v>
      </c>
      <c r="E37" s="81">
        <v>199</v>
      </c>
      <c r="F37" s="81" t="s">
        <v>12</v>
      </c>
      <c r="G37" s="83">
        <v>44665</v>
      </c>
      <c r="H37" s="81" t="s">
        <v>393</v>
      </c>
      <c r="I37" s="81" t="s">
        <v>1164</v>
      </c>
      <c r="J37" s="84" t="s">
        <v>542</v>
      </c>
      <c r="K37" s="81">
        <v>64487648</v>
      </c>
      <c r="L37" s="81" t="s">
        <v>386</v>
      </c>
      <c r="M37" s="1"/>
      <c r="N37" s="3">
        <v>100</v>
      </c>
    </row>
    <row r="38" spans="2:14">
      <c r="B38" s="72">
        <v>35</v>
      </c>
      <c r="C38" s="68" t="s">
        <v>543</v>
      </c>
      <c r="D38" s="67">
        <v>555954100</v>
      </c>
      <c r="E38" s="5">
        <v>199</v>
      </c>
      <c r="F38" s="5" t="s">
        <v>12</v>
      </c>
      <c r="G38" s="42">
        <v>44665</v>
      </c>
      <c r="H38" s="5" t="s">
        <v>393</v>
      </c>
      <c r="I38" s="5"/>
      <c r="J38" s="72" t="s">
        <v>544</v>
      </c>
      <c r="K38" s="5">
        <v>64489399</v>
      </c>
      <c r="L38" s="5" t="s">
        <v>643</v>
      </c>
      <c r="M38" s="1"/>
      <c r="N38" s="3">
        <v>100</v>
      </c>
    </row>
    <row r="39" spans="2:14">
      <c r="B39" s="72">
        <v>36</v>
      </c>
      <c r="C39" s="68" t="s">
        <v>545</v>
      </c>
      <c r="D39" s="67">
        <v>501027484</v>
      </c>
      <c r="E39" s="5">
        <v>199</v>
      </c>
      <c r="F39" s="5" t="s">
        <v>12</v>
      </c>
      <c r="G39" s="42">
        <v>44665</v>
      </c>
      <c r="H39" s="5" t="s">
        <v>393</v>
      </c>
      <c r="I39" s="5" t="s">
        <v>1024</v>
      </c>
      <c r="J39" s="72" t="s">
        <v>546</v>
      </c>
      <c r="K39" s="5">
        <v>64508769</v>
      </c>
      <c r="L39" s="5" t="s">
        <v>643</v>
      </c>
      <c r="M39" s="1"/>
      <c r="N39" s="3">
        <v>100</v>
      </c>
    </row>
    <row r="40" spans="2:14">
      <c r="B40" s="72">
        <v>37</v>
      </c>
      <c r="C40" s="66" t="s">
        <v>547</v>
      </c>
      <c r="D40" s="67">
        <v>506890558</v>
      </c>
      <c r="E40" s="5">
        <v>199</v>
      </c>
      <c r="F40" s="5" t="s">
        <v>12</v>
      </c>
      <c r="G40" s="42">
        <v>44667</v>
      </c>
      <c r="H40" s="5" t="s">
        <v>393</v>
      </c>
      <c r="I40" s="5"/>
      <c r="J40" s="72" t="s">
        <v>548</v>
      </c>
      <c r="K40" s="5">
        <v>64546450</v>
      </c>
      <c r="L40" s="5" t="s">
        <v>643</v>
      </c>
      <c r="M40" s="1"/>
      <c r="N40" s="3">
        <v>100</v>
      </c>
    </row>
    <row r="41" spans="2:14">
      <c r="B41" s="72">
        <v>38</v>
      </c>
      <c r="C41" s="82" t="s">
        <v>549</v>
      </c>
      <c r="D41" s="86">
        <v>506323545</v>
      </c>
      <c r="E41" s="81">
        <v>199</v>
      </c>
      <c r="F41" s="81" t="s">
        <v>12</v>
      </c>
      <c r="G41" s="83">
        <v>44667</v>
      </c>
      <c r="H41" s="81" t="s">
        <v>393</v>
      </c>
      <c r="I41" s="81" t="s">
        <v>1164</v>
      </c>
      <c r="J41" s="84" t="s">
        <v>550</v>
      </c>
      <c r="K41" s="81">
        <v>64558336</v>
      </c>
      <c r="L41" s="81" t="s">
        <v>383</v>
      </c>
      <c r="M41" s="1"/>
      <c r="N41" s="3">
        <v>100</v>
      </c>
    </row>
    <row r="42" spans="2:14">
      <c r="B42" s="72">
        <v>39</v>
      </c>
      <c r="C42" s="66" t="s">
        <v>551</v>
      </c>
      <c r="D42" s="67">
        <v>553344265</v>
      </c>
      <c r="E42" s="5">
        <v>199</v>
      </c>
      <c r="F42" s="5" t="s">
        <v>12</v>
      </c>
      <c r="G42" s="42">
        <v>44668</v>
      </c>
      <c r="H42" s="5" t="s">
        <v>393</v>
      </c>
      <c r="I42" s="5" t="s">
        <v>1024</v>
      </c>
      <c r="J42" s="72" t="s">
        <v>552</v>
      </c>
      <c r="K42" s="5">
        <v>64561683</v>
      </c>
      <c r="L42" s="5"/>
      <c r="M42" s="1"/>
      <c r="N42" s="3">
        <v>100</v>
      </c>
    </row>
    <row r="43" spans="2:14">
      <c r="B43" s="72">
        <v>40</v>
      </c>
      <c r="C43" s="66" t="s">
        <v>553</v>
      </c>
      <c r="D43" s="67">
        <v>569507067</v>
      </c>
      <c r="E43" s="5">
        <v>199</v>
      </c>
      <c r="F43" s="5" t="s">
        <v>12</v>
      </c>
      <c r="G43" s="42">
        <v>44668</v>
      </c>
      <c r="H43" s="5" t="s">
        <v>393</v>
      </c>
      <c r="I43" s="5"/>
      <c r="J43" s="72" t="s">
        <v>554</v>
      </c>
      <c r="K43" s="5"/>
      <c r="L43" s="5" t="s">
        <v>641</v>
      </c>
      <c r="M43" s="1"/>
      <c r="N43" s="3">
        <v>100</v>
      </c>
    </row>
    <row r="44" spans="2:14">
      <c r="B44" s="72">
        <v>41</v>
      </c>
      <c r="C44" s="66" t="s">
        <v>555</v>
      </c>
      <c r="D44" s="67">
        <v>505548760</v>
      </c>
      <c r="E44" s="5">
        <v>199</v>
      </c>
      <c r="F44" s="5" t="s">
        <v>12</v>
      </c>
      <c r="G44" s="42">
        <v>44668</v>
      </c>
      <c r="H44" s="5" t="s">
        <v>393</v>
      </c>
      <c r="I44" s="5"/>
      <c r="J44" s="72" t="s">
        <v>556</v>
      </c>
      <c r="K44" s="5">
        <v>64576799</v>
      </c>
      <c r="L44" s="5" t="s">
        <v>642</v>
      </c>
      <c r="M44" s="1"/>
      <c r="N44" s="3">
        <v>100</v>
      </c>
    </row>
    <row r="45" spans="2:14">
      <c r="B45" s="72">
        <v>42</v>
      </c>
      <c r="C45" s="66" t="s">
        <v>557</v>
      </c>
      <c r="D45" s="67">
        <v>545642755</v>
      </c>
      <c r="E45" s="5">
        <v>199</v>
      </c>
      <c r="F45" s="5" t="s">
        <v>12</v>
      </c>
      <c r="G45" s="42">
        <v>44670</v>
      </c>
      <c r="H45" s="5" t="s">
        <v>393</v>
      </c>
      <c r="I45" s="5"/>
      <c r="J45" s="72" t="s">
        <v>558</v>
      </c>
      <c r="K45" s="5">
        <v>64613304</v>
      </c>
      <c r="L45" s="5" t="s">
        <v>385</v>
      </c>
      <c r="M45" s="1"/>
      <c r="N45" s="3">
        <v>100</v>
      </c>
    </row>
    <row r="46" spans="2:14">
      <c r="B46" s="72">
        <v>43</v>
      </c>
      <c r="C46" s="66" t="s">
        <v>559</v>
      </c>
      <c r="D46" s="67">
        <v>556177693</v>
      </c>
      <c r="E46" s="5">
        <v>199</v>
      </c>
      <c r="F46" s="5" t="s">
        <v>12</v>
      </c>
      <c r="G46" s="42">
        <v>44670</v>
      </c>
      <c r="H46" s="5" t="s">
        <v>393</v>
      </c>
      <c r="I46" s="5"/>
      <c r="J46" s="72" t="s">
        <v>560</v>
      </c>
      <c r="K46" s="5">
        <v>64620875</v>
      </c>
      <c r="L46" s="5" t="s">
        <v>386</v>
      </c>
      <c r="M46" s="1"/>
      <c r="N46" s="3">
        <v>100</v>
      </c>
    </row>
    <row r="47" spans="2:14">
      <c r="B47" s="72">
        <v>44</v>
      </c>
      <c r="C47" s="66" t="s">
        <v>561</v>
      </c>
      <c r="D47" s="67">
        <v>565845829</v>
      </c>
      <c r="E47" s="5">
        <v>199</v>
      </c>
      <c r="F47" s="5" t="s">
        <v>12</v>
      </c>
      <c r="G47" s="42">
        <v>44670</v>
      </c>
      <c r="H47" s="5" t="s">
        <v>393</v>
      </c>
      <c r="I47" s="5"/>
      <c r="J47" s="72" t="s">
        <v>562</v>
      </c>
      <c r="K47" s="5">
        <v>64627343</v>
      </c>
      <c r="L47" s="5" t="s">
        <v>386</v>
      </c>
      <c r="M47" s="1"/>
      <c r="N47" s="3">
        <v>100</v>
      </c>
    </row>
    <row r="48" spans="2:14">
      <c r="B48" s="72">
        <v>45</v>
      </c>
      <c r="C48" s="66" t="s">
        <v>563</v>
      </c>
      <c r="D48" s="67">
        <v>505413150</v>
      </c>
      <c r="E48" s="5">
        <v>199</v>
      </c>
      <c r="F48" s="5" t="s">
        <v>12</v>
      </c>
      <c r="G48" s="42">
        <v>44670</v>
      </c>
      <c r="H48" s="5" t="s">
        <v>393</v>
      </c>
      <c r="I48" s="5"/>
      <c r="J48" s="72" t="s">
        <v>564</v>
      </c>
      <c r="K48" s="5">
        <v>64628622</v>
      </c>
      <c r="L48" s="5" t="s">
        <v>385</v>
      </c>
      <c r="M48" s="1"/>
      <c r="N48" s="3">
        <v>100</v>
      </c>
    </row>
    <row r="49" spans="2:14">
      <c r="B49" s="72">
        <v>46</v>
      </c>
      <c r="C49" s="66" t="s">
        <v>565</v>
      </c>
      <c r="D49" s="67">
        <v>557812679</v>
      </c>
      <c r="E49" s="5">
        <v>199</v>
      </c>
      <c r="F49" s="5" t="s">
        <v>12</v>
      </c>
      <c r="G49" s="42">
        <v>44670</v>
      </c>
      <c r="H49" s="5" t="s">
        <v>393</v>
      </c>
      <c r="I49" s="5"/>
      <c r="J49" s="72" t="s">
        <v>566</v>
      </c>
      <c r="K49" s="5">
        <v>64645979</v>
      </c>
      <c r="L49" s="5" t="s">
        <v>385</v>
      </c>
      <c r="M49" s="1"/>
      <c r="N49" s="3">
        <v>100</v>
      </c>
    </row>
    <row r="50" spans="2:14">
      <c r="B50" s="72">
        <v>47</v>
      </c>
      <c r="C50" s="66" t="s">
        <v>567</v>
      </c>
      <c r="D50" s="67">
        <v>503582403</v>
      </c>
      <c r="E50" s="5">
        <v>199</v>
      </c>
      <c r="F50" s="5" t="s">
        <v>20</v>
      </c>
      <c r="G50" s="42">
        <v>44671</v>
      </c>
      <c r="H50" s="5" t="s">
        <v>393</v>
      </c>
      <c r="I50" s="5"/>
      <c r="J50" s="72" t="s">
        <v>568</v>
      </c>
      <c r="K50" s="5">
        <v>64640547</v>
      </c>
      <c r="L50" s="5" t="s">
        <v>386</v>
      </c>
      <c r="M50" s="1"/>
      <c r="N50" s="3">
        <v>100</v>
      </c>
    </row>
    <row r="51" spans="2:14">
      <c r="B51" s="72">
        <v>48</v>
      </c>
      <c r="C51" s="66" t="s">
        <v>569</v>
      </c>
      <c r="D51" s="67">
        <v>551904690</v>
      </c>
      <c r="E51" s="5">
        <v>199</v>
      </c>
      <c r="F51" s="5" t="s">
        <v>12</v>
      </c>
      <c r="G51" s="42">
        <v>44671</v>
      </c>
      <c r="H51" s="5" t="s">
        <v>393</v>
      </c>
      <c r="I51" s="5" t="s">
        <v>1024</v>
      </c>
      <c r="J51" s="72" t="s">
        <v>570</v>
      </c>
      <c r="K51" s="5">
        <v>64682187</v>
      </c>
      <c r="L51" s="5" t="s">
        <v>641</v>
      </c>
      <c r="M51" s="1"/>
      <c r="N51" s="3">
        <v>100</v>
      </c>
    </row>
    <row r="52" spans="2:14">
      <c r="B52" s="72">
        <v>49</v>
      </c>
      <c r="C52" s="66" t="s">
        <v>638</v>
      </c>
      <c r="D52" s="67">
        <v>586630691</v>
      </c>
      <c r="E52" s="5">
        <v>199</v>
      </c>
      <c r="F52" s="5" t="s">
        <v>102</v>
      </c>
      <c r="G52" s="42">
        <v>44671</v>
      </c>
      <c r="H52" s="5" t="s">
        <v>393</v>
      </c>
      <c r="I52" s="5" t="s">
        <v>1266</v>
      </c>
      <c r="J52" s="72"/>
      <c r="K52" s="5"/>
      <c r="L52" s="5"/>
      <c r="M52" s="1"/>
      <c r="N52" s="3">
        <v>100</v>
      </c>
    </row>
    <row r="53" spans="2:14">
      <c r="B53" s="72">
        <v>50</v>
      </c>
      <c r="C53" s="66" t="s">
        <v>571</v>
      </c>
      <c r="D53" s="67">
        <v>528628117</v>
      </c>
      <c r="E53" s="5">
        <v>199</v>
      </c>
      <c r="F53" s="5" t="s">
        <v>12</v>
      </c>
      <c r="G53" s="42">
        <v>44671</v>
      </c>
      <c r="H53" s="5" t="s">
        <v>393</v>
      </c>
      <c r="I53" s="5" t="s">
        <v>1266</v>
      </c>
      <c r="J53" s="72" t="s">
        <v>572</v>
      </c>
      <c r="K53" s="5">
        <v>64683724</v>
      </c>
      <c r="L53" s="5" t="s">
        <v>643</v>
      </c>
      <c r="M53" s="1"/>
      <c r="N53" s="3">
        <v>100</v>
      </c>
    </row>
    <row r="54" spans="2:14">
      <c r="B54" s="72">
        <v>51</v>
      </c>
      <c r="C54" s="66" t="s">
        <v>573</v>
      </c>
      <c r="D54" s="67">
        <v>509802186</v>
      </c>
      <c r="E54" s="5">
        <v>199</v>
      </c>
      <c r="F54" s="5" t="s">
        <v>12</v>
      </c>
      <c r="G54" s="42">
        <v>44671</v>
      </c>
      <c r="H54" s="5" t="s">
        <v>393</v>
      </c>
      <c r="I54" s="5"/>
      <c r="J54" s="72" t="s">
        <v>574</v>
      </c>
      <c r="K54" s="5">
        <v>64694364</v>
      </c>
      <c r="L54" s="5" t="s">
        <v>641</v>
      </c>
      <c r="M54" s="1"/>
      <c r="N54" s="3">
        <v>100</v>
      </c>
    </row>
    <row r="55" spans="2:14">
      <c r="B55" s="72">
        <v>52</v>
      </c>
      <c r="C55" s="66" t="s">
        <v>575</v>
      </c>
      <c r="D55" s="67">
        <v>557535184</v>
      </c>
      <c r="E55" s="5">
        <v>199</v>
      </c>
      <c r="F55" s="5" t="s">
        <v>12</v>
      </c>
      <c r="G55" s="42">
        <v>44673</v>
      </c>
      <c r="H55" s="5" t="s">
        <v>393</v>
      </c>
      <c r="I55" s="5"/>
      <c r="J55" s="72" t="s">
        <v>576</v>
      </c>
      <c r="K55" s="5">
        <v>64696442</v>
      </c>
      <c r="L55" s="5" t="s">
        <v>385</v>
      </c>
      <c r="M55" s="1"/>
      <c r="N55" s="3">
        <v>100</v>
      </c>
    </row>
    <row r="56" spans="2:14">
      <c r="B56" s="72">
        <v>53</v>
      </c>
      <c r="C56" s="65" t="s">
        <v>577</v>
      </c>
      <c r="D56" s="5">
        <v>589658958</v>
      </c>
      <c r="E56" s="5">
        <v>199</v>
      </c>
      <c r="F56" s="5" t="s">
        <v>12</v>
      </c>
      <c r="G56" s="42">
        <v>44673</v>
      </c>
      <c r="H56" s="5" t="s">
        <v>393</v>
      </c>
      <c r="I56" s="5"/>
      <c r="J56" s="72" t="s">
        <v>578</v>
      </c>
      <c r="K56" s="5">
        <v>64698314</v>
      </c>
      <c r="L56" s="5" t="s">
        <v>642</v>
      </c>
      <c r="M56" s="1"/>
      <c r="N56" s="3">
        <v>100</v>
      </c>
    </row>
    <row r="57" spans="2:14">
      <c r="B57" s="72">
        <v>54</v>
      </c>
      <c r="C57" s="64" t="s">
        <v>579</v>
      </c>
      <c r="D57" s="5">
        <v>509409182</v>
      </c>
      <c r="E57" s="5">
        <v>199</v>
      </c>
      <c r="F57" s="5" t="s">
        <v>12</v>
      </c>
      <c r="G57" s="42">
        <v>44675</v>
      </c>
      <c r="H57" s="5" t="s">
        <v>393</v>
      </c>
      <c r="I57" s="5"/>
      <c r="J57" s="72" t="s">
        <v>580</v>
      </c>
      <c r="K57" s="5">
        <v>64741907</v>
      </c>
      <c r="L57" s="5" t="s">
        <v>386</v>
      </c>
      <c r="M57" s="1"/>
      <c r="N57" s="3">
        <v>100</v>
      </c>
    </row>
    <row r="58" spans="2:14">
      <c r="B58" s="72">
        <v>55</v>
      </c>
      <c r="C58" s="69" t="s">
        <v>581</v>
      </c>
      <c r="D58" s="3">
        <v>568427919</v>
      </c>
      <c r="E58" s="5">
        <v>199</v>
      </c>
      <c r="F58" s="5" t="s">
        <v>12</v>
      </c>
      <c r="G58" s="42">
        <v>44675</v>
      </c>
      <c r="H58" s="5" t="s">
        <v>393</v>
      </c>
      <c r="I58" s="5"/>
      <c r="J58" s="72" t="s">
        <v>582</v>
      </c>
      <c r="K58" s="5">
        <v>64744229</v>
      </c>
      <c r="L58" s="5"/>
      <c r="M58" s="1"/>
      <c r="N58" s="3">
        <v>100</v>
      </c>
    </row>
    <row r="59" spans="2:14">
      <c r="B59" s="72">
        <v>56</v>
      </c>
      <c r="C59" s="69" t="s">
        <v>583</v>
      </c>
      <c r="D59" s="5">
        <v>509454907</v>
      </c>
      <c r="E59" s="5">
        <v>199</v>
      </c>
      <c r="F59" s="5" t="s">
        <v>12</v>
      </c>
      <c r="G59" s="42">
        <v>44675</v>
      </c>
      <c r="H59" s="5" t="s">
        <v>393</v>
      </c>
      <c r="I59" s="5"/>
      <c r="J59" s="72" t="s">
        <v>584</v>
      </c>
      <c r="K59" s="5">
        <v>64743800</v>
      </c>
      <c r="L59" s="5" t="s">
        <v>643</v>
      </c>
      <c r="M59" s="1"/>
      <c r="N59" s="3">
        <v>100</v>
      </c>
    </row>
    <row r="60" spans="2:14">
      <c r="B60" s="72">
        <v>57</v>
      </c>
      <c r="C60" s="71" t="s">
        <v>639</v>
      </c>
      <c r="D60" s="5">
        <v>523559694</v>
      </c>
      <c r="E60" s="5">
        <v>199</v>
      </c>
      <c r="F60" s="5" t="s">
        <v>61</v>
      </c>
      <c r="G60" s="42">
        <v>44675</v>
      </c>
      <c r="H60" s="5" t="s">
        <v>393</v>
      </c>
      <c r="I60" s="5"/>
      <c r="J60" s="61">
        <v>1.4693991399999999</v>
      </c>
      <c r="K60" s="62">
        <v>64721004</v>
      </c>
      <c r="L60" s="5"/>
      <c r="M60" s="1"/>
      <c r="N60" s="3">
        <v>100</v>
      </c>
    </row>
    <row r="61" spans="2:14">
      <c r="B61" s="72">
        <v>58</v>
      </c>
      <c r="C61" s="85" t="s">
        <v>585</v>
      </c>
      <c r="D61" s="86">
        <v>588851502</v>
      </c>
      <c r="E61" s="81">
        <v>199</v>
      </c>
      <c r="F61" s="81" t="s">
        <v>12</v>
      </c>
      <c r="G61" s="83">
        <v>44676</v>
      </c>
      <c r="H61" s="81" t="s">
        <v>393</v>
      </c>
      <c r="I61" s="81" t="s">
        <v>1164</v>
      </c>
      <c r="J61" s="84" t="s">
        <v>586</v>
      </c>
      <c r="K61" s="81">
        <v>6474963</v>
      </c>
      <c r="L61" s="81" t="s">
        <v>386</v>
      </c>
      <c r="M61" s="1"/>
      <c r="N61" s="3">
        <v>100</v>
      </c>
    </row>
    <row r="62" spans="2:14">
      <c r="B62" s="72">
        <v>59</v>
      </c>
      <c r="C62" s="71" t="s">
        <v>640</v>
      </c>
      <c r="D62" s="5">
        <v>507102622</v>
      </c>
      <c r="E62" s="5">
        <v>199</v>
      </c>
      <c r="F62" s="5" t="s">
        <v>61</v>
      </c>
      <c r="G62" s="42">
        <v>44676</v>
      </c>
      <c r="H62" s="5" t="s">
        <v>393</v>
      </c>
      <c r="I62" s="5"/>
      <c r="J62" s="61">
        <v>1.3097109499999999</v>
      </c>
      <c r="K62" s="62">
        <v>64716922</v>
      </c>
      <c r="L62" s="5"/>
      <c r="M62" s="1"/>
      <c r="N62" s="3">
        <v>100</v>
      </c>
    </row>
    <row r="63" spans="2:14">
      <c r="B63" s="72">
        <v>60</v>
      </c>
      <c r="C63" s="66" t="s">
        <v>587</v>
      </c>
      <c r="D63" s="67">
        <v>557545341</v>
      </c>
      <c r="E63" s="5">
        <v>199</v>
      </c>
      <c r="F63" s="5" t="s">
        <v>12</v>
      </c>
      <c r="G63" s="42">
        <v>44676</v>
      </c>
      <c r="H63" s="5" t="s">
        <v>393</v>
      </c>
      <c r="I63" s="5" t="s">
        <v>1024</v>
      </c>
      <c r="J63" s="72" t="s">
        <v>588</v>
      </c>
      <c r="K63" s="5">
        <v>64778864</v>
      </c>
      <c r="L63" s="5" t="s">
        <v>643</v>
      </c>
      <c r="M63" s="1"/>
      <c r="N63" s="3">
        <v>100</v>
      </c>
    </row>
    <row r="64" spans="2:14">
      <c r="B64" s="72">
        <v>61</v>
      </c>
      <c r="C64" s="68" t="s">
        <v>589</v>
      </c>
      <c r="D64" s="67">
        <v>569278911</v>
      </c>
      <c r="E64" s="5">
        <v>199</v>
      </c>
      <c r="F64" s="5" t="s">
        <v>102</v>
      </c>
      <c r="G64" s="42">
        <v>44676</v>
      </c>
      <c r="H64" s="5" t="s">
        <v>393</v>
      </c>
      <c r="I64" s="5"/>
      <c r="J64" s="72" t="s">
        <v>590</v>
      </c>
      <c r="K64" s="5">
        <v>64753656</v>
      </c>
      <c r="L64" s="5"/>
      <c r="M64" s="1"/>
      <c r="N64" s="3">
        <v>100</v>
      </c>
    </row>
    <row r="65" spans="2:14">
      <c r="B65" s="72">
        <v>62</v>
      </c>
      <c r="C65" s="64" t="s">
        <v>591</v>
      </c>
      <c r="D65" s="5">
        <v>505295415</v>
      </c>
      <c r="E65" s="5">
        <v>199</v>
      </c>
      <c r="F65" s="5" t="s">
        <v>12</v>
      </c>
      <c r="G65" s="42">
        <v>44676</v>
      </c>
      <c r="H65" s="5" t="s">
        <v>393</v>
      </c>
      <c r="I65" s="5" t="s">
        <v>1024</v>
      </c>
      <c r="J65" s="72" t="s">
        <v>592</v>
      </c>
      <c r="K65" s="5">
        <v>64785959</v>
      </c>
      <c r="L65" s="5" t="s">
        <v>643</v>
      </c>
      <c r="M65" s="1"/>
      <c r="N65" s="3">
        <v>100</v>
      </c>
    </row>
    <row r="66" spans="2:14">
      <c r="B66" s="72">
        <v>63</v>
      </c>
      <c r="C66" s="64" t="s">
        <v>593</v>
      </c>
      <c r="D66" s="5">
        <v>552711705</v>
      </c>
      <c r="E66" s="5">
        <v>199</v>
      </c>
      <c r="F66" s="5" t="s">
        <v>12</v>
      </c>
      <c r="G66" s="42">
        <v>44676</v>
      </c>
      <c r="H66" s="5" t="s">
        <v>393</v>
      </c>
      <c r="I66" s="5"/>
      <c r="J66" s="72" t="s">
        <v>594</v>
      </c>
      <c r="K66" s="5">
        <v>64786936</v>
      </c>
      <c r="L66" s="5" t="s">
        <v>385</v>
      </c>
      <c r="M66" s="1"/>
      <c r="N66" s="3">
        <v>100</v>
      </c>
    </row>
    <row r="67" spans="2:14">
      <c r="B67" s="72">
        <v>64</v>
      </c>
      <c r="C67" s="68" t="s">
        <v>595</v>
      </c>
      <c r="D67" s="67">
        <v>581202611</v>
      </c>
      <c r="E67" s="5">
        <v>199</v>
      </c>
      <c r="F67" s="5" t="s">
        <v>12</v>
      </c>
      <c r="G67" s="42">
        <v>44677</v>
      </c>
      <c r="H67" s="5" t="s">
        <v>393</v>
      </c>
      <c r="I67" s="5" t="s">
        <v>1024</v>
      </c>
      <c r="J67" s="72" t="s">
        <v>596</v>
      </c>
      <c r="K67" s="5">
        <v>64787243</v>
      </c>
      <c r="L67" s="5" t="s">
        <v>641</v>
      </c>
      <c r="M67" s="1"/>
      <c r="N67" s="3">
        <v>100</v>
      </c>
    </row>
    <row r="68" spans="2:14">
      <c r="B68" s="72">
        <v>65</v>
      </c>
      <c r="C68" s="68" t="s">
        <v>597</v>
      </c>
      <c r="D68" s="67">
        <v>524316033</v>
      </c>
      <c r="E68" s="5">
        <v>199</v>
      </c>
      <c r="F68" s="5" t="s">
        <v>12</v>
      </c>
      <c r="G68" s="42">
        <v>44677</v>
      </c>
      <c r="H68" s="5" t="s">
        <v>393</v>
      </c>
      <c r="I68" s="5"/>
      <c r="J68" s="72" t="s">
        <v>598</v>
      </c>
      <c r="K68" s="5">
        <v>64803230</v>
      </c>
      <c r="L68" s="5" t="s">
        <v>641</v>
      </c>
      <c r="M68" s="1"/>
      <c r="N68" s="3">
        <v>100</v>
      </c>
    </row>
    <row r="69" spans="2:14">
      <c r="B69" s="72">
        <v>66</v>
      </c>
      <c r="C69" s="68" t="s">
        <v>599</v>
      </c>
      <c r="D69" s="67">
        <v>507976515</v>
      </c>
      <c r="E69" s="5">
        <v>199</v>
      </c>
      <c r="F69" s="5" t="s">
        <v>12</v>
      </c>
      <c r="G69" s="42">
        <v>44678</v>
      </c>
      <c r="H69" s="5" t="s">
        <v>393</v>
      </c>
      <c r="I69" s="5"/>
      <c r="J69" s="72" t="s">
        <v>600</v>
      </c>
      <c r="K69" s="5">
        <v>64812795</v>
      </c>
      <c r="L69" s="5"/>
      <c r="M69" s="1"/>
      <c r="N69" s="3">
        <v>100</v>
      </c>
    </row>
    <row r="70" spans="2:14">
      <c r="B70" s="72">
        <v>67</v>
      </c>
      <c r="C70" s="64" t="s">
        <v>601</v>
      </c>
      <c r="D70" s="5">
        <v>528005761</v>
      </c>
      <c r="E70" s="5">
        <v>199</v>
      </c>
      <c r="F70" s="5" t="s">
        <v>12</v>
      </c>
      <c r="G70" s="42">
        <v>44678</v>
      </c>
      <c r="H70" s="5" t="s">
        <v>393</v>
      </c>
      <c r="I70" s="5"/>
      <c r="J70" s="72" t="s">
        <v>602</v>
      </c>
      <c r="K70" s="5">
        <v>64810480</v>
      </c>
      <c r="L70" s="5" t="s">
        <v>386</v>
      </c>
      <c r="M70" s="1"/>
      <c r="N70" s="3">
        <v>100</v>
      </c>
    </row>
    <row r="71" spans="2:14">
      <c r="B71" s="72">
        <v>68</v>
      </c>
      <c r="C71" s="64" t="s">
        <v>603</v>
      </c>
      <c r="D71" s="5">
        <v>561177886</v>
      </c>
      <c r="E71" s="5">
        <v>199</v>
      </c>
      <c r="F71" s="5" t="s">
        <v>12</v>
      </c>
      <c r="G71" s="42">
        <v>44678</v>
      </c>
      <c r="H71" s="5" t="s">
        <v>393</v>
      </c>
      <c r="I71" s="5"/>
      <c r="J71" s="72" t="s">
        <v>604</v>
      </c>
      <c r="K71" s="5">
        <v>64813177</v>
      </c>
      <c r="L71" s="5"/>
      <c r="M71" s="1"/>
      <c r="N71" s="3">
        <v>100</v>
      </c>
    </row>
    <row r="72" spans="2:14">
      <c r="B72" s="72">
        <v>69</v>
      </c>
      <c r="C72" s="87" t="s">
        <v>605</v>
      </c>
      <c r="D72" s="81">
        <v>563241108</v>
      </c>
      <c r="E72" s="81">
        <v>199</v>
      </c>
      <c r="F72" s="81" t="s">
        <v>12</v>
      </c>
      <c r="G72" s="83">
        <v>44678</v>
      </c>
      <c r="H72" s="81" t="s">
        <v>393</v>
      </c>
      <c r="I72" s="81" t="s">
        <v>1164</v>
      </c>
      <c r="J72" s="84" t="s">
        <v>606</v>
      </c>
      <c r="K72" s="88">
        <v>64828779</v>
      </c>
      <c r="L72" s="81" t="s">
        <v>643</v>
      </c>
      <c r="M72" s="1"/>
      <c r="N72" s="3">
        <v>100</v>
      </c>
    </row>
    <row r="73" spans="2:14">
      <c r="B73" s="72">
        <v>70</v>
      </c>
      <c r="C73" s="64" t="s">
        <v>607</v>
      </c>
      <c r="D73" s="5">
        <v>562526211</v>
      </c>
      <c r="E73" s="5">
        <v>199</v>
      </c>
      <c r="F73" s="5" t="s">
        <v>12</v>
      </c>
      <c r="G73" s="42">
        <v>44679</v>
      </c>
      <c r="H73" s="5" t="s">
        <v>393</v>
      </c>
      <c r="I73" s="5"/>
      <c r="J73" s="72" t="s">
        <v>608</v>
      </c>
      <c r="K73" s="5">
        <v>64832882</v>
      </c>
      <c r="L73" s="5"/>
      <c r="M73" s="1"/>
      <c r="N73" s="3">
        <v>100</v>
      </c>
    </row>
    <row r="74" spans="2:14">
      <c r="B74" s="72">
        <v>71</v>
      </c>
      <c r="C74" s="64" t="s">
        <v>609</v>
      </c>
      <c r="D74" s="5">
        <v>566111760</v>
      </c>
      <c r="E74" s="5">
        <v>199</v>
      </c>
      <c r="F74" s="5" t="s">
        <v>12</v>
      </c>
      <c r="G74" s="42">
        <v>44679</v>
      </c>
      <c r="H74" s="5" t="s">
        <v>393</v>
      </c>
      <c r="I74" s="5"/>
      <c r="J74" s="72" t="s">
        <v>610</v>
      </c>
      <c r="K74" s="5">
        <v>64836876</v>
      </c>
      <c r="L74" s="5"/>
      <c r="M74" s="1"/>
      <c r="N74" s="3">
        <v>100</v>
      </c>
    </row>
    <row r="75" spans="2:14">
      <c r="B75" s="72">
        <v>72</v>
      </c>
      <c r="C75" s="64" t="s">
        <v>611</v>
      </c>
      <c r="D75" s="3">
        <v>552145562</v>
      </c>
      <c r="E75" s="5">
        <v>199</v>
      </c>
      <c r="F75" s="5" t="s">
        <v>12</v>
      </c>
      <c r="G75" s="42">
        <v>44679</v>
      </c>
      <c r="H75" s="5" t="s">
        <v>393</v>
      </c>
      <c r="I75" s="5"/>
      <c r="J75" s="72" t="s">
        <v>612</v>
      </c>
      <c r="K75" s="5"/>
      <c r="L75" s="5" t="s">
        <v>385</v>
      </c>
      <c r="M75" s="1"/>
      <c r="N75" s="3">
        <v>100</v>
      </c>
    </row>
    <row r="76" spans="2:14">
      <c r="B76" s="72">
        <v>73</v>
      </c>
      <c r="C76" s="64" t="s">
        <v>613</v>
      </c>
      <c r="D76" s="5">
        <v>504838177</v>
      </c>
      <c r="E76" s="5">
        <v>199</v>
      </c>
      <c r="F76" s="5" t="s">
        <v>12</v>
      </c>
      <c r="G76" s="42">
        <v>44679</v>
      </c>
      <c r="H76" s="5" t="s">
        <v>393</v>
      </c>
      <c r="I76" s="5"/>
      <c r="J76" s="72" t="s">
        <v>614</v>
      </c>
      <c r="K76" s="5">
        <v>64840681</v>
      </c>
      <c r="L76" s="5" t="s">
        <v>642</v>
      </c>
      <c r="M76" s="1"/>
      <c r="N76" s="3">
        <v>100</v>
      </c>
    </row>
    <row r="77" spans="2:14">
      <c r="B77" s="72">
        <v>74</v>
      </c>
      <c r="C77" s="64" t="s">
        <v>615</v>
      </c>
      <c r="D77" s="5">
        <v>525140465</v>
      </c>
      <c r="E77" s="5">
        <v>199</v>
      </c>
      <c r="F77" s="5" t="s">
        <v>12</v>
      </c>
      <c r="G77" s="42">
        <v>44679</v>
      </c>
      <c r="H77" s="5" t="s">
        <v>393</v>
      </c>
      <c r="I77" s="5" t="s">
        <v>1024</v>
      </c>
      <c r="J77" s="72" t="s">
        <v>616</v>
      </c>
      <c r="K77" s="5">
        <v>64840977</v>
      </c>
      <c r="L77" s="5" t="s">
        <v>643</v>
      </c>
      <c r="M77" s="1"/>
      <c r="N77" s="3">
        <v>100</v>
      </c>
    </row>
    <row r="78" spans="2:14">
      <c r="B78" s="72">
        <v>75</v>
      </c>
      <c r="C78" s="64" t="s">
        <v>617</v>
      </c>
      <c r="D78" s="5">
        <v>543069436</v>
      </c>
      <c r="E78" s="5">
        <v>199</v>
      </c>
      <c r="F78" s="5" t="s">
        <v>12</v>
      </c>
      <c r="G78" s="42">
        <v>44679</v>
      </c>
      <c r="H78" s="5" t="s">
        <v>393</v>
      </c>
      <c r="I78" s="5"/>
      <c r="J78" s="72" t="s">
        <v>618</v>
      </c>
      <c r="K78" s="5">
        <v>64841460</v>
      </c>
      <c r="L78" s="5" t="s">
        <v>386</v>
      </c>
      <c r="M78" s="1"/>
      <c r="N78" s="3">
        <v>100</v>
      </c>
    </row>
    <row r="79" spans="2:14">
      <c r="B79" s="72">
        <v>76</v>
      </c>
      <c r="C79" s="64" t="s">
        <v>619</v>
      </c>
      <c r="D79" s="5">
        <v>562786814</v>
      </c>
      <c r="E79" s="5">
        <v>199</v>
      </c>
      <c r="F79" s="5" t="s">
        <v>12</v>
      </c>
      <c r="G79" s="42">
        <v>44679</v>
      </c>
      <c r="H79" s="5" t="s">
        <v>393</v>
      </c>
      <c r="I79" s="5" t="s">
        <v>1024</v>
      </c>
      <c r="J79" s="72" t="s">
        <v>620</v>
      </c>
      <c r="K79" s="5">
        <v>64869748</v>
      </c>
      <c r="L79" s="5" t="s">
        <v>386</v>
      </c>
      <c r="M79" s="1"/>
      <c r="N79" s="3">
        <v>100</v>
      </c>
    </row>
    <row r="80" spans="2:14">
      <c r="B80" s="72">
        <v>77</v>
      </c>
      <c r="C80" s="64" t="s">
        <v>621</v>
      </c>
      <c r="D80" s="5">
        <v>565813124</v>
      </c>
      <c r="E80" s="5">
        <v>199</v>
      </c>
      <c r="F80" s="5" t="s">
        <v>12</v>
      </c>
      <c r="G80" s="42">
        <v>44680</v>
      </c>
      <c r="H80" s="5" t="s">
        <v>393</v>
      </c>
      <c r="I80" s="5"/>
      <c r="J80" s="72" t="s">
        <v>622</v>
      </c>
      <c r="K80" s="5"/>
      <c r="L80" s="5" t="s">
        <v>386</v>
      </c>
      <c r="M80" s="1"/>
      <c r="N80" s="3">
        <v>100</v>
      </c>
    </row>
    <row r="81" spans="2:14">
      <c r="B81" s="72">
        <v>78</v>
      </c>
      <c r="C81" s="64" t="s">
        <v>623</v>
      </c>
      <c r="D81" s="5">
        <v>581096911</v>
      </c>
      <c r="E81" s="5">
        <v>199</v>
      </c>
      <c r="F81" s="5" t="s">
        <v>12</v>
      </c>
      <c r="G81" s="42">
        <v>44680</v>
      </c>
      <c r="H81" s="5" t="s">
        <v>393</v>
      </c>
      <c r="I81" s="5"/>
      <c r="J81" s="72" t="s">
        <v>624</v>
      </c>
      <c r="K81" s="5">
        <v>64898593</v>
      </c>
      <c r="L81" s="5" t="s">
        <v>386</v>
      </c>
      <c r="M81" s="1"/>
      <c r="N81" s="3">
        <v>100</v>
      </c>
    </row>
    <row r="82" spans="2:14">
      <c r="B82" s="72">
        <v>79</v>
      </c>
      <c r="C82" s="64" t="s">
        <v>625</v>
      </c>
      <c r="D82" s="5">
        <v>567598344</v>
      </c>
      <c r="E82" s="5">
        <v>199</v>
      </c>
      <c r="F82" s="5" t="s">
        <v>12</v>
      </c>
      <c r="G82" s="42">
        <v>44680</v>
      </c>
      <c r="H82" s="5" t="s">
        <v>393</v>
      </c>
      <c r="I82" s="5"/>
      <c r="J82" s="72" t="s">
        <v>626</v>
      </c>
      <c r="K82" s="5"/>
      <c r="L82" s="5" t="s">
        <v>642</v>
      </c>
      <c r="M82" s="1"/>
      <c r="N82" s="3">
        <v>100</v>
      </c>
    </row>
    <row r="83" spans="2:14">
      <c r="B83" s="72">
        <v>80</v>
      </c>
      <c r="C83" s="64" t="s">
        <v>627</v>
      </c>
      <c r="D83" s="5">
        <v>581223472</v>
      </c>
      <c r="E83" s="5">
        <v>199</v>
      </c>
      <c r="F83" s="5" t="s">
        <v>12</v>
      </c>
      <c r="G83" s="42">
        <v>44680</v>
      </c>
      <c r="H83" s="5" t="s">
        <v>393</v>
      </c>
      <c r="I83" s="5" t="s">
        <v>481</v>
      </c>
      <c r="J83" s="72" t="s">
        <v>628</v>
      </c>
      <c r="K83" s="5"/>
      <c r="L83" s="5" t="s">
        <v>642</v>
      </c>
      <c r="M83" s="1"/>
      <c r="N83" s="3">
        <v>100</v>
      </c>
    </row>
    <row r="84" spans="2:14">
      <c r="B84" s="72">
        <v>81</v>
      </c>
      <c r="C84" s="69" t="s">
        <v>629</v>
      </c>
      <c r="D84" s="5">
        <v>581223472</v>
      </c>
      <c r="E84" s="5">
        <v>199</v>
      </c>
      <c r="F84" s="5" t="s">
        <v>12</v>
      </c>
      <c r="G84" s="42">
        <v>44681</v>
      </c>
      <c r="H84" s="5" t="s">
        <v>393</v>
      </c>
      <c r="I84" s="5" t="s">
        <v>1024</v>
      </c>
      <c r="J84" s="72" t="s">
        <v>630</v>
      </c>
      <c r="K84" s="5">
        <v>64915428</v>
      </c>
      <c r="L84" s="5" t="s">
        <v>642</v>
      </c>
      <c r="M84" s="1"/>
      <c r="N84" s="3">
        <v>100</v>
      </c>
    </row>
    <row r="85" spans="2:14">
      <c r="B85" s="72">
        <v>82</v>
      </c>
      <c r="C85" s="69" t="s">
        <v>631</v>
      </c>
      <c r="D85" s="5">
        <v>567919769</v>
      </c>
      <c r="E85" s="5">
        <v>199</v>
      </c>
      <c r="F85" s="5" t="s">
        <v>12</v>
      </c>
      <c r="G85" s="42">
        <v>44681</v>
      </c>
      <c r="H85" s="5" t="s">
        <v>393</v>
      </c>
      <c r="I85" s="5"/>
      <c r="J85" s="72" t="s">
        <v>632</v>
      </c>
      <c r="K85" s="5">
        <v>64929524</v>
      </c>
      <c r="L85" s="5"/>
      <c r="M85" s="1"/>
      <c r="N85" s="3">
        <v>100</v>
      </c>
    </row>
    <row r="86" spans="2:14">
      <c r="B86" s="72">
        <v>83</v>
      </c>
      <c r="C86" s="69" t="s">
        <v>633</v>
      </c>
      <c r="D86" s="5">
        <v>562462399</v>
      </c>
      <c r="E86" s="5">
        <v>199</v>
      </c>
      <c r="F86" s="5" t="s">
        <v>12</v>
      </c>
      <c r="G86" s="42">
        <v>44681</v>
      </c>
      <c r="H86" s="5" t="s">
        <v>393</v>
      </c>
      <c r="I86" s="5"/>
      <c r="J86" s="72" t="s">
        <v>634</v>
      </c>
      <c r="K86" s="5">
        <v>64932016</v>
      </c>
      <c r="L86" s="5"/>
      <c r="M86" s="1"/>
      <c r="N86" s="3">
        <v>100</v>
      </c>
    </row>
    <row r="87" spans="2:14">
      <c r="C87" s="52"/>
      <c r="D87" s="78"/>
      <c r="E87" s="52"/>
      <c r="F87" s="52"/>
      <c r="G87" s="52"/>
      <c r="H87" s="79"/>
      <c r="I87" s="52"/>
    </row>
  </sheetData>
  <autoFilter ref="B3:N86" xr:uid="{00000000-0009-0000-0000-000006000000}"/>
  <mergeCells count="1">
    <mergeCell ref="B2:N2"/>
  </mergeCells>
  <conditionalFormatting sqref="C10">
    <cfRule type="duplicateValues" dxfId="1031" priority="105"/>
    <cfRule type="duplicateValues" dxfId="1030" priority="103"/>
    <cfRule type="duplicateValues" dxfId="1029" priority="112"/>
  </conditionalFormatting>
  <conditionalFormatting sqref="C14">
    <cfRule type="duplicateValues" dxfId="1028" priority="92"/>
  </conditionalFormatting>
  <conditionalFormatting sqref="C21:C22">
    <cfRule type="duplicateValues" dxfId="1027" priority="131"/>
    <cfRule type="duplicateValues" dxfId="1026" priority="137"/>
    <cfRule type="duplicateValues" dxfId="1025" priority="133"/>
  </conditionalFormatting>
  <conditionalFormatting sqref="C60">
    <cfRule type="duplicateValues" dxfId="1024" priority="80"/>
  </conditionalFormatting>
  <conditionalFormatting sqref="C62">
    <cfRule type="duplicateValues" dxfId="1023" priority="68"/>
  </conditionalFormatting>
  <conditionalFormatting sqref="C10:D10">
    <cfRule type="duplicateValues" dxfId="1022" priority="99"/>
    <cfRule type="duplicateValues" dxfId="1021" priority="110"/>
    <cfRule type="duplicateValues" dxfId="1020" priority="96"/>
    <cfRule type="duplicateValues" dxfId="1019" priority="108"/>
    <cfRule type="duplicateValues" dxfId="1018" priority="107"/>
    <cfRule type="duplicateValues" dxfId="1017" priority="126"/>
    <cfRule type="duplicateValues" dxfId="1016" priority="125"/>
    <cfRule type="duplicateValues" dxfId="1015" priority="124"/>
    <cfRule type="duplicateValues" dxfId="1014" priority="123"/>
    <cfRule type="duplicateValues" dxfId="1013" priority="97"/>
    <cfRule type="duplicateValues" dxfId="1012" priority="122"/>
    <cfRule type="duplicateValues" dxfId="1011" priority="121"/>
    <cfRule type="duplicateValues" dxfId="1010" priority="95"/>
    <cfRule type="duplicateValues" dxfId="1009" priority="113"/>
  </conditionalFormatting>
  <conditionalFormatting sqref="C14:D14">
    <cfRule type="duplicateValues" dxfId="1008" priority="90"/>
    <cfRule type="duplicateValues" dxfId="1007" priority="91"/>
    <cfRule type="duplicateValues" dxfId="1006" priority="93"/>
    <cfRule type="duplicateValues" dxfId="1005" priority="94"/>
    <cfRule type="duplicateValues" dxfId="1004" priority="83"/>
  </conditionalFormatting>
  <conditionalFormatting sqref="C21:D22">
    <cfRule type="duplicateValues" dxfId="1003" priority="146"/>
    <cfRule type="duplicateValues" dxfId="1002" priority="145"/>
    <cfRule type="duplicateValues" dxfId="1001" priority="147"/>
  </conditionalFormatting>
  <conditionalFormatting sqref="C60:D60">
    <cfRule type="duplicateValues" dxfId="1000" priority="71"/>
    <cfRule type="duplicateValues" dxfId="999" priority="78"/>
    <cfRule type="duplicateValues" dxfId="998" priority="82"/>
    <cfRule type="duplicateValues" dxfId="997" priority="81"/>
    <cfRule type="duplicateValues" dxfId="996" priority="79"/>
  </conditionalFormatting>
  <conditionalFormatting sqref="C62:D62">
    <cfRule type="duplicateValues" dxfId="995" priority="69"/>
    <cfRule type="duplicateValues" dxfId="994" priority="70"/>
    <cfRule type="duplicateValues" dxfId="993" priority="59"/>
    <cfRule type="duplicateValues" dxfId="992" priority="66"/>
    <cfRule type="duplicateValues" dxfId="991" priority="67"/>
  </conditionalFormatting>
  <conditionalFormatting sqref="D10">
    <cfRule type="duplicateValues" dxfId="990" priority="111"/>
    <cfRule type="duplicateValues" dxfId="989" priority="120"/>
    <cfRule type="duplicateValues" dxfId="988" priority="98"/>
    <cfRule type="duplicateValues" dxfId="987" priority="106"/>
    <cfRule type="duplicateValues" dxfId="986" priority="109"/>
    <cfRule type="duplicateValues" dxfId="985" priority="114"/>
    <cfRule type="duplicateValues" dxfId="984" priority="115"/>
    <cfRule type="duplicateValues" dxfId="983" priority="116"/>
    <cfRule type="duplicateValues" dxfId="982" priority="117"/>
    <cfRule type="duplicateValues" dxfId="981" priority="118"/>
    <cfRule type="duplicateValues" dxfId="980" priority="119"/>
    <cfRule type="duplicateValues" dxfId="979" priority="102"/>
    <cfRule type="duplicateValues" dxfId="978" priority="101"/>
    <cfRule type="duplicateValues" dxfId="977" priority="100"/>
    <cfRule type="duplicateValues" dxfId="976" priority="104"/>
  </conditionalFormatting>
  <conditionalFormatting sqref="D14">
    <cfRule type="duplicateValues" dxfId="975" priority="89"/>
    <cfRule type="duplicateValues" dxfId="974" priority="88"/>
    <cfRule type="duplicateValues" dxfId="973" priority="87"/>
    <cfRule type="duplicateValues" dxfId="972" priority="86"/>
    <cfRule type="duplicateValues" dxfId="971" priority="85"/>
    <cfRule type="duplicateValues" dxfId="970" priority="84"/>
  </conditionalFormatting>
  <conditionalFormatting sqref="D21:D22">
    <cfRule type="duplicateValues" dxfId="969" priority="130"/>
    <cfRule type="duplicateValues" dxfId="968" priority="134"/>
    <cfRule type="duplicateValues" dxfId="967" priority="135"/>
    <cfRule type="duplicateValues" dxfId="966" priority="140"/>
    <cfRule type="duplicateValues" dxfId="965" priority="132"/>
    <cfRule type="duplicateValues" dxfId="964" priority="141"/>
    <cfRule type="duplicateValues" dxfId="963" priority="127"/>
    <cfRule type="duplicateValues" dxfId="962" priority="128"/>
    <cfRule type="duplicateValues" dxfId="961" priority="136"/>
    <cfRule type="duplicateValues" dxfId="960" priority="142"/>
    <cfRule type="duplicateValues" dxfId="959" priority="143"/>
    <cfRule type="duplicateValues" dxfId="958" priority="144"/>
    <cfRule type="duplicateValues" dxfId="957" priority="138"/>
    <cfRule type="duplicateValues" dxfId="956" priority="139"/>
    <cfRule type="duplicateValues" dxfId="955" priority="129"/>
  </conditionalFormatting>
  <conditionalFormatting sqref="D60">
    <cfRule type="duplicateValues" dxfId="954" priority="72"/>
    <cfRule type="duplicateValues" dxfId="953" priority="73"/>
    <cfRule type="duplicateValues" dxfId="952" priority="74"/>
    <cfRule type="duplicateValues" dxfId="951" priority="75"/>
    <cfRule type="duplicateValues" dxfId="950" priority="76"/>
    <cfRule type="duplicateValues" dxfId="949" priority="77"/>
  </conditionalFormatting>
  <conditionalFormatting sqref="D62">
    <cfRule type="duplicateValues" dxfId="948" priority="61"/>
    <cfRule type="duplicateValues" dxfId="947" priority="65"/>
    <cfRule type="duplicateValues" dxfId="946" priority="60"/>
    <cfRule type="duplicateValues" dxfId="945" priority="62"/>
    <cfRule type="duplicateValues" dxfId="944" priority="63"/>
    <cfRule type="duplicateValues" dxfId="943" priority="64"/>
  </conditionalFormatting>
  <conditionalFormatting sqref="J14">
    <cfRule type="duplicateValues" dxfId="942" priority="57"/>
    <cfRule type="duplicateValues" dxfId="941" priority="55"/>
    <cfRule type="duplicateValues" dxfId="940" priority="54"/>
    <cfRule type="duplicateValues" dxfId="939" priority="53"/>
    <cfRule type="duplicateValues" dxfId="938" priority="52"/>
    <cfRule type="duplicateValues" dxfId="937" priority="51"/>
    <cfRule type="duplicateValues" dxfId="936" priority="50"/>
    <cfRule type="duplicateValues" dxfId="935" priority="56"/>
    <cfRule type="duplicateValues" dxfId="934" priority="49"/>
    <cfRule type="duplicateValues" dxfId="933" priority="48"/>
  </conditionalFormatting>
  <conditionalFormatting sqref="J60">
    <cfRule type="duplicateValues" dxfId="932" priority="58"/>
    <cfRule type="duplicateValues" dxfId="931" priority="47"/>
    <cfRule type="duplicateValues" dxfId="930" priority="46"/>
    <cfRule type="duplicateValues" dxfId="929" priority="39"/>
    <cfRule type="duplicateValues" dxfId="928" priority="41"/>
    <cfRule type="duplicateValues" dxfId="927" priority="42"/>
    <cfRule type="duplicateValues" dxfId="926" priority="43"/>
    <cfRule type="duplicateValues" dxfId="925" priority="44"/>
    <cfRule type="duplicateValues" dxfId="924" priority="45"/>
    <cfRule type="duplicateValues" dxfId="923" priority="40"/>
  </conditionalFormatting>
  <conditionalFormatting sqref="J62">
    <cfRule type="duplicateValues" dxfId="922" priority="38"/>
    <cfRule type="duplicateValues" dxfId="921" priority="37"/>
    <cfRule type="duplicateValues" dxfId="920" priority="36"/>
    <cfRule type="duplicateValues" dxfId="919" priority="35"/>
    <cfRule type="duplicateValues" dxfId="918" priority="34"/>
    <cfRule type="duplicateValues" dxfId="917" priority="33"/>
    <cfRule type="duplicateValues" dxfId="916" priority="32"/>
    <cfRule type="duplicateValues" dxfId="915" priority="31"/>
    <cfRule type="duplicateValues" dxfId="914" priority="30"/>
    <cfRule type="duplicateValues" dxfId="913" priority="29"/>
  </conditionalFormatting>
  <conditionalFormatting sqref="K14">
    <cfRule type="duplicateValues" dxfId="912" priority="2"/>
  </conditionalFormatting>
  <conditionalFormatting sqref="K22">
    <cfRule type="duplicateValues" dxfId="911" priority="21"/>
    <cfRule type="duplicateValues" dxfId="910" priority="20"/>
    <cfRule type="duplicateValues" dxfId="909" priority="18"/>
    <cfRule type="duplicateValues" dxfId="908" priority="17"/>
    <cfRule type="duplicateValues" dxfId="907" priority="16"/>
    <cfRule type="duplicateValues" dxfId="906" priority="15"/>
    <cfRule type="duplicateValues" dxfId="905" priority="19"/>
    <cfRule type="duplicateValues" dxfId="904" priority="3"/>
    <cfRule type="duplicateValues" dxfId="903" priority="26"/>
    <cfRule type="duplicateValues" dxfId="902" priority="25"/>
    <cfRule type="duplicateValues" dxfId="901" priority="24"/>
    <cfRule type="duplicateValues" dxfId="900" priority="23"/>
    <cfRule type="duplicateValues" dxfId="899" priority="22"/>
  </conditionalFormatting>
  <conditionalFormatting sqref="K60">
    <cfRule type="duplicateValues" dxfId="898" priority="28"/>
  </conditionalFormatting>
  <conditionalFormatting sqref="K62">
    <cfRule type="duplicateValues" dxfId="897" priority="1"/>
  </conditionalFormatting>
  <conditionalFormatting sqref="K72">
    <cfRule type="duplicateValues" dxfId="896" priority="8"/>
    <cfRule type="duplicateValues" dxfId="895" priority="7"/>
    <cfRule type="duplicateValues" dxfId="894" priority="6"/>
    <cfRule type="duplicateValues" dxfId="893" priority="5"/>
    <cfRule type="duplicateValues" dxfId="892" priority="4"/>
    <cfRule type="duplicateValues" dxfId="891" priority="13"/>
    <cfRule type="duplicateValues" dxfId="890" priority="14"/>
    <cfRule type="duplicateValues" dxfId="889" priority="12"/>
    <cfRule type="duplicateValues" dxfId="888" priority="27"/>
    <cfRule type="duplicateValues" dxfId="887" priority="10"/>
    <cfRule type="duplicateValues" dxfId="886" priority="9"/>
    <cfRule type="duplicateValues" dxfId="885" priority="1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76"/>
  <sheetViews>
    <sheetView zoomScale="98" zoomScaleNormal="70" workbookViewId="0">
      <selection activeCell="C3" sqref="C3"/>
    </sheetView>
  </sheetViews>
  <sheetFormatPr defaultRowHeight="14.5"/>
  <cols>
    <col min="1" max="1" width="4.453125" bestFit="1" customWidth="1"/>
    <col min="2" max="2" width="41.81640625" bestFit="1" customWidth="1"/>
    <col min="3" max="3" width="25" bestFit="1" customWidth="1"/>
    <col min="4" max="4" width="13.81640625" bestFit="1" customWidth="1"/>
    <col min="5" max="5" width="12.453125" bestFit="1" customWidth="1"/>
    <col min="6" max="6" width="15.81640625" bestFit="1" customWidth="1"/>
    <col min="7" max="7" width="16.453125" bestFit="1" customWidth="1"/>
    <col min="8" max="8" width="27" bestFit="1" customWidth="1"/>
    <col min="9" max="9" width="25.54296875" bestFit="1" customWidth="1"/>
    <col min="10" max="10" width="20.453125" bestFit="1" customWidth="1"/>
    <col min="11" max="11" width="7.54296875" bestFit="1" customWidth="1"/>
    <col min="12" max="12" width="10.54296875" bestFit="1" customWidth="1"/>
    <col min="13" max="13" width="11.453125" bestFit="1" customWidth="1"/>
  </cols>
  <sheetData>
    <row r="1" spans="1:13" ht="46">
      <c r="A1" s="682" t="s">
        <v>40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</row>
    <row r="2" spans="1:13" ht="15.5">
      <c r="A2" s="2" t="s">
        <v>0</v>
      </c>
      <c r="B2" s="38" t="s">
        <v>1</v>
      </c>
      <c r="C2" s="38" t="s">
        <v>2</v>
      </c>
      <c r="D2" s="38" t="s">
        <v>3</v>
      </c>
      <c r="E2" s="38" t="s">
        <v>4</v>
      </c>
      <c r="F2" s="38" t="s">
        <v>6</v>
      </c>
      <c r="G2" s="38" t="s">
        <v>8</v>
      </c>
      <c r="H2" s="38" t="s">
        <v>9</v>
      </c>
      <c r="I2" s="74" t="s">
        <v>10</v>
      </c>
      <c r="J2" s="44" t="s">
        <v>293</v>
      </c>
      <c r="K2" s="38" t="s">
        <v>321</v>
      </c>
      <c r="L2" s="38" t="s">
        <v>327</v>
      </c>
      <c r="M2" s="38" t="s">
        <v>243</v>
      </c>
    </row>
    <row r="3" spans="1:13">
      <c r="A3">
        <v>1</v>
      </c>
      <c r="B3" s="66" t="s">
        <v>645</v>
      </c>
      <c r="C3" s="67">
        <v>567919769</v>
      </c>
      <c r="D3" s="5">
        <v>199</v>
      </c>
      <c r="E3" s="5" t="s">
        <v>12</v>
      </c>
      <c r="F3" s="42">
        <v>44682</v>
      </c>
      <c r="G3" s="5" t="s">
        <v>393</v>
      </c>
      <c r="H3" s="5"/>
      <c r="I3" s="93" t="s">
        <v>632</v>
      </c>
      <c r="J3" s="5">
        <v>64929524</v>
      </c>
      <c r="K3" s="1" t="s">
        <v>466</v>
      </c>
      <c r="L3" s="1"/>
      <c r="M3" s="1" t="s">
        <v>332</v>
      </c>
    </row>
    <row r="4" spans="1:13">
      <c r="A4">
        <v>2</v>
      </c>
      <c r="B4" s="65" t="s">
        <v>646</v>
      </c>
      <c r="C4" s="5">
        <v>562462399</v>
      </c>
      <c r="D4" s="5">
        <v>199</v>
      </c>
      <c r="E4" s="5" t="s">
        <v>12</v>
      </c>
      <c r="F4" s="42">
        <v>44682</v>
      </c>
      <c r="G4" s="5" t="s">
        <v>393</v>
      </c>
      <c r="H4" s="5"/>
      <c r="I4" s="93" t="s">
        <v>634</v>
      </c>
      <c r="J4" s="5">
        <v>64932016</v>
      </c>
      <c r="K4" s="1" t="s">
        <v>176</v>
      </c>
      <c r="L4" s="1"/>
      <c r="M4" s="1" t="s">
        <v>332</v>
      </c>
    </row>
    <row r="5" spans="1:13">
      <c r="A5">
        <v>3</v>
      </c>
      <c r="B5" s="65" t="s">
        <v>647</v>
      </c>
      <c r="C5" s="5">
        <v>568643645</v>
      </c>
      <c r="D5" s="5">
        <v>199</v>
      </c>
      <c r="E5" s="5" t="s">
        <v>12</v>
      </c>
      <c r="F5" s="42">
        <v>44682</v>
      </c>
      <c r="G5" s="5" t="s">
        <v>393</v>
      </c>
      <c r="H5" s="5"/>
      <c r="I5" s="93" t="s">
        <v>648</v>
      </c>
      <c r="J5" s="5"/>
      <c r="K5" s="1" t="s">
        <v>466</v>
      </c>
      <c r="L5" s="1"/>
      <c r="M5" s="1" t="s">
        <v>332</v>
      </c>
    </row>
    <row r="6" spans="1:13">
      <c r="A6">
        <v>4</v>
      </c>
      <c r="B6" s="65" t="s">
        <v>649</v>
      </c>
      <c r="C6" s="5">
        <v>562786814</v>
      </c>
      <c r="D6" s="5">
        <v>199</v>
      </c>
      <c r="E6" s="5" t="s">
        <v>12</v>
      </c>
      <c r="F6" s="42">
        <v>44682</v>
      </c>
      <c r="G6" s="5" t="s">
        <v>393</v>
      </c>
      <c r="H6" s="5"/>
      <c r="I6" s="93" t="s">
        <v>650</v>
      </c>
      <c r="J6" s="5">
        <v>64954113</v>
      </c>
      <c r="K6" s="1" t="s">
        <v>176</v>
      </c>
      <c r="L6" s="1"/>
      <c r="M6" s="1" t="s">
        <v>332</v>
      </c>
    </row>
    <row r="7" spans="1:13">
      <c r="A7">
        <v>5</v>
      </c>
      <c r="B7" s="73" t="s">
        <v>651</v>
      </c>
      <c r="C7" s="5">
        <v>551045793</v>
      </c>
      <c r="D7" s="5">
        <v>199</v>
      </c>
      <c r="E7" s="5" t="s">
        <v>12</v>
      </c>
      <c r="F7" s="42">
        <v>44684</v>
      </c>
      <c r="G7" s="5" t="s">
        <v>393</v>
      </c>
      <c r="H7" s="5"/>
      <c r="I7" s="93" t="s">
        <v>652</v>
      </c>
      <c r="J7" s="5">
        <v>64994609</v>
      </c>
      <c r="K7" s="1" t="s">
        <v>778</v>
      </c>
      <c r="L7" s="1"/>
      <c r="M7" s="1" t="s">
        <v>332</v>
      </c>
    </row>
    <row r="8" spans="1:13">
      <c r="A8">
        <v>6</v>
      </c>
      <c r="B8" s="65" t="s">
        <v>653</v>
      </c>
      <c r="C8" s="5">
        <v>506273831</v>
      </c>
      <c r="D8" s="5">
        <v>199</v>
      </c>
      <c r="E8" s="5" t="s">
        <v>12</v>
      </c>
      <c r="F8" s="42">
        <v>44684</v>
      </c>
      <c r="G8" s="5" t="s">
        <v>393</v>
      </c>
      <c r="H8" s="5"/>
      <c r="I8" s="94">
        <v>1.4717292</v>
      </c>
      <c r="J8" s="62">
        <v>65122883</v>
      </c>
      <c r="K8" s="1"/>
      <c r="L8" s="1"/>
      <c r="M8" s="1" t="s">
        <v>332</v>
      </c>
    </row>
    <row r="9" spans="1:13">
      <c r="A9">
        <v>7</v>
      </c>
      <c r="B9" s="65" t="s">
        <v>654</v>
      </c>
      <c r="C9" s="5">
        <v>527014787</v>
      </c>
      <c r="D9" s="5">
        <v>199</v>
      </c>
      <c r="E9" s="5" t="s">
        <v>12</v>
      </c>
      <c r="F9" s="42">
        <v>44684</v>
      </c>
      <c r="G9" s="5" t="s">
        <v>393</v>
      </c>
      <c r="H9" s="5"/>
      <c r="I9" s="94">
        <v>1.4725102699999999</v>
      </c>
      <c r="J9" s="62">
        <v>65247305</v>
      </c>
      <c r="K9" s="1"/>
      <c r="L9" s="1"/>
      <c r="M9" s="1" t="s">
        <v>332</v>
      </c>
    </row>
    <row r="10" spans="1:13">
      <c r="A10">
        <v>8</v>
      </c>
      <c r="B10" s="65" t="s">
        <v>655</v>
      </c>
      <c r="C10" s="5">
        <v>545428751</v>
      </c>
      <c r="D10" s="5">
        <v>199</v>
      </c>
      <c r="E10" s="5" t="s">
        <v>12</v>
      </c>
      <c r="F10" s="42">
        <v>44684</v>
      </c>
      <c r="G10" s="5" t="s">
        <v>393</v>
      </c>
      <c r="H10" s="5"/>
      <c r="I10" s="94">
        <v>1.47201234</v>
      </c>
      <c r="J10" s="62">
        <v>65421291</v>
      </c>
      <c r="K10" s="1" t="s">
        <v>780</v>
      </c>
      <c r="L10" s="1"/>
      <c r="M10" s="1" t="s">
        <v>332</v>
      </c>
    </row>
    <row r="11" spans="1:13">
      <c r="A11">
        <v>9</v>
      </c>
      <c r="B11" s="71" t="s">
        <v>656</v>
      </c>
      <c r="C11" s="5">
        <v>568618392</v>
      </c>
      <c r="D11" s="5">
        <v>199</v>
      </c>
      <c r="E11" s="5" t="s">
        <v>12</v>
      </c>
      <c r="F11" s="42">
        <v>44684</v>
      </c>
      <c r="G11" s="5" t="s">
        <v>393</v>
      </c>
      <c r="H11" s="5"/>
      <c r="I11" s="94">
        <v>1.4711266199999999</v>
      </c>
      <c r="J11" s="5"/>
      <c r="K11" s="1"/>
      <c r="L11" s="1"/>
      <c r="M11" s="1" t="s">
        <v>332</v>
      </c>
    </row>
    <row r="12" spans="1:13">
      <c r="A12">
        <v>10</v>
      </c>
      <c r="B12" s="66" t="s">
        <v>657</v>
      </c>
      <c r="C12" s="5">
        <v>582957390</v>
      </c>
      <c r="D12" s="5">
        <v>199</v>
      </c>
      <c r="E12" s="5" t="s">
        <v>12</v>
      </c>
      <c r="F12" s="42">
        <v>44685</v>
      </c>
      <c r="G12" s="5" t="s">
        <v>393</v>
      </c>
      <c r="H12" s="5" t="s">
        <v>1223</v>
      </c>
      <c r="I12" s="93" t="s">
        <v>658</v>
      </c>
      <c r="J12" s="5">
        <v>65012421</v>
      </c>
      <c r="K12" s="1" t="s">
        <v>176</v>
      </c>
      <c r="L12" s="1"/>
      <c r="M12" s="1" t="s">
        <v>332</v>
      </c>
    </row>
    <row r="13" spans="1:13">
      <c r="A13">
        <v>11</v>
      </c>
      <c r="B13" s="71" t="s">
        <v>659</v>
      </c>
      <c r="C13" s="5">
        <v>547670872</v>
      </c>
      <c r="D13" s="5">
        <v>199</v>
      </c>
      <c r="E13" s="5" t="s">
        <v>12</v>
      </c>
      <c r="F13" s="42">
        <v>44685</v>
      </c>
      <c r="G13" s="5" t="s">
        <v>393</v>
      </c>
      <c r="H13" s="53" t="s">
        <v>481</v>
      </c>
      <c r="I13" s="93" t="s">
        <v>660</v>
      </c>
      <c r="J13" s="5">
        <v>65031568</v>
      </c>
      <c r="K13" s="1"/>
      <c r="L13" s="1"/>
      <c r="M13" s="1"/>
    </row>
    <row r="14" spans="1:13">
      <c r="A14">
        <v>12</v>
      </c>
      <c r="B14" s="66" t="s">
        <v>661</v>
      </c>
      <c r="C14" s="5">
        <v>502598154</v>
      </c>
      <c r="D14" s="5">
        <v>199</v>
      </c>
      <c r="E14" s="5" t="s">
        <v>12</v>
      </c>
      <c r="F14" s="42">
        <v>44685</v>
      </c>
      <c r="G14" s="5" t="s">
        <v>393</v>
      </c>
      <c r="H14" s="5"/>
      <c r="I14" s="93" t="s">
        <v>662</v>
      </c>
      <c r="J14" s="5">
        <v>65075765</v>
      </c>
      <c r="K14" s="1" t="s">
        <v>466</v>
      </c>
      <c r="L14" s="1"/>
      <c r="M14" s="1" t="s">
        <v>332</v>
      </c>
    </row>
    <row r="15" spans="1:13">
      <c r="A15">
        <v>13</v>
      </c>
      <c r="B15" s="66" t="s">
        <v>663</v>
      </c>
      <c r="C15" s="5">
        <v>567598344</v>
      </c>
      <c r="D15" s="5">
        <v>199</v>
      </c>
      <c r="E15" s="5" t="s">
        <v>12</v>
      </c>
      <c r="F15" s="42">
        <v>44688</v>
      </c>
      <c r="G15" s="5" t="s">
        <v>393</v>
      </c>
      <c r="H15" s="5"/>
      <c r="I15" s="93" t="s">
        <v>626</v>
      </c>
      <c r="J15" s="5"/>
      <c r="K15" s="1"/>
      <c r="L15" s="1"/>
      <c r="M15" s="1" t="s">
        <v>332</v>
      </c>
    </row>
    <row r="16" spans="1:13">
      <c r="A16">
        <v>14</v>
      </c>
      <c r="B16" s="66" t="s">
        <v>664</v>
      </c>
      <c r="C16" s="5">
        <v>503075646</v>
      </c>
      <c r="D16" s="5">
        <v>199</v>
      </c>
      <c r="E16" s="5" t="s">
        <v>12</v>
      </c>
      <c r="F16" s="42">
        <v>44688</v>
      </c>
      <c r="G16" s="5" t="s">
        <v>393</v>
      </c>
      <c r="H16" s="5"/>
      <c r="I16" s="93" t="s">
        <v>665</v>
      </c>
      <c r="J16" s="5">
        <v>65121018</v>
      </c>
      <c r="K16" s="1"/>
      <c r="L16" s="1"/>
      <c r="M16" s="1" t="s">
        <v>332</v>
      </c>
    </row>
    <row r="17" spans="1:13">
      <c r="A17">
        <v>15</v>
      </c>
      <c r="B17" s="71" t="s">
        <v>666</v>
      </c>
      <c r="C17" s="5">
        <v>508525022</v>
      </c>
      <c r="D17" s="5">
        <v>199</v>
      </c>
      <c r="E17" s="5" t="s">
        <v>12</v>
      </c>
      <c r="F17" s="42">
        <v>44688</v>
      </c>
      <c r="G17" s="5" t="s">
        <v>393</v>
      </c>
      <c r="H17" s="53" t="s">
        <v>481</v>
      </c>
      <c r="I17" s="94">
        <v>1.4236267600000001</v>
      </c>
      <c r="J17" s="62">
        <v>65124587</v>
      </c>
      <c r="K17" s="1"/>
      <c r="L17" s="1"/>
      <c r="M17" s="1"/>
    </row>
    <row r="18" spans="1:13">
      <c r="A18">
        <v>16</v>
      </c>
      <c r="B18" s="65" t="s">
        <v>667</v>
      </c>
      <c r="C18" s="5">
        <v>522865565</v>
      </c>
      <c r="D18" s="5">
        <v>199</v>
      </c>
      <c r="E18" s="5" t="s">
        <v>12</v>
      </c>
      <c r="F18" s="42">
        <v>44689</v>
      </c>
      <c r="G18" s="5" t="s">
        <v>393</v>
      </c>
      <c r="H18" s="5"/>
      <c r="I18" s="93" t="s">
        <v>668</v>
      </c>
      <c r="J18" s="5">
        <v>65141323</v>
      </c>
      <c r="K18" s="1" t="s">
        <v>466</v>
      </c>
      <c r="L18" s="1"/>
      <c r="M18" s="1" t="s">
        <v>332</v>
      </c>
    </row>
    <row r="19" spans="1:13">
      <c r="A19">
        <v>17</v>
      </c>
      <c r="B19" s="65" t="s">
        <v>669</v>
      </c>
      <c r="C19" s="5">
        <v>545890015</v>
      </c>
      <c r="D19" s="72">
        <v>199</v>
      </c>
      <c r="E19" s="5" t="s">
        <v>12</v>
      </c>
      <c r="F19" s="42">
        <v>44689</v>
      </c>
      <c r="G19" s="5" t="s">
        <v>393</v>
      </c>
      <c r="H19" s="5"/>
      <c r="I19" s="93" t="s">
        <v>670</v>
      </c>
      <c r="J19" s="5">
        <v>65144673</v>
      </c>
      <c r="K19" s="1"/>
      <c r="L19" s="1"/>
      <c r="M19" s="1" t="s">
        <v>332</v>
      </c>
    </row>
    <row r="20" spans="1:13">
      <c r="A20">
        <v>18</v>
      </c>
      <c r="B20" s="65" t="s">
        <v>671</v>
      </c>
      <c r="C20" s="5">
        <v>565500165</v>
      </c>
      <c r="D20" s="5">
        <v>199</v>
      </c>
      <c r="E20" s="5" t="s">
        <v>12</v>
      </c>
      <c r="F20" s="42">
        <v>44689</v>
      </c>
      <c r="G20" s="5" t="s">
        <v>393</v>
      </c>
      <c r="H20" s="5" t="s">
        <v>1223</v>
      </c>
      <c r="I20" s="93" t="s">
        <v>672</v>
      </c>
      <c r="J20" s="5">
        <v>65134776</v>
      </c>
      <c r="K20" s="1" t="s">
        <v>176</v>
      </c>
      <c r="L20" s="1"/>
      <c r="M20" s="1" t="s">
        <v>332</v>
      </c>
    </row>
    <row r="21" spans="1:13">
      <c r="A21">
        <v>19</v>
      </c>
      <c r="B21" s="66" t="s">
        <v>673</v>
      </c>
      <c r="C21" s="5">
        <v>543728626</v>
      </c>
      <c r="D21" s="5">
        <v>199</v>
      </c>
      <c r="E21" s="5" t="s">
        <v>674</v>
      </c>
      <c r="F21" s="42">
        <v>44689</v>
      </c>
      <c r="G21" s="5" t="s">
        <v>393</v>
      </c>
      <c r="H21" s="5"/>
      <c r="I21" s="93" t="s">
        <v>675</v>
      </c>
      <c r="J21" s="5">
        <v>65142943</v>
      </c>
      <c r="K21" s="1" t="s">
        <v>778</v>
      </c>
      <c r="L21" s="1"/>
      <c r="M21" s="1" t="s">
        <v>332</v>
      </c>
    </row>
    <row r="22" spans="1:13">
      <c r="A22">
        <v>20</v>
      </c>
      <c r="B22" s="66" t="s">
        <v>676</v>
      </c>
      <c r="C22" s="5">
        <v>507505822</v>
      </c>
      <c r="D22" s="5">
        <v>199</v>
      </c>
      <c r="E22" s="5" t="s">
        <v>12</v>
      </c>
      <c r="F22" s="42">
        <v>44689</v>
      </c>
      <c r="G22" s="5" t="s">
        <v>393</v>
      </c>
      <c r="H22" s="5"/>
      <c r="I22" s="93" t="s">
        <v>677</v>
      </c>
      <c r="J22" s="5">
        <v>65138193</v>
      </c>
      <c r="K22" s="1" t="s">
        <v>468</v>
      </c>
      <c r="L22" s="1"/>
      <c r="M22" s="1" t="s">
        <v>332</v>
      </c>
    </row>
    <row r="23" spans="1:13">
      <c r="A23">
        <v>21</v>
      </c>
      <c r="B23" s="66" t="s">
        <v>678</v>
      </c>
      <c r="C23" s="5">
        <v>509446088</v>
      </c>
      <c r="D23" s="5">
        <v>199</v>
      </c>
      <c r="E23" s="5" t="s">
        <v>112</v>
      </c>
      <c r="F23" s="42">
        <v>44691</v>
      </c>
      <c r="G23" s="5" t="s">
        <v>393</v>
      </c>
      <c r="H23" s="5"/>
      <c r="I23" s="93" t="s">
        <v>679</v>
      </c>
      <c r="J23" s="72" t="s">
        <v>680</v>
      </c>
      <c r="K23" s="1" t="s">
        <v>176</v>
      </c>
      <c r="L23" s="1"/>
      <c r="M23" s="1" t="s">
        <v>332</v>
      </c>
    </row>
    <row r="24" spans="1:13">
      <c r="A24">
        <v>22</v>
      </c>
      <c r="B24" s="66" t="s">
        <v>678</v>
      </c>
      <c r="C24" s="5">
        <v>509446088</v>
      </c>
      <c r="D24" s="5">
        <v>199</v>
      </c>
      <c r="E24" s="5" t="s">
        <v>112</v>
      </c>
      <c r="F24" s="42">
        <v>44691</v>
      </c>
      <c r="G24" s="5" t="s">
        <v>393</v>
      </c>
      <c r="H24" s="5"/>
      <c r="I24" s="93" t="s">
        <v>679</v>
      </c>
      <c r="J24" s="72" t="s">
        <v>681</v>
      </c>
      <c r="K24" s="1" t="s">
        <v>176</v>
      </c>
      <c r="L24" s="1"/>
      <c r="M24" s="1" t="s">
        <v>332</v>
      </c>
    </row>
    <row r="25" spans="1:13">
      <c r="A25">
        <v>23</v>
      </c>
      <c r="B25" s="66" t="s">
        <v>678</v>
      </c>
      <c r="C25" s="5">
        <v>509446088</v>
      </c>
      <c r="D25" s="5">
        <v>199</v>
      </c>
      <c r="E25" s="5" t="s">
        <v>112</v>
      </c>
      <c r="F25" s="42">
        <v>44691</v>
      </c>
      <c r="G25" s="5" t="s">
        <v>393</v>
      </c>
      <c r="H25" s="5"/>
      <c r="I25" s="93" t="s">
        <v>679</v>
      </c>
      <c r="J25" s="72" t="s">
        <v>682</v>
      </c>
      <c r="K25" s="1" t="s">
        <v>176</v>
      </c>
      <c r="L25" s="1"/>
      <c r="M25" s="1" t="s">
        <v>332</v>
      </c>
    </row>
    <row r="26" spans="1:13">
      <c r="A26">
        <v>24</v>
      </c>
      <c r="B26" s="66" t="s">
        <v>678</v>
      </c>
      <c r="C26" s="5">
        <v>509446088</v>
      </c>
      <c r="D26" s="5">
        <v>199</v>
      </c>
      <c r="E26" s="5" t="s">
        <v>112</v>
      </c>
      <c r="F26" s="42">
        <v>44691</v>
      </c>
      <c r="G26" s="5" t="s">
        <v>393</v>
      </c>
      <c r="H26" s="5"/>
      <c r="I26" s="93" t="s">
        <v>679</v>
      </c>
      <c r="J26" s="72" t="s">
        <v>683</v>
      </c>
      <c r="K26" s="1" t="s">
        <v>176</v>
      </c>
      <c r="L26" s="1"/>
      <c r="M26" s="1" t="s">
        <v>332</v>
      </c>
    </row>
    <row r="27" spans="1:13">
      <c r="A27">
        <v>25</v>
      </c>
      <c r="B27" s="66" t="s">
        <v>678</v>
      </c>
      <c r="C27" s="5">
        <v>509446088</v>
      </c>
      <c r="D27" s="5">
        <v>199</v>
      </c>
      <c r="E27" s="5" t="s">
        <v>112</v>
      </c>
      <c r="F27" s="42">
        <v>44691</v>
      </c>
      <c r="G27" s="5" t="s">
        <v>393</v>
      </c>
      <c r="H27" s="5"/>
      <c r="I27" s="93" t="s">
        <v>679</v>
      </c>
      <c r="J27" s="72" t="s">
        <v>684</v>
      </c>
      <c r="K27" s="1" t="s">
        <v>176</v>
      </c>
      <c r="L27" s="1"/>
      <c r="M27" s="1" t="s">
        <v>332</v>
      </c>
    </row>
    <row r="28" spans="1:13">
      <c r="A28">
        <v>26</v>
      </c>
      <c r="B28" s="66" t="s">
        <v>685</v>
      </c>
      <c r="C28" s="67">
        <v>545800214</v>
      </c>
      <c r="D28" s="5">
        <v>199</v>
      </c>
      <c r="E28" s="5" t="s">
        <v>12</v>
      </c>
      <c r="F28" s="42">
        <v>44691</v>
      </c>
      <c r="G28" s="5" t="s">
        <v>393</v>
      </c>
      <c r="H28" s="5"/>
      <c r="I28" s="93" t="s">
        <v>686</v>
      </c>
      <c r="J28" s="5">
        <v>65190134</v>
      </c>
      <c r="K28" s="1" t="s">
        <v>176</v>
      </c>
      <c r="L28" s="1"/>
      <c r="M28" s="1" t="s">
        <v>332</v>
      </c>
    </row>
    <row r="29" spans="1:13">
      <c r="A29">
        <v>27</v>
      </c>
      <c r="B29" s="66" t="s">
        <v>687</v>
      </c>
      <c r="C29" s="67">
        <v>503419186</v>
      </c>
      <c r="D29" s="5">
        <v>199</v>
      </c>
      <c r="E29" s="5" t="s">
        <v>12</v>
      </c>
      <c r="F29" s="42">
        <v>44691</v>
      </c>
      <c r="G29" s="5" t="s">
        <v>393</v>
      </c>
      <c r="H29" s="5"/>
      <c r="I29" s="93" t="s">
        <v>688</v>
      </c>
      <c r="J29" s="5">
        <v>65207467</v>
      </c>
      <c r="K29" s="1"/>
      <c r="L29" s="1"/>
      <c r="M29" s="1" t="s">
        <v>332</v>
      </c>
    </row>
    <row r="30" spans="1:13">
      <c r="A30">
        <v>28</v>
      </c>
      <c r="B30" s="65" t="s">
        <v>689</v>
      </c>
      <c r="C30" s="5">
        <v>543941075</v>
      </c>
      <c r="D30" s="5">
        <v>199</v>
      </c>
      <c r="E30" s="5" t="s">
        <v>12</v>
      </c>
      <c r="F30" s="42">
        <v>44691</v>
      </c>
      <c r="G30" s="5" t="s">
        <v>393</v>
      </c>
      <c r="H30" s="5"/>
      <c r="I30" s="93" t="s">
        <v>690</v>
      </c>
      <c r="J30" s="5">
        <v>65213372</v>
      </c>
      <c r="K30" s="1" t="s">
        <v>176</v>
      </c>
      <c r="L30" s="1"/>
      <c r="M30" s="1" t="s">
        <v>332</v>
      </c>
    </row>
    <row r="31" spans="1:13">
      <c r="A31">
        <v>29</v>
      </c>
      <c r="B31" s="89" t="s">
        <v>691</v>
      </c>
      <c r="C31" s="67">
        <v>589986776</v>
      </c>
      <c r="D31" s="5">
        <v>199</v>
      </c>
      <c r="E31" s="5" t="s">
        <v>12</v>
      </c>
      <c r="F31" s="42">
        <v>44692</v>
      </c>
      <c r="G31" s="5" t="s">
        <v>393</v>
      </c>
      <c r="H31" s="5" t="s">
        <v>1223</v>
      </c>
      <c r="I31" s="93" t="s">
        <v>692</v>
      </c>
      <c r="J31" s="5">
        <v>65221247</v>
      </c>
      <c r="K31" s="1" t="s">
        <v>176</v>
      </c>
      <c r="L31" s="1"/>
      <c r="M31" s="1" t="s">
        <v>332</v>
      </c>
    </row>
    <row r="32" spans="1:13">
      <c r="A32">
        <v>30</v>
      </c>
      <c r="B32" s="65" t="s">
        <v>693</v>
      </c>
      <c r="C32" s="5">
        <v>545617816</v>
      </c>
      <c r="D32" s="5">
        <v>199</v>
      </c>
      <c r="E32" s="5" t="s">
        <v>12</v>
      </c>
      <c r="F32" s="42">
        <v>44692</v>
      </c>
      <c r="G32" s="5" t="s">
        <v>393</v>
      </c>
      <c r="H32" s="53" t="s">
        <v>481</v>
      </c>
      <c r="I32" s="93" t="s">
        <v>694</v>
      </c>
      <c r="J32" s="5">
        <v>65227907</v>
      </c>
      <c r="K32" s="1"/>
      <c r="L32" s="1"/>
      <c r="M32" s="1"/>
    </row>
    <row r="33" spans="1:13">
      <c r="A33">
        <v>31</v>
      </c>
      <c r="B33" s="66" t="s">
        <v>695</v>
      </c>
      <c r="C33" s="67">
        <v>544054430</v>
      </c>
      <c r="D33" s="5">
        <v>199</v>
      </c>
      <c r="E33" s="5" t="s">
        <v>12</v>
      </c>
      <c r="F33" s="42">
        <v>44692</v>
      </c>
      <c r="G33" s="5" t="s">
        <v>393</v>
      </c>
      <c r="H33" s="5"/>
      <c r="I33" s="93" t="s">
        <v>696</v>
      </c>
      <c r="J33" s="5">
        <v>65233425</v>
      </c>
      <c r="K33" s="1" t="s">
        <v>176</v>
      </c>
      <c r="L33" s="1"/>
      <c r="M33" s="1" t="s">
        <v>332</v>
      </c>
    </row>
    <row r="34" spans="1:13">
      <c r="A34">
        <v>32</v>
      </c>
      <c r="B34" s="66" t="s">
        <v>697</v>
      </c>
      <c r="C34" s="67">
        <v>504182646</v>
      </c>
      <c r="D34" s="5">
        <v>199</v>
      </c>
      <c r="E34" s="5" t="s">
        <v>12</v>
      </c>
      <c r="F34" s="42">
        <v>44692</v>
      </c>
      <c r="G34" s="5" t="s">
        <v>393</v>
      </c>
      <c r="H34" s="5"/>
      <c r="I34" s="93" t="s">
        <v>698</v>
      </c>
      <c r="J34" s="5">
        <v>65232920</v>
      </c>
      <c r="K34" s="1" t="s">
        <v>778</v>
      </c>
      <c r="L34" s="1"/>
      <c r="M34" s="1" t="s">
        <v>332</v>
      </c>
    </row>
    <row r="35" spans="1:13">
      <c r="A35">
        <v>33</v>
      </c>
      <c r="B35" s="66" t="s">
        <v>699</v>
      </c>
      <c r="C35" s="67">
        <v>65235759</v>
      </c>
      <c r="D35" s="5">
        <v>199</v>
      </c>
      <c r="E35" s="5" t="s">
        <v>12</v>
      </c>
      <c r="F35" s="42">
        <v>44693</v>
      </c>
      <c r="G35" s="5" t="s">
        <v>393</v>
      </c>
      <c r="H35" s="5"/>
      <c r="I35" s="93" t="s">
        <v>700</v>
      </c>
      <c r="J35" s="5">
        <v>65235759</v>
      </c>
      <c r="K35" s="1"/>
      <c r="L35" s="1"/>
      <c r="M35" s="1" t="s">
        <v>332</v>
      </c>
    </row>
    <row r="36" spans="1:13">
      <c r="A36">
        <v>34</v>
      </c>
      <c r="B36" s="66" t="s">
        <v>701</v>
      </c>
      <c r="C36" s="67">
        <v>527014787</v>
      </c>
      <c r="D36" s="5">
        <v>199</v>
      </c>
      <c r="E36" s="5" t="s">
        <v>12</v>
      </c>
      <c r="F36" s="42">
        <v>44693</v>
      </c>
      <c r="G36" s="5" t="s">
        <v>393</v>
      </c>
      <c r="H36" s="5"/>
      <c r="I36" s="93" t="s">
        <v>702</v>
      </c>
      <c r="J36" s="5">
        <v>65247305</v>
      </c>
      <c r="K36" s="1" t="s">
        <v>176</v>
      </c>
      <c r="L36" s="1"/>
      <c r="M36" s="1" t="s">
        <v>332</v>
      </c>
    </row>
    <row r="37" spans="1:13">
      <c r="A37">
        <v>35</v>
      </c>
      <c r="B37" s="66" t="s">
        <v>703</v>
      </c>
      <c r="C37" s="67">
        <v>564951124</v>
      </c>
      <c r="D37" s="5">
        <v>199</v>
      </c>
      <c r="E37" s="5" t="s">
        <v>12</v>
      </c>
      <c r="F37" s="42">
        <v>44693</v>
      </c>
      <c r="G37" s="5" t="s">
        <v>393</v>
      </c>
      <c r="H37" s="5"/>
      <c r="I37" s="93" t="s">
        <v>704</v>
      </c>
      <c r="J37" s="5">
        <v>65256816</v>
      </c>
      <c r="K37" s="1" t="s">
        <v>176</v>
      </c>
      <c r="L37" s="1"/>
      <c r="M37" s="1" t="s">
        <v>332</v>
      </c>
    </row>
    <row r="38" spans="1:13">
      <c r="A38">
        <v>36</v>
      </c>
      <c r="B38" s="66" t="s">
        <v>705</v>
      </c>
      <c r="C38" s="67">
        <v>506756661</v>
      </c>
      <c r="D38" s="5">
        <v>199</v>
      </c>
      <c r="E38" s="5" t="s">
        <v>12</v>
      </c>
      <c r="F38" s="42">
        <v>44693</v>
      </c>
      <c r="G38" s="5" t="s">
        <v>393</v>
      </c>
      <c r="H38" s="5" t="s">
        <v>1223</v>
      </c>
      <c r="I38" s="93" t="s">
        <v>706</v>
      </c>
      <c r="J38" s="5">
        <v>65247751</v>
      </c>
      <c r="K38" s="1"/>
      <c r="L38" s="1"/>
      <c r="M38" s="1" t="s">
        <v>332</v>
      </c>
    </row>
    <row r="39" spans="1:13">
      <c r="A39">
        <v>37</v>
      </c>
      <c r="B39" s="66" t="s">
        <v>707</v>
      </c>
      <c r="C39" s="67">
        <v>543711426</v>
      </c>
      <c r="D39" s="5">
        <v>199</v>
      </c>
      <c r="E39" s="5" t="s">
        <v>112</v>
      </c>
      <c r="F39" s="42">
        <v>44693</v>
      </c>
      <c r="G39" s="5" t="s">
        <v>393</v>
      </c>
      <c r="H39" s="5"/>
      <c r="I39" s="93" t="s">
        <v>708</v>
      </c>
      <c r="J39" s="5"/>
      <c r="K39" s="1" t="s">
        <v>176</v>
      </c>
      <c r="L39" s="1"/>
      <c r="M39" s="1" t="s">
        <v>332</v>
      </c>
    </row>
    <row r="40" spans="1:13">
      <c r="A40">
        <v>38</v>
      </c>
      <c r="B40" s="66" t="s">
        <v>709</v>
      </c>
      <c r="C40" s="67">
        <v>526779913</v>
      </c>
      <c r="D40" s="5">
        <v>199</v>
      </c>
      <c r="E40" s="5" t="s">
        <v>12</v>
      </c>
      <c r="F40" s="42">
        <v>44693</v>
      </c>
      <c r="G40" s="5" t="s">
        <v>393</v>
      </c>
      <c r="H40" s="5"/>
      <c r="I40" s="93" t="s">
        <v>710</v>
      </c>
      <c r="J40" s="5">
        <v>65305413</v>
      </c>
      <c r="K40" s="1" t="s">
        <v>193</v>
      </c>
      <c r="L40" s="1"/>
      <c r="M40" s="1" t="s">
        <v>332</v>
      </c>
    </row>
    <row r="41" spans="1:13">
      <c r="A41">
        <v>39</v>
      </c>
      <c r="B41" s="68" t="s">
        <v>711</v>
      </c>
      <c r="C41" s="67">
        <v>588348537</v>
      </c>
      <c r="D41" s="5">
        <v>199</v>
      </c>
      <c r="E41" s="5" t="s">
        <v>12</v>
      </c>
      <c r="F41" s="42">
        <v>44693</v>
      </c>
      <c r="G41" s="5" t="s">
        <v>393</v>
      </c>
      <c r="H41" s="5"/>
      <c r="I41" s="93" t="s">
        <v>712</v>
      </c>
      <c r="J41" s="5">
        <v>65303067</v>
      </c>
      <c r="K41" s="1" t="s">
        <v>176</v>
      </c>
      <c r="L41" s="1"/>
      <c r="M41" s="1" t="s">
        <v>332</v>
      </c>
    </row>
    <row r="42" spans="1:13">
      <c r="A42">
        <v>40</v>
      </c>
      <c r="B42" s="68" t="s">
        <v>713</v>
      </c>
      <c r="C42" s="67">
        <v>558142811</v>
      </c>
      <c r="D42" s="5">
        <v>199</v>
      </c>
      <c r="E42" s="5" t="s">
        <v>12</v>
      </c>
      <c r="F42" s="42">
        <v>44696</v>
      </c>
      <c r="G42" s="5" t="s">
        <v>393</v>
      </c>
      <c r="H42" s="5"/>
      <c r="I42" s="93"/>
      <c r="J42" s="5">
        <v>65334557</v>
      </c>
      <c r="K42" s="1" t="s">
        <v>779</v>
      </c>
      <c r="L42" s="1"/>
      <c r="M42" s="1" t="s">
        <v>332</v>
      </c>
    </row>
    <row r="43" spans="1:13">
      <c r="A43">
        <v>41</v>
      </c>
      <c r="B43" s="66" t="s">
        <v>714</v>
      </c>
      <c r="C43" s="67">
        <v>561837497</v>
      </c>
      <c r="D43" s="5">
        <v>199</v>
      </c>
      <c r="E43" s="5" t="s">
        <v>12</v>
      </c>
      <c r="F43" s="42">
        <v>44696</v>
      </c>
      <c r="G43" s="5" t="s">
        <v>393</v>
      </c>
      <c r="H43" s="5" t="s">
        <v>1223</v>
      </c>
      <c r="I43" s="93" t="s">
        <v>715</v>
      </c>
      <c r="J43" s="5">
        <v>65355462</v>
      </c>
      <c r="K43" s="1" t="s">
        <v>193</v>
      </c>
      <c r="L43" s="1"/>
      <c r="M43" s="1" t="s">
        <v>332</v>
      </c>
    </row>
    <row r="44" spans="1:13">
      <c r="A44">
        <v>42</v>
      </c>
      <c r="B44" s="66" t="s">
        <v>716</v>
      </c>
      <c r="C44" s="67">
        <v>561009864</v>
      </c>
      <c r="D44" s="5">
        <v>199</v>
      </c>
      <c r="E44" s="5" t="s">
        <v>12</v>
      </c>
      <c r="F44" s="42">
        <v>44698</v>
      </c>
      <c r="G44" s="5" t="s">
        <v>393</v>
      </c>
      <c r="H44" s="5"/>
      <c r="I44" s="93" t="s">
        <v>717</v>
      </c>
      <c r="J44" s="5">
        <v>65379181</v>
      </c>
      <c r="K44" s="1" t="s">
        <v>778</v>
      </c>
      <c r="L44" s="1"/>
      <c r="M44" s="1" t="s">
        <v>332</v>
      </c>
    </row>
    <row r="45" spans="1:13">
      <c r="A45">
        <v>43</v>
      </c>
      <c r="B45" s="66" t="s">
        <v>718</v>
      </c>
      <c r="C45" s="67">
        <v>555108555</v>
      </c>
      <c r="D45" s="5">
        <v>199</v>
      </c>
      <c r="E45" s="5" t="s">
        <v>12</v>
      </c>
      <c r="F45" s="42">
        <v>44698</v>
      </c>
      <c r="G45" s="5" t="s">
        <v>393</v>
      </c>
      <c r="H45" s="5"/>
      <c r="I45" s="93" t="s">
        <v>719</v>
      </c>
      <c r="J45" s="5">
        <v>65382726</v>
      </c>
      <c r="K45" s="1"/>
      <c r="L45" s="1"/>
      <c r="M45" s="1" t="s">
        <v>332</v>
      </c>
    </row>
    <row r="46" spans="1:13">
      <c r="A46">
        <v>44</v>
      </c>
      <c r="B46" s="66" t="s">
        <v>720</v>
      </c>
      <c r="C46" s="67">
        <v>568064904</v>
      </c>
      <c r="D46" s="5">
        <v>199</v>
      </c>
      <c r="E46" s="5" t="s">
        <v>12</v>
      </c>
      <c r="F46" s="42">
        <v>44698</v>
      </c>
      <c r="G46" s="5" t="s">
        <v>393</v>
      </c>
      <c r="H46" s="5"/>
      <c r="I46" s="93" t="s">
        <v>721</v>
      </c>
      <c r="J46" s="5">
        <v>65380910</v>
      </c>
      <c r="K46" s="1"/>
      <c r="L46" s="1"/>
      <c r="M46" s="1" t="s">
        <v>332</v>
      </c>
    </row>
    <row r="47" spans="1:13">
      <c r="A47">
        <v>45</v>
      </c>
      <c r="B47" s="66" t="s">
        <v>722</v>
      </c>
      <c r="C47" s="67">
        <v>507988127</v>
      </c>
      <c r="D47" s="5">
        <v>199</v>
      </c>
      <c r="E47" s="5" t="s">
        <v>12</v>
      </c>
      <c r="F47" s="42">
        <v>44698</v>
      </c>
      <c r="G47" s="5" t="s">
        <v>393</v>
      </c>
      <c r="H47" s="5" t="s">
        <v>1265</v>
      </c>
      <c r="I47" s="93" t="s">
        <v>723</v>
      </c>
      <c r="J47" s="5">
        <v>65393052</v>
      </c>
      <c r="K47" s="1" t="s">
        <v>176</v>
      </c>
      <c r="L47" s="1"/>
      <c r="M47" s="1" t="s">
        <v>332</v>
      </c>
    </row>
    <row r="48" spans="1:13">
      <c r="A48">
        <v>46</v>
      </c>
      <c r="B48" s="66" t="s">
        <v>724</v>
      </c>
      <c r="C48" s="67">
        <v>545428751</v>
      </c>
      <c r="D48" s="5">
        <v>199</v>
      </c>
      <c r="E48" s="5" t="s">
        <v>61</v>
      </c>
      <c r="F48" s="42">
        <v>44700</v>
      </c>
      <c r="G48" s="5" t="s">
        <v>393</v>
      </c>
      <c r="H48" s="5"/>
      <c r="I48" s="93" t="s">
        <v>725</v>
      </c>
      <c r="J48" s="5">
        <v>65421291</v>
      </c>
      <c r="K48" s="1"/>
      <c r="L48" s="1"/>
      <c r="M48" s="1" t="s">
        <v>332</v>
      </c>
    </row>
    <row r="49" spans="1:13">
      <c r="A49">
        <v>47</v>
      </c>
      <c r="B49" s="66" t="s">
        <v>726</v>
      </c>
      <c r="C49" s="67">
        <v>585867406</v>
      </c>
      <c r="D49" s="5">
        <v>199</v>
      </c>
      <c r="E49" s="5" t="s">
        <v>12</v>
      </c>
      <c r="F49" s="42">
        <v>44700</v>
      </c>
      <c r="G49" s="5" t="s">
        <v>393</v>
      </c>
      <c r="H49" s="5"/>
      <c r="I49" s="93" t="s">
        <v>727</v>
      </c>
      <c r="J49" s="5">
        <v>65433598</v>
      </c>
      <c r="K49" s="1" t="s">
        <v>176</v>
      </c>
      <c r="L49" s="1"/>
      <c r="M49" s="1" t="s">
        <v>332</v>
      </c>
    </row>
    <row r="50" spans="1:13">
      <c r="A50">
        <v>48</v>
      </c>
      <c r="B50" s="66" t="s">
        <v>728</v>
      </c>
      <c r="C50" s="67">
        <v>508142969</v>
      </c>
      <c r="D50" s="5">
        <v>199</v>
      </c>
      <c r="E50" s="5" t="s">
        <v>12</v>
      </c>
      <c r="F50" s="42">
        <v>44701</v>
      </c>
      <c r="G50" s="5" t="s">
        <v>393</v>
      </c>
      <c r="H50" s="5"/>
      <c r="I50" s="93" t="s">
        <v>729</v>
      </c>
      <c r="J50" s="5">
        <v>65447395</v>
      </c>
      <c r="K50" s="1" t="s">
        <v>176</v>
      </c>
      <c r="L50" s="1"/>
      <c r="M50" s="1" t="s">
        <v>332</v>
      </c>
    </row>
    <row r="51" spans="1:13">
      <c r="A51">
        <v>49</v>
      </c>
      <c r="B51" s="66" t="s">
        <v>730</v>
      </c>
      <c r="C51" s="67">
        <v>562818607</v>
      </c>
      <c r="D51" s="5">
        <v>199</v>
      </c>
      <c r="E51" s="5" t="s">
        <v>12</v>
      </c>
      <c r="F51" s="42">
        <v>44701</v>
      </c>
      <c r="G51" s="5" t="s">
        <v>393</v>
      </c>
      <c r="H51" s="5"/>
      <c r="I51" s="93" t="s">
        <v>731</v>
      </c>
      <c r="J51" s="5">
        <v>65471297</v>
      </c>
      <c r="K51" s="1" t="s">
        <v>779</v>
      </c>
      <c r="L51" s="1"/>
      <c r="M51" s="1" t="s">
        <v>332</v>
      </c>
    </row>
    <row r="52" spans="1:13">
      <c r="A52">
        <v>50</v>
      </c>
      <c r="B52" s="66" t="s">
        <v>732</v>
      </c>
      <c r="C52" s="67">
        <v>551034092</v>
      </c>
      <c r="D52" s="5">
        <v>199</v>
      </c>
      <c r="E52" s="5" t="s">
        <v>12</v>
      </c>
      <c r="F52" s="42">
        <v>44703</v>
      </c>
      <c r="G52" s="5" t="s">
        <v>393</v>
      </c>
      <c r="H52" s="5" t="s">
        <v>1223</v>
      </c>
      <c r="I52" s="93" t="s">
        <v>733</v>
      </c>
      <c r="J52" s="5">
        <v>65571641</v>
      </c>
      <c r="K52" s="1" t="s">
        <v>193</v>
      </c>
      <c r="L52" s="1"/>
      <c r="M52" s="1" t="s">
        <v>332</v>
      </c>
    </row>
    <row r="53" spans="1:13">
      <c r="A53">
        <v>51</v>
      </c>
      <c r="B53" s="66" t="s">
        <v>734</v>
      </c>
      <c r="C53" s="67">
        <v>526251152</v>
      </c>
      <c r="D53" s="5">
        <v>199</v>
      </c>
      <c r="E53" s="5" t="s">
        <v>12</v>
      </c>
      <c r="F53" s="42">
        <v>44705</v>
      </c>
      <c r="G53" s="5" t="s">
        <v>393</v>
      </c>
      <c r="H53" s="5"/>
      <c r="I53" s="93" t="s">
        <v>735</v>
      </c>
      <c r="J53" s="5">
        <v>65571641</v>
      </c>
      <c r="K53" s="1" t="s">
        <v>193</v>
      </c>
      <c r="L53" s="1"/>
      <c r="M53" s="1" t="s">
        <v>332</v>
      </c>
    </row>
    <row r="54" spans="1:13">
      <c r="A54">
        <v>52</v>
      </c>
      <c r="B54" s="66" t="s">
        <v>736</v>
      </c>
      <c r="C54" s="67">
        <v>568509029</v>
      </c>
      <c r="D54" s="5">
        <v>199</v>
      </c>
      <c r="E54" s="5" t="s">
        <v>12</v>
      </c>
      <c r="F54" s="42">
        <v>44705</v>
      </c>
      <c r="G54" s="5" t="s">
        <v>393</v>
      </c>
      <c r="H54" s="5"/>
      <c r="I54" s="93" t="s">
        <v>737</v>
      </c>
      <c r="J54" s="5">
        <v>65583205</v>
      </c>
      <c r="K54" s="1"/>
      <c r="L54" s="1"/>
      <c r="M54" s="1" t="s">
        <v>332</v>
      </c>
    </row>
    <row r="55" spans="1:13">
      <c r="A55">
        <v>53</v>
      </c>
      <c r="B55" s="66" t="s">
        <v>738</v>
      </c>
      <c r="C55" s="67">
        <v>544482674</v>
      </c>
      <c r="D55" s="5">
        <v>199</v>
      </c>
      <c r="E55" s="5" t="s">
        <v>12</v>
      </c>
      <c r="F55" s="42">
        <v>44706</v>
      </c>
      <c r="G55" s="5" t="s">
        <v>393</v>
      </c>
      <c r="H55" s="5" t="s">
        <v>1223</v>
      </c>
      <c r="I55" s="93" t="s">
        <v>739</v>
      </c>
      <c r="J55" s="5">
        <v>65593164</v>
      </c>
      <c r="K55" s="1" t="s">
        <v>778</v>
      </c>
      <c r="L55" s="1"/>
      <c r="M55" s="1" t="s">
        <v>332</v>
      </c>
    </row>
    <row r="56" spans="1:13">
      <c r="A56">
        <v>54</v>
      </c>
      <c r="B56" s="66" t="s">
        <v>740</v>
      </c>
      <c r="C56" s="5">
        <v>545673566</v>
      </c>
      <c r="D56" s="5">
        <v>199</v>
      </c>
      <c r="E56" s="5" t="s">
        <v>61</v>
      </c>
      <c r="F56" s="42">
        <v>44706</v>
      </c>
      <c r="G56" s="5" t="s">
        <v>393</v>
      </c>
      <c r="H56" s="5" t="s">
        <v>1223</v>
      </c>
      <c r="I56" s="52">
        <v>1.47475365</v>
      </c>
      <c r="J56" s="62">
        <v>65599185</v>
      </c>
      <c r="K56" s="1" t="s">
        <v>176</v>
      </c>
      <c r="L56" s="1"/>
      <c r="M56" s="1" t="s">
        <v>332</v>
      </c>
    </row>
    <row r="57" spans="1:13">
      <c r="A57">
        <v>55</v>
      </c>
      <c r="B57" s="66" t="s">
        <v>741</v>
      </c>
      <c r="C57" s="67">
        <v>545673566</v>
      </c>
      <c r="D57" s="5">
        <v>199</v>
      </c>
      <c r="E57" s="5" t="s">
        <v>61</v>
      </c>
      <c r="F57" s="42">
        <v>44706</v>
      </c>
      <c r="G57" s="5" t="s">
        <v>393</v>
      </c>
      <c r="H57" s="5" t="s">
        <v>1223</v>
      </c>
      <c r="I57" s="93" t="s">
        <v>742</v>
      </c>
      <c r="J57" s="5">
        <v>65599184</v>
      </c>
      <c r="K57" s="1" t="s">
        <v>176</v>
      </c>
      <c r="L57" s="1"/>
      <c r="M57" s="1" t="s">
        <v>332</v>
      </c>
    </row>
    <row r="58" spans="1:13">
      <c r="A58">
        <v>56</v>
      </c>
      <c r="B58" s="90" t="s">
        <v>743</v>
      </c>
      <c r="C58" s="91">
        <v>527224406</v>
      </c>
      <c r="D58" s="25">
        <v>499</v>
      </c>
      <c r="E58" s="25" t="s">
        <v>12</v>
      </c>
      <c r="F58" s="92">
        <v>44706</v>
      </c>
      <c r="G58" s="25" t="s">
        <v>393</v>
      </c>
      <c r="H58" s="25"/>
      <c r="I58" s="95"/>
      <c r="J58" s="25"/>
      <c r="K58" s="1"/>
      <c r="L58" s="1"/>
      <c r="M58" s="1" t="s">
        <v>332</v>
      </c>
    </row>
    <row r="59" spans="1:13">
      <c r="A59">
        <v>57</v>
      </c>
      <c r="B59" s="66" t="s">
        <v>744</v>
      </c>
      <c r="C59" s="67">
        <v>557815280</v>
      </c>
      <c r="D59" s="5">
        <v>199</v>
      </c>
      <c r="E59" s="5" t="s">
        <v>12</v>
      </c>
      <c r="F59" s="42">
        <v>44707</v>
      </c>
      <c r="G59" s="5" t="s">
        <v>393</v>
      </c>
      <c r="H59" s="5" t="s">
        <v>1223</v>
      </c>
      <c r="I59" s="93" t="s">
        <v>745</v>
      </c>
      <c r="J59" s="5">
        <v>65620253</v>
      </c>
      <c r="K59" s="1" t="s">
        <v>778</v>
      </c>
      <c r="L59" s="1"/>
      <c r="M59" s="1" t="s">
        <v>332</v>
      </c>
    </row>
    <row r="60" spans="1:13">
      <c r="A60">
        <v>58</v>
      </c>
      <c r="B60" s="65" t="s">
        <v>746</v>
      </c>
      <c r="C60" s="5">
        <v>544713049</v>
      </c>
      <c r="D60" s="5">
        <v>199</v>
      </c>
      <c r="E60" s="5" t="s">
        <v>12</v>
      </c>
      <c r="F60" s="42">
        <v>44707</v>
      </c>
      <c r="G60" s="5" t="s">
        <v>393</v>
      </c>
      <c r="H60" s="53" t="s">
        <v>481</v>
      </c>
      <c r="I60" s="93" t="s">
        <v>747</v>
      </c>
      <c r="J60" s="5">
        <v>65625773</v>
      </c>
      <c r="K60" s="1" t="s">
        <v>193</v>
      </c>
      <c r="L60" s="1"/>
      <c r="M60" s="1"/>
    </row>
    <row r="61" spans="1:13">
      <c r="A61">
        <v>59</v>
      </c>
      <c r="B61" s="64" t="s">
        <v>748</v>
      </c>
      <c r="C61" s="5">
        <v>524502247</v>
      </c>
      <c r="D61" s="5">
        <v>199</v>
      </c>
      <c r="E61" s="5" t="s">
        <v>12</v>
      </c>
      <c r="F61" s="42">
        <v>44707</v>
      </c>
      <c r="G61" s="5" t="s">
        <v>393</v>
      </c>
      <c r="H61" s="5"/>
      <c r="I61" s="93" t="s">
        <v>749</v>
      </c>
      <c r="J61" s="5">
        <v>65624692</v>
      </c>
      <c r="K61" s="1" t="s">
        <v>193</v>
      </c>
      <c r="L61" s="1"/>
      <c r="M61" s="1" t="s">
        <v>332</v>
      </c>
    </row>
    <row r="62" spans="1:13">
      <c r="A62">
        <v>60</v>
      </c>
      <c r="B62" s="69" t="s">
        <v>750</v>
      </c>
      <c r="C62" s="3">
        <v>509294372</v>
      </c>
      <c r="D62" s="5">
        <v>199</v>
      </c>
      <c r="E62" s="5" t="s">
        <v>12</v>
      </c>
      <c r="F62" s="42">
        <v>44708</v>
      </c>
      <c r="G62" s="5" t="s">
        <v>393</v>
      </c>
      <c r="H62" s="5"/>
      <c r="I62" s="93" t="s">
        <v>751</v>
      </c>
      <c r="J62" s="5">
        <v>655663546</v>
      </c>
      <c r="K62" s="1" t="s">
        <v>176</v>
      </c>
      <c r="L62" s="1"/>
      <c r="M62" s="1" t="s">
        <v>332</v>
      </c>
    </row>
    <row r="63" spans="1:13">
      <c r="A63">
        <v>61</v>
      </c>
      <c r="B63" s="69" t="s">
        <v>752</v>
      </c>
      <c r="C63" s="5">
        <v>509896728</v>
      </c>
      <c r="D63" s="5">
        <v>199</v>
      </c>
      <c r="E63" s="5" t="s">
        <v>12</v>
      </c>
      <c r="F63" s="42">
        <v>44710</v>
      </c>
      <c r="G63" s="5" t="s">
        <v>393</v>
      </c>
      <c r="H63" s="5" t="s">
        <v>1223</v>
      </c>
      <c r="I63" s="93" t="s">
        <v>753</v>
      </c>
      <c r="J63" s="5">
        <v>65723168</v>
      </c>
      <c r="K63" s="1" t="s">
        <v>778</v>
      </c>
      <c r="L63" s="1"/>
      <c r="M63" s="1" t="s">
        <v>332</v>
      </c>
    </row>
    <row r="64" spans="1:13">
      <c r="A64">
        <v>62</v>
      </c>
      <c r="B64" s="71" t="s">
        <v>754</v>
      </c>
      <c r="C64" s="5">
        <v>581619789</v>
      </c>
      <c r="D64" s="5">
        <v>199</v>
      </c>
      <c r="E64" s="5" t="s">
        <v>12</v>
      </c>
      <c r="F64" s="42">
        <v>44710</v>
      </c>
      <c r="G64" s="5" t="s">
        <v>393</v>
      </c>
      <c r="H64" s="5"/>
      <c r="I64" s="94">
        <v>1.47549533</v>
      </c>
      <c r="J64" s="62">
        <v>65730048</v>
      </c>
      <c r="K64" s="1" t="s">
        <v>779</v>
      </c>
      <c r="L64" s="1"/>
      <c r="M64" s="1" t="s">
        <v>332</v>
      </c>
    </row>
    <row r="65" spans="1:13">
      <c r="A65">
        <v>63</v>
      </c>
      <c r="B65" s="89" t="s">
        <v>755</v>
      </c>
      <c r="C65" s="67">
        <v>525082017</v>
      </c>
      <c r="D65" s="5">
        <v>199</v>
      </c>
      <c r="E65" s="5" t="s">
        <v>12</v>
      </c>
      <c r="F65" s="42">
        <v>44710</v>
      </c>
      <c r="G65" s="5" t="s">
        <v>393</v>
      </c>
      <c r="H65" s="5"/>
      <c r="I65" s="93" t="s">
        <v>756</v>
      </c>
      <c r="J65" s="5">
        <v>65735587</v>
      </c>
      <c r="K65" s="1" t="s">
        <v>778</v>
      </c>
      <c r="L65" s="1"/>
      <c r="M65" s="1" t="s">
        <v>332</v>
      </c>
    </row>
    <row r="66" spans="1:13">
      <c r="A66">
        <v>64</v>
      </c>
      <c r="B66" s="71" t="s">
        <v>757</v>
      </c>
      <c r="C66" s="5">
        <v>557535196</v>
      </c>
      <c r="D66" s="5">
        <v>199</v>
      </c>
      <c r="E66" s="5" t="s">
        <v>12</v>
      </c>
      <c r="F66" s="42">
        <v>44710</v>
      </c>
      <c r="G66" s="5" t="s">
        <v>393</v>
      </c>
      <c r="H66" s="5"/>
      <c r="I66" s="94">
        <v>1.4756171499999999</v>
      </c>
      <c r="J66" s="62">
        <v>65743239</v>
      </c>
      <c r="K66" s="1"/>
      <c r="L66" s="1"/>
      <c r="M66" s="1" t="s">
        <v>332</v>
      </c>
    </row>
    <row r="67" spans="1:13">
      <c r="A67">
        <v>65</v>
      </c>
      <c r="B67" s="66" t="s">
        <v>758</v>
      </c>
      <c r="C67" s="67">
        <v>555607195</v>
      </c>
      <c r="D67" s="5">
        <v>199</v>
      </c>
      <c r="E67" s="5" t="s">
        <v>12</v>
      </c>
      <c r="F67" s="42">
        <v>44711</v>
      </c>
      <c r="G67" s="5" t="s">
        <v>393</v>
      </c>
      <c r="H67" s="5"/>
      <c r="I67" s="93" t="s">
        <v>759</v>
      </c>
      <c r="J67" s="5">
        <v>65744437</v>
      </c>
      <c r="K67" s="1" t="s">
        <v>193</v>
      </c>
      <c r="L67" s="1"/>
      <c r="M67" s="1" t="s">
        <v>332</v>
      </c>
    </row>
    <row r="68" spans="1:13">
      <c r="A68">
        <v>66</v>
      </c>
      <c r="B68" s="68" t="s">
        <v>760</v>
      </c>
      <c r="C68" s="67">
        <v>565772701</v>
      </c>
      <c r="D68" s="5">
        <v>199</v>
      </c>
      <c r="E68" s="5" t="s">
        <v>12</v>
      </c>
      <c r="F68" s="42">
        <v>44711</v>
      </c>
      <c r="G68" s="5" t="s">
        <v>393</v>
      </c>
      <c r="H68" s="5"/>
      <c r="I68" s="93" t="s">
        <v>761</v>
      </c>
      <c r="J68" s="5">
        <v>65750470</v>
      </c>
      <c r="K68" s="1" t="s">
        <v>779</v>
      </c>
      <c r="L68" s="1"/>
      <c r="M68" s="1" t="s">
        <v>332</v>
      </c>
    </row>
    <row r="69" spans="1:13">
      <c r="A69">
        <v>67</v>
      </c>
      <c r="B69" s="64" t="s">
        <v>762</v>
      </c>
      <c r="C69" s="5">
        <v>503626218</v>
      </c>
      <c r="D69" s="5">
        <v>199</v>
      </c>
      <c r="E69" s="5" t="s">
        <v>12</v>
      </c>
      <c r="F69" s="42">
        <v>44711</v>
      </c>
      <c r="G69" s="5" t="s">
        <v>393</v>
      </c>
      <c r="H69" s="5"/>
      <c r="I69" s="93" t="s">
        <v>763</v>
      </c>
      <c r="J69" s="5">
        <v>65755429</v>
      </c>
      <c r="K69" s="1" t="s">
        <v>176</v>
      </c>
      <c r="L69" s="1"/>
      <c r="M69" s="1" t="s">
        <v>332</v>
      </c>
    </row>
    <row r="70" spans="1:13">
      <c r="A70">
        <v>68</v>
      </c>
      <c r="B70" s="64" t="s">
        <v>764</v>
      </c>
      <c r="C70" s="5">
        <v>507470146</v>
      </c>
      <c r="D70" s="5">
        <v>199</v>
      </c>
      <c r="E70" s="5" t="s">
        <v>12</v>
      </c>
      <c r="F70" s="42">
        <v>44711</v>
      </c>
      <c r="G70" s="5" t="s">
        <v>393</v>
      </c>
      <c r="H70" s="53" t="s">
        <v>481</v>
      </c>
      <c r="I70" s="93" t="s">
        <v>765</v>
      </c>
      <c r="J70" s="5">
        <v>65759834</v>
      </c>
      <c r="K70" s="1" t="s">
        <v>779</v>
      </c>
      <c r="L70" s="1"/>
      <c r="M70" s="1"/>
    </row>
    <row r="71" spans="1:13">
      <c r="A71">
        <v>69</v>
      </c>
      <c r="B71" s="68" t="s">
        <v>766</v>
      </c>
      <c r="C71" s="67">
        <v>505952083</v>
      </c>
      <c r="D71" s="5">
        <v>199</v>
      </c>
      <c r="E71" s="5" t="s">
        <v>12</v>
      </c>
      <c r="F71" s="42">
        <v>44711</v>
      </c>
      <c r="G71" s="5" t="s">
        <v>393</v>
      </c>
      <c r="H71" s="5" t="s">
        <v>1223</v>
      </c>
      <c r="I71" s="93" t="s">
        <v>767</v>
      </c>
      <c r="J71" s="5">
        <v>65761614</v>
      </c>
      <c r="K71" s="1" t="s">
        <v>193</v>
      </c>
      <c r="L71" s="1"/>
      <c r="M71" s="1" t="s">
        <v>332</v>
      </c>
    </row>
    <row r="72" spans="1:13">
      <c r="A72">
        <v>70</v>
      </c>
      <c r="B72" s="68" t="s">
        <v>768</v>
      </c>
      <c r="C72" s="67">
        <v>565552686</v>
      </c>
      <c r="D72" s="5">
        <v>199</v>
      </c>
      <c r="E72" s="5" t="s">
        <v>12</v>
      </c>
      <c r="F72" s="42">
        <v>44711</v>
      </c>
      <c r="G72" s="5" t="s">
        <v>393</v>
      </c>
      <c r="H72" s="5" t="s">
        <v>1265</v>
      </c>
      <c r="I72" s="93" t="s">
        <v>769</v>
      </c>
      <c r="J72" s="5">
        <v>65767079</v>
      </c>
      <c r="K72" s="1" t="s">
        <v>193</v>
      </c>
      <c r="L72" s="1"/>
      <c r="M72" s="1" t="s">
        <v>332</v>
      </c>
    </row>
    <row r="73" spans="1:13">
      <c r="A73">
        <v>71</v>
      </c>
      <c r="B73" s="68" t="s">
        <v>770</v>
      </c>
      <c r="C73" s="67">
        <v>504824511</v>
      </c>
      <c r="D73" s="5">
        <v>199</v>
      </c>
      <c r="E73" s="5" t="s">
        <v>12</v>
      </c>
      <c r="F73" s="42">
        <v>44712</v>
      </c>
      <c r="G73" s="5" t="s">
        <v>393</v>
      </c>
      <c r="H73" s="5"/>
      <c r="I73" s="93" t="s">
        <v>771</v>
      </c>
      <c r="J73" s="5">
        <v>65778803</v>
      </c>
      <c r="K73" s="1" t="s">
        <v>176</v>
      </c>
      <c r="L73" s="1"/>
      <c r="M73" s="1" t="s">
        <v>332</v>
      </c>
    </row>
    <row r="74" spans="1:13">
      <c r="A74">
        <v>72</v>
      </c>
      <c r="B74" s="64" t="s">
        <v>772</v>
      </c>
      <c r="C74" s="5">
        <v>508074885</v>
      </c>
      <c r="D74" s="5">
        <v>199</v>
      </c>
      <c r="E74" s="5" t="s">
        <v>12</v>
      </c>
      <c r="F74" s="42">
        <v>44712</v>
      </c>
      <c r="G74" s="5" t="s">
        <v>393</v>
      </c>
      <c r="H74" s="5"/>
      <c r="I74" s="93" t="s">
        <v>773</v>
      </c>
      <c r="J74" s="5">
        <v>65786640</v>
      </c>
      <c r="K74" s="1" t="s">
        <v>778</v>
      </c>
      <c r="L74" s="1"/>
      <c r="M74" s="1" t="s">
        <v>332</v>
      </c>
    </row>
    <row r="75" spans="1:13">
      <c r="A75">
        <v>73</v>
      </c>
      <c r="B75" s="64" t="s">
        <v>774</v>
      </c>
      <c r="C75" s="5">
        <v>517755030</v>
      </c>
      <c r="D75" s="5">
        <v>199</v>
      </c>
      <c r="E75" s="5" t="s">
        <v>12</v>
      </c>
      <c r="F75" s="42">
        <v>44712</v>
      </c>
      <c r="G75" s="5" t="s">
        <v>393</v>
      </c>
      <c r="H75" s="5"/>
      <c r="I75" s="93" t="s">
        <v>775</v>
      </c>
      <c r="J75" s="5"/>
      <c r="K75" s="1" t="s">
        <v>193</v>
      </c>
      <c r="L75" s="1"/>
      <c r="M75" s="1" t="s">
        <v>332</v>
      </c>
    </row>
    <row r="76" spans="1:13">
      <c r="A76">
        <v>74</v>
      </c>
      <c r="B76" s="71" t="s">
        <v>776</v>
      </c>
      <c r="C76" s="5">
        <v>503085677</v>
      </c>
      <c r="D76" s="5">
        <v>199</v>
      </c>
      <c r="E76" s="5" t="s">
        <v>12</v>
      </c>
      <c r="F76" s="42">
        <v>44712</v>
      </c>
      <c r="G76" s="5" t="s">
        <v>393</v>
      </c>
      <c r="H76" s="25" t="s">
        <v>22</v>
      </c>
      <c r="I76" s="93" t="s">
        <v>777</v>
      </c>
      <c r="J76" s="62">
        <v>65798713</v>
      </c>
      <c r="K76" s="1" t="s">
        <v>176</v>
      </c>
      <c r="L76" s="1"/>
      <c r="M76" s="1" t="s">
        <v>332</v>
      </c>
    </row>
  </sheetData>
  <autoFilter ref="A2:M76" xr:uid="{00000000-0009-0000-0000-000007000000}"/>
  <mergeCells count="1">
    <mergeCell ref="A1:M1"/>
  </mergeCells>
  <conditionalFormatting sqref="B8:B10">
    <cfRule type="duplicateValues" dxfId="884" priority="120"/>
    <cfRule type="duplicateValues" dxfId="883" priority="129"/>
    <cfRule type="duplicateValues" dxfId="882" priority="122"/>
  </conditionalFormatting>
  <conditionalFormatting sqref="B13">
    <cfRule type="duplicateValues" dxfId="881" priority="188"/>
    <cfRule type="duplicateValues" dxfId="880" priority="190"/>
    <cfRule type="duplicateValues" dxfId="879" priority="197"/>
  </conditionalFormatting>
  <conditionalFormatting sqref="B17">
    <cfRule type="duplicateValues" dxfId="878" priority="177"/>
  </conditionalFormatting>
  <conditionalFormatting sqref="B64">
    <cfRule type="duplicateValues" dxfId="877" priority="165"/>
  </conditionalFormatting>
  <conditionalFormatting sqref="B66">
    <cfRule type="duplicateValues" dxfId="876" priority="153"/>
  </conditionalFormatting>
  <conditionalFormatting sqref="B8:C10">
    <cfRule type="duplicateValues" dxfId="875" priority="112"/>
    <cfRule type="duplicateValues" dxfId="874" priority="113"/>
    <cfRule type="duplicateValues" dxfId="873" priority="114"/>
    <cfRule type="duplicateValues" dxfId="872" priority="138"/>
    <cfRule type="duplicateValues" dxfId="871" priority="116"/>
    <cfRule type="duplicateValues" dxfId="870" priority="143"/>
    <cfRule type="duplicateValues" dxfId="869" priority="130"/>
    <cfRule type="duplicateValues" dxfId="868" priority="124"/>
    <cfRule type="duplicateValues" dxfId="867" priority="125"/>
    <cfRule type="duplicateValues" dxfId="866" priority="127"/>
    <cfRule type="duplicateValues" dxfId="865" priority="142"/>
    <cfRule type="duplicateValues" dxfId="864" priority="141"/>
    <cfRule type="duplicateValues" dxfId="863" priority="140"/>
    <cfRule type="duplicateValues" dxfId="862" priority="139"/>
  </conditionalFormatting>
  <conditionalFormatting sqref="B13:C13">
    <cfRule type="duplicateValues" dxfId="861" priority="192"/>
    <cfRule type="duplicateValues" dxfId="860" priority="193"/>
    <cfRule type="duplicateValues" dxfId="859" priority="211"/>
    <cfRule type="duplicateValues" dxfId="858" priority="210"/>
    <cfRule type="duplicateValues" dxfId="857" priority="209"/>
    <cfRule type="duplicateValues" dxfId="856" priority="208"/>
    <cfRule type="duplicateValues" dxfId="855" priority="207"/>
    <cfRule type="duplicateValues" dxfId="854" priority="206"/>
    <cfRule type="duplicateValues" dxfId="853" priority="198"/>
    <cfRule type="duplicateValues" dxfId="852" priority="195"/>
    <cfRule type="duplicateValues" dxfId="851" priority="180"/>
    <cfRule type="duplicateValues" dxfId="850" priority="181"/>
    <cfRule type="duplicateValues" dxfId="849" priority="182"/>
    <cfRule type="duplicateValues" dxfId="848" priority="184"/>
  </conditionalFormatting>
  <conditionalFormatting sqref="B17:C17">
    <cfRule type="duplicateValues" dxfId="847" priority="179"/>
    <cfRule type="duplicateValues" dxfId="846" priority="176"/>
    <cfRule type="duplicateValues" dxfId="845" priority="175"/>
    <cfRule type="duplicateValues" dxfId="844" priority="168"/>
    <cfRule type="duplicateValues" dxfId="843" priority="178"/>
  </conditionalFormatting>
  <conditionalFormatting sqref="B64:C64">
    <cfRule type="duplicateValues" dxfId="842" priority="164"/>
    <cfRule type="duplicateValues" dxfId="841" priority="163"/>
    <cfRule type="duplicateValues" dxfId="840" priority="156"/>
    <cfRule type="duplicateValues" dxfId="839" priority="167"/>
    <cfRule type="duplicateValues" dxfId="838" priority="166"/>
  </conditionalFormatting>
  <conditionalFormatting sqref="B66:C66">
    <cfRule type="duplicateValues" dxfId="837" priority="154"/>
    <cfRule type="duplicateValues" dxfId="836" priority="151"/>
    <cfRule type="duplicateValues" dxfId="835" priority="152"/>
    <cfRule type="duplicateValues" dxfId="834" priority="144"/>
    <cfRule type="duplicateValues" dxfId="833" priority="155"/>
  </conditionalFormatting>
  <conditionalFormatting sqref="C8:C10">
    <cfRule type="duplicateValues" dxfId="832" priority="121"/>
    <cfRule type="duplicateValues" dxfId="831" priority="134"/>
    <cfRule type="duplicateValues" dxfId="830" priority="119"/>
    <cfRule type="duplicateValues" dxfId="829" priority="117"/>
    <cfRule type="duplicateValues" dxfId="828" priority="115"/>
    <cfRule type="duplicateValues" dxfId="827" priority="135"/>
    <cfRule type="duplicateValues" dxfId="826" priority="118"/>
    <cfRule type="duplicateValues" dxfId="825" priority="136"/>
    <cfRule type="duplicateValues" dxfId="824" priority="133"/>
    <cfRule type="duplicateValues" dxfId="823" priority="132"/>
    <cfRule type="duplicateValues" dxfId="822" priority="131"/>
    <cfRule type="duplicateValues" dxfId="821" priority="128"/>
    <cfRule type="duplicateValues" dxfId="820" priority="126"/>
    <cfRule type="duplicateValues" dxfId="819" priority="123"/>
    <cfRule type="duplicateValues" dxfId="818" priority="137"/>
  </conditionalFormatting>
  <conditionalFormatting sqref="C13">
    <cfRule type="duplicateValues" dxfId="817" priority="191"/>
    <cfRule type="duplicateValues" dxfId="816" priority="194"/>
    <cfRule type="duplicateValues" dxfId="815" priority="196"/>
    <cfRule type="duplicateValues" dxfId="814" priority="199"/>
    <cfRule type="duplicateValues" dxfId="813" priority="200"/>
    <cfRule type="duplicateValues" dxfId="812" priority="201"/>
    <cfRule type="duplicateValues" dxfId="811" priority="202"/>
    <cfRule type="duplicateValues" dxfId="810" priority="204"/>
    <cfRule type="duplicateValues" dxfId="809" priority="205"/>
    <cfRule type="duplicateValues" dxfId="808" priority="203"/>
    <cfRule type="duplicateValues" dxfId="807" priority="183"/>
    <cfRule type="duplicateValues" dxfId="806" priority="185"/>
    <cfRule type="duplicateValues" dxfId="805" priority="186"/>
    <cfRule type="duplicateValues" dxfId="804" priority="187"/>
    <cfRule type="duplicateValues" dxfId="803" priority="189"/>
  </conditionalFormatting>
  <conditionalFormatting sqref="C17">
    <cfRule type="duplicateValues" dxfId="802" priority="171"/>
    <cfRule type="duplicateValues" dxfId="801" priority="172"/>
    <cfRule type="duplicateValues" dxfId="800" priority="173"/>
    <cfRule type="duplicateValues" dxfId="799" priority="174"/>
    <cfRule type="duplicateValues" dxfId="798" priority="169"/>
    <cfRule type="duplicateValues" dxfId="797" priority="170"/>
  </conditionalFormatting>
  <conditionalFormatting sqref="C56">
    <cfRule type="duplicateValues" dxfId="796" priority="219"/>
    <cfRule type="duplicateValues" dxfId="795" priority="218"/>
    <cfRule type="duplicateValues" dxfId="794" priority="217"/>
    <cfRule type="duplicateValues" dxfId="793" priority="216"/>
    <cfRule type="duplicateValues" dxfId="792" priority="212"/>
    <cfRule type="duplicateValues" dxfId="791" priority="215"/>
  </conditionalFormatting>
  <conditionalFormatting sqref="C64">
    <cfRule type="duplicateValues" dxfId="790" priority="157"/>
    <cfRule type="duplicateValues" dxfId="789" priority="158"/>
    <cfRule type="duplicateValues" dxfId="788" priority="159"/>
    <cfRule type="duplicateValues" dxfId="787" priority="160"/>
    <cfRule type="duplicateValues" dxfId="786" priority="161"/>
    <cfRule type="duplicateValues" dxfId="785" priority="162"/>
  </conditionalFormatting>
  <conditionalFormatting sqref="C66">
    <cfRule type="duplicateValues" dxfId="784" priority="149"/>
    <cfRule type="duplicateValues" dxfId="783" priority="150"/>
    <cfRule type="duplicateValues" dxfId="782" priority="145"/>
    <cfRule type="duplicateValues" dxfId="781" priority="148"/>
    <cfRule type="duplicateValues" dxfId="780" priority="147"/>
    <cfRule type="duplicateValues" dxfId="779" priority="146"/>
  </conditionalFormatting>
  <conditionalFormatting sqref="I8:I10">
    <cfRule type="duplicateValues" dxfId="778" priority="15"/>
    <cfRule type="duplicateValues" dxfId="777" priority="16"/>
    <cfRule type="duplicateValues" dxfId="776" priority="17"/>
    <cfRule type="duplicateValues" dxfId="775" priority="18"/>
    <cfRule type="duplicateValues" dxfId="774" priority="19"/>
    <cfRule type="duplicateValues" dxfId="773" priority="20"/>
    <cfRule type="duplicateValues" dxfId="772" priority="21"/>
    <cfRule type="duplicateValues" dxfId="771" priority="22"/>
    <cfRule type="duplicateValues" dxfId="770" priority="23"/>
    <cfRule type="duplicateValues" dxfId="769" priority="24"/>
    <cfRule type="duplicateValues" dxfId="768" priority="25"/>
    <cfRule type="duplicateValues" dxfId="767" priority="26"/>
  </conditionalFormatting>
  <conditionalFormatting sqref="I11">
    <cfRule type="duplicateValues" dxfId="766" priority="27"/>
    <cfRule type="duplicateValues" dxfId="765" priority="28"/>
    <cfRule type="duplicateValues" dxfId="764" priority="29"/>
    <cfRule type="duplicateValues" dxfId="763" priority="30"/>
    <cfRule type="duplicateValues" dxfId="762" priority="31"/>
    <cfRule type="duplicateValues" dxfId="761" priority="32"/>
    <cfRule type="duplicateValues" dxfId="760" priority="33"/>
    <cfRule type="duplicateValues" dxfId="759" priority="34"/>
    <cfRule type="duplicateValues" dxfId="758" priority="35"/>
    <cfRule type="duplicateValues" dxfId="757" priority="37"/>
    <cfRule type="duplicateValues" dxfId="756" priority="38"/>
    <cfRule type="duplicateValues" dxfId="755" priority="36"/>
  </conditionalFormatting>
  <conditionalFormatting sqref="I17">
    <cfRule type="duplicateValues" dxfId="754" priority="68"/>
    <cfRule type="duplicateValues" dxfId="753" priority="67"/>
    <cfRule type="duplicateValues" dxfId="752" priority="66"/>
    <cfRule type="duplicateValues" dxfId="751" priority="60"/>
    <cfRule type="duplicateValues" dxfId="750" priority="65"/>
    <cfRule type="duplicateValues" dxfId="749" priority="61"/>
    <cfRule type="duplicateValues" dxfId="748" priority="69"/>
    <cfRule type="duplicateValues" dxfId="747" priority="64"/>
    <cfRule type="duplicateValues" dxfId="746" priority="63"/>
    <cfRule type="duplicateValues" dxfId="745" priority="62"/>
  </conditionalFormatting>
  <conditionalFormatting sqref="I56">
    <cfRule type="duplicateValues" dxfId="744" priority="249"/>
    <cfRule type="duplicateValues" dxfId="743" priority="241"/>
    <cfRule type="duplicateValues" dxfId="742" priority="244"/>
    <cfRule type="duplicateValues" dxfId="741" priority="245"/>
    <cfRule type="duplicateValues" dxfId="740" priority="246"/>
    <cfRule type="duplicateValues" dxfId="739" priority="247"/>
    <cfRule type="duplicateValues" dxfId="738" priority="248"/>
  </conditionalFormatting>
  <conditionalFormatting sqref="I64">
    <cfRule type="duplicateValues" dxfId="737" priority="50"/>
    <cfRule type="duplicateValues" dxfId="736" priority="56"/>
    <cfRule type="duplicateValues" dxfId="735" priority="52"/>
    <cfRule type="duplicateValues" dxfId="734" priority="57"/>
    <cfRule type="duplicateValues" dxfId="733" priority="54"/>
    <cfRule type="duplicateValues" dxfId="732" priority="53"/>
    <cfRule type="duplicateValues" dxfId="731" priority="51"/>
    <cfRule type="duplicateValues" dxfId="730" priority="58"/>
    <cfRule type="duplicateValues" dxfId="729" priority="55"/>
  </conditionalFormatting>
  <conditionalFormatting sqref="I66">
    <cfRule type="duplicateValues" dxfId="728" priority="42"/>
    <cfRule type="duplicateValues" dxfId="727" priority="40"/>
    <cfRule type="duplicateValues" dxfId="726" priority="41"/>
    <cfRule type="duplicateValues" dxfId="725" priority="49"/>
    <cfRule type="duplicateValues" dxfId="724" priority="48"/>
    <cfRule type="duplicateValues" dxfId="723" priority="47"/>
    <cfRule type="duplicateValues" dxfId="722" priority="46"/>
    <cfRule type="duplicateValues" dxfId="721" priority="45"/>
    <cfRule type="duplicateValues" dxfId="720" priority="44"/>
    <cfRule type="duplicateValues" dxfId="719" priority="43"/>
  </conditionalFormatting>
  <conditionalFormatting sqref="I64:J64">
    <cfRule type="duplicateValues" dxfId="718" priority="82"/>
  </conditionalFormatting>
  <conditionalFormatting sqref="J8:J10">
    <cfRule type="duplicateValues" dxfId="717" priority="14"/>
  </conditionalFormatting>
  <conditionalFormatting sqref="J17">
    <cfRule type="duplicateValues" dxfId="716" priority="59"/>
  </conditionalFormatting>
  <conditionalFormatting sqref="J56">
    <cfRule type="duplicateValues" dxfId="715" priority="253"/>
  </conditionalFormatting>
  <conditionalFormatting sqref="J66">
    <cfRule type="duplicateValues" dxfId="714" priority="39"/>
  </conditionalFormatting>
  <conditionalFormatting sqref="J76">
    <cfRule type="duplicateValues" dxfId="713" priority="73"/>
    <cfRule type="duplicateValues" dxfId="712" priority="70"/>
    <cfRule type="duplicateValues" dxfId="711" priority="71"/>
    <cfRule type="duplicateValues" dxfId="710" priority="72"/>
    <cfRule type="duplicateValues" dxfId="709" priority="81"/>
    <cfRule type="duplicateValues" dxfId="708" priority="77"/>
    <cfRule type="duplicateValues" dxfId="707" priority="78"/>
    <cfRule type="duplicateValues" dxfId="706" priority="79"/>
    <cfRule type="duplicateValues" dxfId="705" priority="80"/>
    <cfRule type="duplicateValues" dxfId="704" priority="76"/>
    <cfRule type="duplicateValues" dxfId="703" priority="75"/>
    <cfRule type="duplicateValues" dxfId="702" priority="74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63"/>
  <sheetViews>
    <sheetView workbookViewId="0">
      <selection activeCell="B2" sqref="B2:G63"/>
    </sheetView>
  </sheetViews>
  <sheetFormatPr defaultRowHeight="14.5"/>
  <cols>
    <col min="1" max="1" width="4.453125" bestFit="1" customWidth="1"/>
    <col min="2" max="2" width="38.1796875" bestFit="1" customWidth="1"/>
    <col min="3" max="3" width="29.453125" bestFit="1" customWidth="1"/>
    <col min="4" max="4" width="18.453125" bestFit="1" customWidth="1"/>
    <col min="5" max="5" width="16.54296875" bestFit="1" customWidth="1"/>
    <col min="6" max="6" width="20.453125" bestFit="1" customWidth="1"/>
    <col min="7" max="7" width="20.81640625" bestFit="1" customWidth="1"/>
    <col min="8" max="8" width="32.453125" bestFit="1" customWidth="1"/>
    <col min="9" max="9" width="22.453125" bestFit="1" customWidth="1"/>
    <col min="10" max="10" width="11.54296875" bestFit="1" customWidth="1"/>
    <col min="11" max="11" width="10.81640625" bestFit="1" customWidth="1"/>
    <col min="12" max="12" width="16.1796875" bestFit="1" customWidth="1"/>
    <col min="13" max="13" width="11.453125" bestFit="1" customWidth="1"/>
  </cols>
  <sheetData>
    <row r="1" spans="1:13" ht="46">
      <c r="A1" s="682" t="s">
        <v>40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</row>
    <row r="2" spans="1:13" ht="15.5">
      <c r="A2" s="2" t="s">
        <v>0</v>
      </c>
      <c r="B2" s="38" t="s">
        <v>1</v>
      </c>
      <c r="C2" s="38" t="s">
        <v>2</v>
      </c>
      <c r="D2" s="38" t="s">
        <v>3</v>
      </c>
      <c r="E2" s="38" t="s">
        <v>4</v>
      </c>
      <c r="F2" s="38" t="s">
        <v>6</v>
      </c>
      <c r="G2" s="38" t="s">
        <v>8</v>
      </c>
      <c r="H2" s="38" t="s">
        <v>9</v>
      </c>
      <c r="I2" s="74" t="s">
        <v>901</v>
      </c>
      <c r="J2" s="44" t="s">
        <v>293</v>
      </c>
      <c r="K2" s="38" t="s">
        <v>321</v>
      </c>
      <c r="L2" s="38" t="s">
        <v>327</v>
      </c>
      <c r="M2" s="38" t="s">
        <v>243</v>
      </c>
    </row>
    <row r="3" spans="1:13">
      <c r="A3" s="1">
        <v>1</v>
      </c>
      <c r="B3" s="65" t="s">
        <v>781</v>
      </c>
      <c r="C3" s="5">
        <v>517755030</v>
      </c>
      <c r="D3" s="5">
        <v>199</v>
      </c>
      <c r="E3" s="5" t="s">
        <v>112</v>
      </c>
      <c r="F3" s="42">
        <v>44713</v>
      </c>
      <c r="G3" s="5" t="s">
        <v>839</v>
      </c>
      <c r="H3" s="1"/>
      <c r="I3" s="72" t="s">
        <v>775</v>
      </c>
      <c r="J3" s="5"/>
      <c r="K3" s="1"/>
      <c r="L3" s="1"/>
      <c r="M3" s="1" t="s">
        <v>332</v>
      </c>
    </row>
    <row r="4" spans="1:13">
      <c r="A4" s="1">
        <v>2</v>
      </c>
      <c r="B4" s="65" t="s">
        <v>776</v>
      </c>
      <c r="C4" s="5">
        <v>503085677</v>
      </c>
      <c r="D4" s="5">
        <v>199</v>
      </c>
      <c r="E4" s="5" t="s">
        <v>112</v>
      </c>
      <c r="F4" s="42">
        <v>44713</v>
      </c>
      <c r="G4" s="5" t="s">
        <v>839</v>
      </c>
      <c r="H4" s="1"/>
      <c r="I4" s="72" t="s">
        <v>777</v>
      </c>
      <c r="J4" s="5">
        <v>65798713</v>
      </c>
      <c r="K4" s="1" t="s">
        <v>176</v>
      </c>
      <c r="L4" s="1"/>
      <c r="M4" s="1" t="s">
        <v>332</v>
      </c>
    </row>
    <row r="5" spans="1:13">
      <c r="A5" s="1">
        <v>3</v>
      </c>
      <c r="B5" s="65" t="s">
        <v>782</v>
      </c>
      <c r="C5" s="5">
        <v>56419399</v>
      </c>
      <c r="D5" s="5">
        <v>199</v>
      </c>
      <c r="E5" s="5" t="s">
        <v>12</v>
      </c>
      <c r="F5" s="42">
        <v>44713</v>
      </c>
      <c r="G5" s="5" t="s">
        <v>839</v>
      </c>
      <c r="H5" s="53" t="s">
        <v>331</v>
      </c>
      <c r="I5" s="72" t="s">
        <v>840</v>
      </c>
      <c r="J5" s="5">
        <v>65815330</v>
      </c>
      <c r="K5" s="1" t="s">
        <v>466</v>
      </c>
      <c r="L5" s="1"/>
      <c r="M5" s="1"/>
    </row>
    <row r="6" spans="1:13">
      <c r="A6" s="1">
        <v>4</v>
      </c>
      <c r="B6" s="65" t="s">
        <v>783</v>
      </c>
      <c r="C6" s="5">
        <v>564391763</v>
      </c>
      <c r="D6" s="5">
        <v>199</v>
      </c>
      <c r="E6" s="5" t="s">
        <v>12</v>
      </c>
      <c r="F6" s="42">
        <v>44713</v>
      </c>
      <c r="G6" s="5" t="s">
        <v>839</v>
      </c>
      <c r="H6" s="53" t="s">
        <v>331</v>
      </c>
      <c r="I6" s="72" t="s">
        <v>841</v>
      </c>
      <c r="J6" s="5">
        <v>65819466</v>
      </c>
      <c r="K6" s="1" t="s">
        <v>176</v>
      </c>
      <c r="L6" s="1"/>
      <c r="M6" s="1"/>
    </row>
    <row r="7" spans="1:13">
      <c r="A7" s="1">
        <v>5</v>
      </c>
      <c r="B7" s="73" t="s">
        <v>784</v>
      </c>
      <c r="C7" s="5">
        <v>547593470</v>
      </c>
      <c r="D7" s="5">
        <v>199</v>
      </c>
      <c r="E7" s="5" t="s">
        <v>12</v>
      </c>
      <c r="F7" s="42">
        <v>44713</v>
      </c>
      <c r="G7" s="5" t="s">
        <v>839</v>
      </c>
      <c r="H7" s="5"/>
      <c r="I7" s="72" t="s">
        <v>842</v>
      </c>
      <c r="J7" s="5">
        <v>65821398</v>
      </c>
      <c r="K7" s="1" t="s">
        <v>193</v>
      </c>
      <c r="L7" s="1"/>
      <c r="M7" s="1" t="s">
        <v>332</v>
      </c>
    </row>
    <row r="8" spans="1:13">
      <c r="A8" s="1">
        <v>6</v>
      </c>
      <c r="B8" s="65" t="s">
        <v>785</v>
      </c>
      <c r="C8" s="5">
        <v>501614863</v>
      </c>
      <c r="D8" s="5">
        <v>199</v>
      </c>
      <c r="E8" s="5" t="s">
        <v>12</v>
      </c>
      <c r="F8" s="42">
        <v>44714</v>
      </c>
      <c r="G8" s="5" t="s">
        <v>839</v>
      </c>
      <c r="H8" s="55" t="s">
        <v>331</v>
      </c>
      <c r="I8" s="61">
        <v>1.27010493</v>
      </c>
      <c r="J8" s="62">
        <v>65845928</v>
      </c>
      <c r="K8" s="1"/>
      <c r="L8" s="1"/>
      <c r="M8" s="1"/>
    </row>
    <row r="9" spans="1:13">
      <c r="A9" s="1">
        <v>7</v>
      </c>
      <c r="B9" s="65" t="s">
        <v>786</v>
      </c>
      <c r="C9" s="5">
        <v>503644352</v>
      </c>
      <c r="D9" s="5">
        <v>199</v>
      </c>
      <c r="E9" s="5" t="s">
        <v>12</v>
      </c>
      <c r="F9" s="42">
        <v>44714</v>
      </c>
      <c r="G9" s="5" t="s">
        <v>839</v>
      </c>
      <c r="H9" s="5"/>
      <c r="I9" s="61">
        <v>1.4763164900000001</v>
      </c>
      <c r="J9" s="62">
        <v>65878845</v>
      </c>
      <c r="K9" s="1" t="s">
        <v>176</v>
      </c>
      <c r="L9" s="1"/>
      <c r="M9" s="1" t="s">
        <v>332</v>
      </c>
    </row>
    <row r="10" spans="1:13">
      <c r="A10" s="1">
        <v>8</v>
      </c>
      <c r="B10" s="65" t="s">
        <v>787</v>
      </c>
      <c r="C10" s="5">
        <v>564250151</v>
      </c>
      <c r="D10" s="5">
        <v>199</v>
      </c>
      <c r="E10" s="5" t="s">
        <v>12</v>
      </c>
      <c r="F10" s="42">
        <v>44714</v>
      </c>
      <c r="G10" s="5" t="s">
        <v>839</v>
      </c>
      <c r="H10" s="5"/>
      <c r="I10" s="61">
        <v>1.4763315800000001</v>
      </c>
      <c r="J10" s="62">
        <v>65882701</v>
      </c>
      <c r="K10" s="1" t="s">
        <v>193</v>
      </c>
      <c r="L10" s="1"/>
      <c r="M10" s="1" t="s">
        <v>332</v>
      </c>
    </row>
    <row r="11" spans="1:13">
      <c r="A11" s="1">
        <v>9</v>
      </c>
      <c r="B11" s="71" t="s">
        <v>788</v>
      </c>
      <c r="C11" s="5">
        <v>558009523</v>
      </c>
      <c r="D11" s="5">
        <v>199</v>
      </c>
      <c r="E11" s="5" t="s">
        <v>12</v>
      </c>
      <c r="F11" s="42">
        <v>44715</v>
      </c>
      <c r="G11" s="5" t="s">
        <v>839</v>
      </c>
      <c r="H11" s="5"/>
      <c r="I11" s="61">
        <v>1.4765247500000001</v>
      </c>
      <c r="J11" s="5">
        <v>65914722</v>
      </c>
      <c r="K11" s="1" t="s">
        <v>176</v>
      </c>
      <c r="L11" s="1"/>
      <c r="M11" s="1" t="s">
        <v>332</v>
      </c>
    </row>
    <row r="12" spans="1:13">
      <c r="A12" s="1">
        <v>10</v>
      </c>
      <c r="B12" s="65" t="s">
        <v>789</v>
      </c>
      <c r="C12" s="5">
        <v>509310191</v>
      </c>
      <c r="D12" s="5">
        <v>199</v>
      </c>
      <c r="E12" s="5" t="s">
        <v>12</v>
      </c>
      <c r="F12" s="42">
        <v>44715</v>
      </c>
      <c r="G12" s="5" t="s">
        <v>839</v>
      </c>
      <c r="H12" s="5" t="s">
        <v>1094</v>
      </c>
      <c r="I12" s="72" t="s">
        <v>843</v>
      </c>
      <c r="J12" s="5">
        <v>65900521</v>
      </c>
      <c r="K12" s="1" t="s">
        <v>193</v>
      </c>
      <c r="L12" s="1"/>
      <c r="M12" s="1" t="s">
        <v>332</v>
      </c>
    </row>
    <row r="13" spans="1:13">
      <c r="A13" s="1">
        <v>11</v>
      </c>
      <c r="B13" s="71" t="s">
        <v>790</v>
      </c>
      <c r="C13" s="5">
        <v>547279556</v>
      </c>
      <c r="D13" s="5">
        <v>199</v>
      </c>
      <c r="E13" s="5" t="s">
        <v>12</v>
      </c>
      <c r="F13" s="42">
        <v>44717</v>
      </c>
      <c r="G13" s="5" t="s">
        <v>839</v>
      </c>
      <c r="H13" s="5"/>
      <c r="I13" s="72" t="s">
        <v>844</v>
      </c>
      <c r="J13" s="5">
        <v>65947071</v>
      </c>
      <c r="K13" s="1" t="s">
        <v>193</v>
      </c>
      <c r="L13" s="1"/>
      <c r="M13" s="1" t="s">
        <v>332</v>
      </c>
    </row>
    <row r="14" spans="1:13">
      <c r="A14" s="1">
        <v>12</v>
      </c>
      <c r="B14" s="65" t="s">
        <v>791</v>
      </c>
      <c r="C14" s="5">
        <v>501280685</v>
      </c>
      <c r="D14" s="5">
        <v>199</v>
      </c>
      <c r="E14" s="5" t="s">
        <v>12</v>
      </c>
      <c r="F14" s="42">
        <v>44717</v>
      </c>
      <c r="G14" s="5" t="s">
        <v>839</v>
      </c>
      <c r="H14" s="5" t="s">
        <v>1094</v>
      </c>
      <c r="I14" s="72" t="s">
        <v>845</v>
      </c>
      <c r="J14" s="5">
        <v>65964954</v>
      </c>
      <c r="K14" s="1" t="s">
        <v>193</v>
      </c>
      <c r="L14" s="1"/>
      <c r="M14" s="1" t="s">
        <v>332</v>
      </c>
    </row>
    <row r="15" spans="1:13">
      <c r="A15" s="1">
        <v>13</v>
      </c>
      <c r="B15" s="65" t="s">
        <v>792</v>
      </c>
      <c r="C15" s="5">
        <v>528676052</v>
      </c>
      <c r="D15" s="5">
        <v>199</v>
      </c>
      <c r="E15" s="5" t="s">
        <v>12</v>
      </c>
      <c r="F15" s="42">
        <v>44719</v>
      </c>
      <c r="G15" s="5" t="s">
        <v>839</v>
      </c>
      <c r="H15" s="5"/>
      <c r="I15" s="72" t="s">
        <v>846</v>
      </c>
      <c r="J15" s="5">
        <v>65988857</v>
      </c>
      <c r="K15" s="1" t="s">
        <v>193</v>
      </c>
      <c r="L15" s="1"/>
      <c r="M15" s="1" t="s">
        <v>332</v>
      </c>
    </row>
    <row r="16" spans="1:13">
      <c r="A16" s="1">
        <v>14</v>
      </c>
      <c r="B16" s="65" t="s">
        <v>793</v>
      </c>
      <c r="C16" s="5">
        <v>522808556</v>
      </c>
      <c r="D16" s="5">
        <v>199</v>
      </c>
      <c r="E16" s="5" t="s">
        <v>12</v>
      </c>
      <c r="F16" s="42">
        <v>44719</v>
      </c>
      <c r="G16" s="5" t="s">
        <v>839</v>
      </c>
      <c r="H16" s="53" t="s">
        <v>331</v>
      </c>
      <c r="I16" s="72" t="s">
        <v>847</v>
      </c>
      <c r="J16" s="5">
        <v>66014893</v>
      </c>
      <c r="K16" s="1" t="s">
        <v>778</v>
      </c>
      <c r="L16" s="1"/>
      <c r="M16" s="1"/>
    </row>
    <row r="17" spans="1:13">
      <c r="A17" s="1">
        <v>15</v>
      </c>
      <c r="B17" s="71" t="s">
        <v>794</v>
      </c>
      <c r="C17" s="5">
        <v>522134506</v>
      </c>
      <c r="D17" s="5">
        <v>199</v>
      </c>
      <c r="E17" s="5" t="s">
        <v>12</v>
      </c>
      <c r="F17" s="42">
        <v>44720</v>
      </c>
      <c r="G17" s="5" t="s">
        <v>839</v>
      </c>
      <c r="H17" s="5"/>
      <c r="I17" s="61">
        <v>1.4772640699999999</v>
      </c>
      <c r="J17" s="62">
        <v>66040763</v>
      </c>
      <c r="K17" s="1" t="s">
        <v>193</v>
      </c>
      <c r="L17" s="1"/>
      <c r="M17" s="1" t="s">
        <v>332</v>
      </c>
    </row>
    <row r="18" spans="1:13">
      <c r="A18" s="1">
        <v>16</v>
      </c>
      <c r="B18" s="65" t="s">
        <v>795</v>
      </c>
      <c r="C18" s="5">
        <v>554582080</v>
      </c>
      <c r="D18" s="5">
        <v>199</v>
      </c>
      <c r="E18" s="5" t="s">
        <v>12</v>
      </c>
      <c r="F18" s="42">
        <v>44721</v>
      </c>
      <c r="G18" s="5" t="s">
        <v>839</v>
      </c>
      <c r="H18" s="5"/>
      <c r="I18" s="72" t="s">
        <v>848</v>
      </c>
      <c r="J18" s="5">
        <v>66045758</v>
      </c>
      <c r="K18" s="1" t="s">
        <v>779</v>
      </c>
      <c r="L18" s="1"/>
      <c r="M18" s="1" t="s">
        <v>332</v>
      </c>
    </row>
    <row r="19" spans="1:13">
      <c r="A19" s="1">
        <v>17</v>
      </c>
      <c r="B19" s="65" t="s">
        <v>796</v>
      </c>
      <c r="C19" s="5">
        <v>559719735</v>
      </c>
      <c r="D19" s="5">
        <v>199</v>
      </c>
      <c r="E19" s="5" t="s">
        <v>12</v>
      </c>
      <c r="F19" s="42">
        <v>44722</v>
      </c>
      <c r="G19" s="5" t="s">
        <v>839</v>
      </c>
      <c r="H19" s="5"/>
      <c r="I19" s="72" t="s">
        <v>849</v>
      </c>
      <c r="J19" s="5">
        <v>66066429</v>
      </c>
      <c r="K19" s="1" t="s">
        <v>193</v>
      </c>
      <c r="L19" s="1"/>
      <c r="M19" s="1" t="s">
        <v>332</v>
      </c>
    </row>
    <row r="20" spans="1:13">
      <c r="A20" s="1">
        <v>18</v>
      </c>
      <c r="B20" s="65" t="s">
        <v>797</v>
      </c>
      <c r="C20" s="5">
        <v>505133005</v>
      </c>
      <c r="D20" s="5">
        <v>199</v>
      </c>
      <c r="E20" s="5" t="s">
        <v>12</v>
      </c>
      <c r="F20" s="42">
        <v>44753</v>
      </c>
      <c r="G20" s="5" t="s">
        <v>839</v>
      </c>
      <c r="H20" s="1"/>
      <c r="I20" s="72" t="s">
        <v>850</v>
      </c>
      <c r="J20" s="5">
        <v>66136779</v>
      </c>
      <c r="K20" s="1"/>
      <c r="L20" s="1"/>
      <c r="M20" s="1" t="s">
        <v>332</v>
      </c>
    </row>
    <row r="21" spans="1:13">
      <c r="A21" s="1">
        <v>19</v>
      </c>
      <c r="B21" s="65" t="s">
        <v>798</v>
      </c>
      <c r="C21" s="5">
        <v>507283634</v>
      </c>
      <c r="D21" s="5">
        <v>199</v>
      </c>
      <c r="E21" s="5" t="s">
        <v>12</v>
      </c>
      <c r="F21" s="42">
        <v>44784</v>
      </c>
      <c r="G21" s="5" t="s">
        <v>839</v>
      </c>
      <c r="H21" s="5"/>
      <c r="I21" s="72" t="s">
        <v>851</v>
      </c>
      <c r="J21" s="5">
        <v>66130137</v>
      </c>
      <c r="K21" s="1" t="s">
        <v>176</v>
      </c>
      <c r="L21" s="1"/>
      <c r="M21" s="1" t="s">
        <v>332</v>
      </c>
    </row>
    <row r="22" spans="1:13">
      <c r="A22" s="1">
        <v>20</v>
      </c>
      <c r="B22" s="65" t="s">
        <v>799</v>
      </c>
      <c r="C22" s="5">
        <v>523375102</v>
      </c>
      <c r="D22" s="5">
        <v>199</v>
      </c>
      <c r="E22" s="5" t="s">
        <v>12</v>
      </c>
      <c r="F22" s="42">
        <v>44724</v>
      </c>
      <c r="G22" s="5" t="s">
        <v>839</v>
      </c>
      <c r="H22" s="5" t="s">
        <v>1094</v>
      </c>
      <c r="I22" s="72" t="s">
        <v>852</v>
      </c>
      <c r="J22" s="5">
        <v>66134295</v>
      </c>
      <c r="K22" s="1" t="s">
        <v>779</v>
      </c>
      <c r="L22" s="1"/>
      <c r="M22" s="1" t="s">
        <v>332</v>
      </c>
    </row>
    <row r="23" spans="1:13">
      <c r="A23" s="1">
        <v>21</v>
      </c>
      <c r="B23" s="65" t="s">
        <v>800</v>
      </c>
      <c r="C23" s="5">
        <v>565757386</v>
      </c>
      <c r="D23" s="5">
        <v>199</v>
      </c>
      <c r="E23" s="5" t="s">
        <v>12</v>
      </c>
      <c r="F23" s="42">
        <v>44725</v>
      </c>
      <c r="G23" s="5" t="s">
        <v>839</v>
      </c>
      <c r="H23" s="5" t="s">
        <v>1094</v>
      </c>
      <c r="I23" s="72" t="s">
        <v>853</v>
      </c>
      <c r="J23" s="72" t="s">
        <v>854</v>
      </c>
      <c r="K23" s="1" t="s">
        <v>778</v>
      </c>
      <c r="L23" s="1"/>
      <c r="M23" s="1" t="s">
        <v>332</v>
      </c>
    </row>
    <row r="24" spans="1:13">
      <c r="A24" s="1">
        <v>22</v>
      </c>
      <c r="B24" s="65" t="s">
        <v>801</v>
      </c>
      <c r="C24" s="5">
        <v>509499201</v>
      </c>
      <c r="D24" s="5">
        <v>199</v>
      </c>
      <c r="E24" s="5" t="s">
        <v>12</v>
      </c>
      <c r="F24" s="42">
        <v>44725</v>
      </c>
      <c r="G24" s="5" t="s">
        <v>839</v>
      </c>
      <c r="H24" s="55" t="s">
        <v>331</v>
      </c>
      <c r="I24" s="72" t="s">
        <v>855</v>
      </c>
      <c r="J24" s="72" t="s">
        <v>856</v>
      </c>
      <c r="K24" s="1"/>
      <c r="L24" s="1"/>
      <c r="M24" s="1"/>
    </row>
    <row r="25" spans="1:13">
      <c r="A25" s="1">
        <v>23</v>
      </c>
      <c r="B25" s="65" t="s">
        <v>802</v>
      </c>
      <c r="C25" s="5">
        <v>524872961</v>
      </c>
      <c r="D25" s="5">
        <v>199</v>
      </c>
      <c r="E25" s="5" t="s">
        <v>12</v>
      </c>
      <c r="F25" s="42">
        <v>44725</v>
      </c>
      <c r="G25" s="5" t="s">
        <v>839</v>
      </c>
      <c r="H25" s="1"/>
      <c r="I25" s="72" t="s">
        <v>857</v>
      </c>
      <c r="J25" s="72" t="s">
        <v>858</v>
      </c>
      <c r="K25" s="1" t="s">
        <v>899</v>
      </c>
      <c r="L25" s="1"/>
      <c r="M25" s="1" t="s">
        <v>332</v>
      </c>
    </row>
    <row r="26" spans="1:13">
      <c r="A26" s="1">
        <v>24</v>
      </c>
      <c r="B26" s="65" t="s">
        <v>803</v>
      </c>
      <c r="C26" s="5">
        <v>564354295</v>
      </c>
      <c r="D26" s="5">
        <v>199</v>
      </c>
      <c r="E26" s="5" t="s">
        <v>12</v>
      </c>
      <c r="F26" s="42">
        <v>44725</v>
      </c>
      <c r="G26" s="5" t="s">
        <v>839</v>
      </c>
      <c r="H26" s="130" t="s">
        <v>1094</v>
      </c>
      <c r="I26" s="72" t="s">
        <v>859</v>
      </c>
      <c r="J26" s="72" t="s">
        <v>860</v>
      </c>
      <c r="K26" s="1" t="s">
        <v>778</v>
      </c>
      <c r="L26" s="1"/>
      <c r="M26" s="1" t="s">
        <v>332</v>
      </c>
    </row>
    <row r="27" spans="1:13">
      <c r="A27" s="1">
        <v>25</v>
      </c>
      <c r="B27" s="65" t="s">
        <v>804</v>
      </c>
      <c r="C27" s="5">
        <v>524453513</v>
      </c>
      <c r="D27" s="5">
        <v>199</v>
      </c>
      <c r="E27" s="5" t="s">
        <v>12</v>
      </c>
      <c r="F27" s="42">
        <v>44728</v>
      </c>
      <c r="G27" s="5" t="s">
        <v>839</v>
      </c>
      <c r="H27" s="5"/>
      <c r="I27" s="72" t="s">
        <v>861</v>
      </c>
      <c r="J27" s="72" t="s">
        <v>862</v>
      </c>
      <c r="K27" s="1" t="s">
        <v>778</v>
      </c>
      <c r="L27" s="1"/>
      <c r="M27" s="1" t="s">
        <v>332</v>
      </c>
    </row>
    <row r="28" spans="1:13">
      <c r="A28" s="1">
        <v>26</v>
      </c>
      <c r="B28" s="65" t="s">
        <v>805</v>
      </c>
      <c r="C28" s="5">
        <v>564837812</v>
      </c>
      <c r="D28" s="25">
        <v>299</v>
      </c>
      <c r="E28" s="5" t="s">
        <v>12</v>
      </c>
      <c r="F28" s="42">
        <v>44728</v>
      </c>
      <c r="G28" s="5" t="s">
        <v>839</v>
      </c>
      <c r="H28" s="53" t="s">
        <v>331</v>
      </c>
      <c r="I28" s="72" t="s">
        <v>863</v>
      </c>
      <c r="J28" s="72" t="s">
        <v>864</v>
      </c>
      <c r="K28" s="1" t="s">
        <v>176</v>
      </c>
      <c r="L28" s="1"/>
      <c r="M28" s="1"/>
    </row>
    <row r="29" spans="1:13">
      <c r="A29" s="1">
        <v>27</v>
      </c>
      <c r="B29" s="65" t="s">
        <v>806</v>
      </c>
      <c r="C29" s="5">
        <v>509802186</v>
      </c>
      <c r="D29" s="25">
        <v>299</v>
      </c>
      <c r="E29" s="5" t="s">
        <v>12</v>
      </c>
      <c r="F29" s="42">
        <v>44728</v>
      </c>
      <c r="G29" s="5" t="s">
        <v>839</v>
      </c>
      <c r="H29" s="5"/>
      <c r="I29" s="72" t="s">
        <v>865</v>
      </c>
      <c r="J29" s="72" t="s">
        <v>866</v>
      </c>
      <c r="K29" s="1" t="s">
        <v>466</v>
      </c>
      <c r="L29" s="1"/>
      <c r="M29" s="1" t="s">
        <v>332</v>
      </c>
    </row>
    <row r="30" spans="1:13">
      <c r="A30" s="1">
        <v>28</v>
      </c>
      <c r="B30" s="65" t="s">
        <v>807</v>
      </c>
      <c r="C30" s="5">
        <v>564891668</v>
      </c>
      <c r="D30" s="25">
        <v>299</v>
      </c>
      <c r="E30" s="5" t="s">
        <v>12</v>
      </c>
      <c r="F30" s="42">
        <v>44728</v>
      </c>
      <c r="G30" s="5" t="s">
        <v>839</v>
      </c>
      <c r="H30" s="5" t="s">
        <v>1094</v>
      </c>
      <c r="I30" s="72" t="s">
        <v>867</v>
      </c>
      <c r="J30" s="72" t="s">
        <v>868</v>
      </c>
      <c r="K30" s="1" t="s">
        <v>466</v>
      </c>
      <c r="L30" s="1"/>
      <c r="M30" s="1" t="s">
        <v>332</v>
      </c>
    </row>
    <row r="31" spans="1:13">
      <c r="A31" s="1">
        <v>29</v>
      </c>
      <c r="B31" s="65" t="s">
        <v>808</v>
      </c>
      <c r="C31" s="5">
        <v>527882609</v>
      </c>
      <c r="D31" s="5">
        <v>199</v>
      </c>
      <c r="E31" s="5" t="s">
        <v>12</v>
      </c>
      <c r="F31" s="42">
        <v>44728</v>
      </c>
      <c r="G31" s="5" t="s">
        <v>839</v>
      </c>
      <c r="H31" s="53" t="s">
        <v>1025</v>
      </c>
      <c r="I31" s="72" t="s">
        <v>869</v>
      </c>
      <c r="J31" s="72" t="s">
        <v>897</v>
      </c>
      <c r="K31" s="1" t="s">
        <v>779</v>
      </c>
      <c r="L31" s="1"/>
      <c r="M31" s="1"/>
    </row>
    <row r="32" spans="1:13">
      <c r="A32" s="1">
        <v>30</v>
      </c>
      <c r="B32" s="65" t="s">
        <v>808</v>
      </c>
      <c r="C32" s="5">
        <v>527882609</v>
      </c>
      <c r="D32" s="25">
        <v>299</v>
      </c>
      <c r="E32" s="5" t="s">
        <v>12</v>
      </c>
      <c r="F32" s="42">
        <v>44728</v>
      </c>
      <c r="G32" s="5" t="s">
        <v>839</v>
      </c>
      <c r="H32" s="53" t="s">
        <v>331</v>
      </c>
      <c r="I32" s="72" t="s">
        <v>869</v>
      </c>
      <c r="J32" s="5">
        <v>66249709</v>
      </c>
      <c r="K32" s="1" t="s">
        <v>779</v>
      </c>
      <c r="L32" s="1"/>
      <c r="M32" s="1"/>
    </row>
    <row r="33" spans="1:13">
      <c r="A33" s="1">
        <v>31</v>
      </c>
      <c r="B33" s="71" t="s">
        <v>809</v>
      </c>
      <c r="C33" s="5">
        <v>582430018</v>
      </c>
      <c r="D33" s="5">
        <v>199</v>
      </c>
      <c r="E33" s="5" t="s">
        <v>61</v>
      </c>
      <c r="F33" s="42">
        <v>44742</v>
      </c>
      <c r="G33" s="5" t="s">
        <v>839</v>
      </c>
      <c r="H33" s="1"/>
      <c r="I33" s="61">
        <v>1.4777602000000001</v>
      </c>
      <c r="J33" s="62">
        <v>66129258</v>
      </c>
      <c r="K33" s="1"/>
      <c r="L33" s="1"/>
      <c r="M33" s="1" t="s">
        <v>332</v>
      </c>
    </row>
    <row r="34" spans="1:13">
      <c r="A34" s="1">
        <v>32</v>
      </c>
      <c r="B34" s="71" t="s">
        <v>810</v>
      </c>
      <c r="C34" s="5">
        <v>508423376</v>
      </c>
      <c r="D34" s="5">
        <v>199</v>
      </c>
      <c r="E34" s="5" t="s">
        <v>61</v>
      </c>
      <c r="F34" s="42">
        <v>44742</v>
      </c>
      <c r="G34" s="5" t="s">
        <v>839</v>
      </c>
      <c r="H34" s="1"/>
      <c r="I34" s="61">
        <v>1.4777611900000001</v>
      </c>
      <c r="J34" s="62">
        <v>66129838</v>
      </c>
      <c r="K34" s="1"/>
      <c r="L34" s="1"/>
      <c r="M34" s="1" t="s">
        <v>332</v>
      </c>
    </row>
    <row r="35" spans="1:13">
      <c r="A35" s="1">
        <v>33</v>
      </c>
      <c r="B35" s="71" t="s">
        <v>811</v>
      </c>
      <c r="C35" s="5">
        <v>503865793</v>
      </c>
      <c r="D35" s="5">
        <v>199</v>
      </c>
      <c r="E35" s="5" t="s">
        <v>61</v>
      </c>
      <c r="F35" s="42">
        <v>44742</v>
      </c>
      <c r="G35" s="5" t="s">
        <v>839</v>
      </c>
      <c r="H35" s="1"/>
      <c r="I35" s="61">
        <v>1.4781446</v>
      </c>
      <c r="J35" s="62">
        <v>66192793</v>
      </c>
      <c r="K35" s="1"/>
      <c r="L35" s="1"/>
      <c r="M35" s="1" t="s">
        <v>332</v>
      </c>
    </row>
    <row r="36" spans="1:13">
      <c r="A36" s="1">
        <v>34</v>
      </c>
      <c r="B36" s="71" t="s">
        <v>812</v>
      </c>
      <c r="C36" s="5">
        <v>505510375</v>
      </c>
      <c r="D36" s="5">
        <v>199</v>
      </c>
      <c r="E36" s="5" t="s">
        <v>61</v>
      </c>
      <c r="F36" s="42">
        <v>44742</v>
      </c>
      <c r="G36" s="5" t="s">
        <v>839</v>
      </c>
      <c r="H36" s="1"/>
      <c r="I36" s="61">
        <v>1.4786089600000001</v>
      </c>
      <c r="J36" s="62">
        <v>66264842</v>
      </c>
      <c r="K36" s="1"/>
      <c r="L36" s="1"/>
      <c r="M36" s="1" t="s">
        <v>332</v>
      </c>
    </row>
    <row r="37" spans="1:13">
      <c r="A37" s="1">
        <v>35</v>
      </c>
      <c r="B37" s="65" t="s">
        <v>813</v>
      </c>
      <c r="C37" s="5">
        <v>528786468</v>
      </c>
      <c r="D37" s="5">
        <v>199</v>
      </c>
      <c r="E37" s="5" t="s">
        <v>12</v>
      </c>
      <c r="F37" s="42">
        <v>44728</v>
      </c>
      <c r="G37" s="5" t="s">
        <v>839</v>
      </c>
      <c r="H37" s="5" t="s">
        <v>1094</v>
      </c>
      <c r="I37" s="72" t="s">
        <v>870</v>
      </c>
      <c r="J37" s="5">
        <v>66249348</v>
      </c>
      <c r="K37" s="1" t="s">
        <v>778</v>
      </c>
      <c r="L37" s="1"/>
      <c r="M37" s="1" t="s">
        <v>332</v>
      </c>
    </row>
    <row r="38" spans="1:13">
      <c r="A38" s="1">
        <v>36</v>
      </c>
      <c r="B38" s="65" t="s">
        <v>814</v>
      </c>
      <c r="C38" s="5">
        <v>522000152</v>
      </c>
      <c r="D38" s="5">
        <v>199</v>
      </c>
      <c r="E38" s="5" t="s">
        <v>12</v>
      </c>
      <c r="F38" s="42">
        <v>44728</v>
      </c>
      <c r="G38" s="5" t="s">
        <v>839</v>
      </c>
      <c r="H38" s="53" t="s">
        <v>331</v>
      </c>
      <c r="I38" s="72" t="s">
        <v>871</v>
      </c>
      <c r="J38" s="5">
        <v>66330669</v>
      </c>
      <c r="K38" s="1" t="s">
        <v>193</v>
      </c>
      <c r="L38" s="1"/>
      <c r="M38" s="1"/>
    </row>
    <row r="39" spans="1:13">
      <c r="A39" s="1">
        <v>37</v>
      </c>
      <c r="B39" s="65" t="s">
        <v>815</v>
      </c>
      <c r="C39" s="5">
        <v>569815923</v>
      </c>
      <c r="D39" s="5">
        <v>199</v>
      </c>
      <c r="E39" s="5" t="s">
        <v>12</v>
      </c>
      <c r="F39" s="42">
        <v>44732</v>
      </c>
      <c r="G39" s="5" t="s">
        <v>839</v>
      </c>
      <c r="H39" s="5"/>
      <c r="I39" s="72" t="s">
        <v>872</v>
      </c>
      <c r="J39" s="5">
        <v>66360666</v>
      </c>
      <c r="K39" s="1" t="s">
        <v>466</v>
      </c>
      <c r="L39" s="1"/>
      <c r="M39" s="1" t="s">
        <v>332</v>
      </c>
    </row>
    <row r="40" spans="1:13">
      <c r="A40" s="1">
        <v>38</v>
      </c>
      <c r="B40" s="65" t="s">
        <v>816</v>
      </c>
      <c r="C40" s="5">
        <v>558587871</v>
      </c>
      <c r="D40" s="5">
        <v>199</v>
      </c>
      <c r="E40" s="5" t="s">
        <v>12</v>
      </c>
      <c r="F40" s="42">
        <v>44732</v>
      </c>
      <c r="G40" s="5" t="s">
        <v>839</v>
      </c>
      <c r="H40" s="5"/>
      <c r="I40" s="72" t="s">
        <v>873</v>
      </c>
      <c r="J40" s="5">
        <v>66309580</v>
      </c>
      <c r="K40" s="1" t="s">
        <v>193</v>
      </c>
      <c r="L40" s="1"/>
      <c r="M40" s="1" t="s">
        <v>332</v>
      </c>
    </row>
    <row r="41" spans="1:13">
      <c r="A41" s="1">
        <v>39</v>
      </c>
      <c r="B41" s="65" t="s">
        <v>817</v>
      </c>
      <c r="C41" s="5">
        <v>50934595</v>
      </c>
      <c r="D41" s="5">
        <v>199</v>
      </c>
      <c r="E41" s="5" t="s">
        <v>12</v>
      </c>
      <c r="F41" s="42">
        <v>44732</v>
      </c>
      <c r="G41" s="5" t="s">
        <v>839</v>
      </c>
      <c r="H41" s="5" t="s">
        <v>1094</v>
      </c>
      <c r="I41" s="72" t="s">
        <v>874</v>
      </c>
      <c r="J41" s="5">
        <v>66378678</v>
      </c>
      <c r="K41" s="1" t="s">
        <v>466</v>
      </c>
      <c r="L41" s="1"/>
      <c r="M41" s="1" t="s">
        <v>332</v>
      </c>
    </row>
    <row r="42" spans="1:13">
      <c r="A42" s="1">
        <v>40</v>
      </c>
      <c r="B42" s="65" t="s">
        <v>818</v>
      </c>
      <c r="C42" s="5">
        <v>505196523</v>
      </c>
      <c r="D42" s="5">
        <v>199</v>
      </c>
      <c r="E42" s="5" t="s">
        <v>12</v>
      </c>
      <c r="F42" s="42">
        <v>44732</v>
      </c>
      <c r="G42" s="5" t="s">
        <v>839</v>
      </c>
      <c r="H42" s="5"/>
      <c r="I42" s="72" t="s">
        <v>875</v>
      </c>
      <c r="J42" s="5">
        <v>66284167</v>
      </c>
      <c r="K42" s="1" t="s">
        <v>176</v>
      </c>
      <c r="L42" s="1"/>
      <c r="M42" s="1" t="s">
        <v>332</v>
      </c>
    </row>
    <row r="43" spans="1:13">
      <c r="A43" s="1">
        <v>41</v>
      </c>
      <c r="B43" s="71" t="s">
        <v>819</v>
      </c>
      <c r="C43" s="5">
        <v>566610590</v>
      </c>
      <c r="D43" s="5">
        <v>199</v>
      </c>
      <c r="E43" s="5" t="s">
        <v>12</v>
      </c>
      <c r="F43" s="42">
        <v>44732</v>
      </c>
      <c r="G43" s="5" t="s">
        <v>839</v>
      </c>
      <c r="H43" s="5"/>
      <c r="I43" s="72" t="s">
        <v>876</v>
      </c>
      <c r="J43" s="5">
        <v>66377187</v>
      </c>
      <c r="K43" s="1" t="s">
        <v>778</v>
      </c>
      <c r="L43" s="1"/>
      <c r="M43" s="1" t="s">
        <v>332</v>
      </c>
    </row>
    <row r="44" spans="1:13">
      <c r="A44" s="1">
        <v>42</v>
      </c>
      <c r="B44" s="65" t="s">
        <v>820</v>
      </c>
      <c r="C44" s="5">
        <v>551921000</v>
      </c>
      <c r="D44" s="5">
        <v>199</v>
      </c>
      <c r="E44" s="5" t="s">
        <v>12</v>
      </c>
      <c r="F44" s="42">
        <v>44732</v>
      </c>
      <c r="G44" s="5" t="s">
        <v>839</v>
      </c>
      <c r="H44" s="5" t="s">
        <v>1094</v>
      </c>
      <c r="I44" s="72" t="s">
        <v>877</v>
      </c>
      <c r="J44" s="5">
        <v>66372569</v>
      </c>
      <c r="K44" s="1" t="s">
        <v>778</v>
      </c>
      <c r="L44" s="1"/>
      <c r="M44" s="1" t="s">
        <v>332</v>
      </c>
    </row>
    <row r="45" spans="1:13">
      <c r="A45" s="1">
        <v>43</v>
      </c>
      <c r="B45" s="65" t="s">
        <v>821</v>
      </c>
      <c r="C45" s="5">
        <v>503022100</v>
      </c>
      <c r="D45" s="5">
        <v>199</v>
      </c>
      <c r="E45" s="5" t="s">
        <v>12</v>
      </c>
      <c r="F45" s="42">
        <v>44732</v>
      </c>
      <c r="G45" s="5" t="s">
        <v>839</v>
      </c>
      <c r="H45" s="1"/>
      <c r="I45" s="72" t="s">
        <v>878</v>
      </c>
      <c r="J45" s="5">
        <v>66355242</v>
      </c>
      <c r="K45" s="1"/>
      <c r="L45" s="1"/>
      <c r="M45" s="1" t="s">
        <v>332</v>
      </c>
    </row>
    <row r="46" spans="1:13">
      <c r="A46" s="1">
        <v>44</v>
      </c>
      <c r="B46" s="65" t="s">
        <v>822</v>
      </c>
      <c r="C46" s="5">
        <v>567246099</v>
      </c>
      <c r="D46" s="5">
        <v>199</v>
      </c>
      <c r="E46" s="5" t="s">
        <v>12</v>
      </c>
      <c r="F46" s="42">
        <v>44732</v>
      </c>
      <c r="G46" s="5" t="s">
        <v>839</v>
      </c>
      <c r="H46" s="1"/>
      <c r="I46" s="72" t="s">
        <v>879</v>
      </c>
      <c r="J46" s="5">
        <v>66387389</v>
      </c>
      <c r="K46" s="1"/>
      <c r="L46" s="1"/>
      <c r="M46" s="1" t="s">
        <v>332</v>
      </c>
    </row>
    <row r="47" spans="1:13">
      <c r="A47" s="1">
        <v>45</v>
      </c>
      <c r="B47" s="65" t="s">
        <v>823</v>
      </c>
      <c r="C47" s="5">
        <v>507208259</v>
      </c>
      <c r="D47" s="5">
        <v>199</v>
      </c>
      <c r="E47" s="5" t="s">
        <v>12</v>
      </c>
      <c r="F47" s="42">
        <v>44732</v>
      </c>
      <c r="G47" s="5" t="s">
        <v>839</v>
      </c>
      <c r="H47" s="53" t="s">
        <v>331</v>
      </c>
      <c r="I47" s="72" t="s">
        <v>880</v>
      </c>
      <c r="J47" s="5">
        <v>66361092</v>
      </c>
      <c r="K47" s="1" t="s">
        <v>779</v>
      </c>
      <c r="L47" s="1"/>
      <c r="M47" s="1"/>
    </row>
    <row r="48" spans="1:13">
      <c r="A48" s="1">
        <v>46</v>
      </c>
      <c r="B48" s="65" t="s">
        <v>824</v>
      </c>
      <c r="C48" s="5">
        <v>527545235</v>
      </c>
      <c r="D48" s="5">
        <v>199</v>
      </c>
      <c r="E48" s="5" t="s">
        <v>12</v>
      </c>
      <c r="F48" s="42">
        <v>44735</v>
      </c>
      <c r="G48" s="5" t="s">
        <v>839</v>
      </c>
      <c r="H48" s="1"/>
      <c r="I48" s="72" t="s">
        <v>881</v>
      </c>
      <c r="J48" s="5">
        <v>66397639</v>
      </c>
      <c r="K48" s="1" t="s">
        <v>899</v>
      </c>
      <c r="L48" s="1"/>
      <c r="M48" s="1" t="s">
        <v>332</v>
      </c>
    </row>
    <row r="49" spans="1:13">
      <c r="A49" s="1">
        <v>47</v>
      </c>
      <c r="B49" s="65" t="s">
        <v>825</v>
      </c>
      <c r="C49" s="5">
        <v>556837813</v>
      </c>
      <c r="D49" s="5">
        <v>199</v>
      </c>
      <c r="E49" s="5" t="s">
        <v>12</v>
      </c>
      <c r="F49" s="42">
        <v>44735</v>
      </c>
      <c r="G49" s="5" t="s">
        <v>839</v>
      </c>
      <c r="H49" s="5"/>
      <c r="I49" s="72" t="s">
        <v>882</v>
      </c>
      <c r="J49" s="5">
        <v>66435613</v>
      </c>
      <c r="K49" s="1" t="s">
        <v>778</v>
      </c>
      <c r="L49" s="1"/>
      <c r="M49" s="1" t="s">
        <v>332</v>
      </c>
    </row>
    <row r="50" spans="1:13">
      <c r="A50" s="1">
        <v>48</v>
      </c>
      <c r="B50" s="65" t="s">
        <v>826</v>
      </c>
      <c r="C50" s="5">
        <v>547545078</v>
      </c>
      <c r="D50" s="5">
        <v>199</v>
      </c>
      <c r="E50" s="5" t="s">
        <v>12</v>
      </c>
      <c r="F50" s="42">
        <v>44735</v>
      </c>
      <c r="G50" s="5" t="s">
        <v>839</v>
      </c>
      <c r="H50" s="5"/>
      <c r="I50" s="72" t="s">
        <v>883</v>
      </c>
      <c r="J50" s="5">
        <v>66437884</v>
      </c>
      <c r="K50" s="1" t="s">
        <v>779</v>
      </c>
      <c r="L50" s="1"/>
      <c r="M50" s="1" t="s">
        <v>332</v>
      </c>
    </row>
    <row r="51" spans="1:13">
      <c r="A51" s="1">
        <v>49</v>
      </c>
      <c r="B51" s="65" t="s">
        <v>902</v>
      </c>
      <c r="C51" s="5">
        <v>569689219</v>
      </c>
      <c r="D51" s="5">
        <v>199</v>
      </c>
      <c r="E51" s="5" t="s">
        <v>12</v>
      </c>
      <c r="F51" s="42">
        <v>44735</v>
      </c>
      <c r="G51" s="5" t="s">
        <v>839</v>
      </c>
      <c r="H51" s="5"/>
      <c r="I51" s="72" t="s">
        <v>884</v>
      </c>
      <c r="J51" s="5">
        <v>66455839</v>
      </c>
      <c r="K51" s="1" t="s">
        <v>468</v>
      </c>
      <c r="L51" s="1"/>
      <c r="M51" s="1" t="s">
        <v>145</v>
      </c>
    </row>
    <row r="52" spans="1:13">
      <c r="A52" s="1">
        <v>50</v>
      </c>
      <c r="B52" s="65" t="s">
        <v>827</v>
      </c>
      <c r="C52" s="5">
        <v>555044565</v>
      </c>
      <c r="D52" s="25">
        <v>299</v>
      </c>
      <c r="E52" s="5" t="s">
        <v>12</v>
      </c>
      <c r="F52" s="42">
        <v>44737</v>
      </c>
      <c r="G52" s="5" t="s">
        <v>839</v>
      </c>
      <c r="H52" s="5"/>
      <c r="I52" s="72" t="s">
        <v>885</v>
      </c>
      <c r="J52" s="5">
        <v>66483358</v>
      </c>
      <c r="K52" s="1" t="s">
        <v>778</v>
      </c>
      <c r="L52" s="1"/>
      <c r="M52" s="1" t="s">
        <v>332</v>
      </c>
    </row>
    <row r="53" spans="1:13">
      <c r="A53" s="1">
        <v>51</v>
      </c>
      <c r="B53" s="64" t="s">
        <v>828</v>
      </c>
      <c r="C53" s="5">
        <v>552607303</v>
      </c>
      <c r="D53" s="5">
        <v>199</v>
      </c>
      <c r="E53" s="5" t="s">
        <v>12</v>
      </c>
      <c r="F53" s="42">
        <v>44737</v>
      </c>
      <c r="G53" s="5" t="s">
        <v>839</v>
      </c>
      <c r="H53" s="5"/>
      <c r="I53" s="72" t="s">
        <v>886</v>
      </c>
      <c r="J53" s="5">
        <v>66545513</v>
      </c>
      <c r="K53" s="1" t="s">
        <v>176</v>
      </c>
      <c r="L53" s="1"/>
      <c r="M53" s="1" t="s">
        <v>332</v>
      </c>
    </row>
    <row r="54" spans="1:13">
      <c r="A54" s="1">
        <v>52</v>
      </c>
      <c r="B54" s="64" t="s">
        <v>829</v>
      </c>
      <c r="C54" s="5">
        <v>582584173</v>
      </c>
      <c r="D54" s="5">
        <v>199</v>
      </c>
      <c r="E54" s="5" t="s">
        <v>12</v>
      </c>
      <c r="F54" s="42">
        <v>44737</v>
      </c>
      <c r="G54" s="5" t="s">
        <v>839</v>
      </c>
      <c r="H54" s="5" t="s">
        <v>1094</v>
      </c>
      <c r="I54" s="72" t="s">
        <v>887</v>
      </c>
      <c r="J54" s="5">
        <v>66554071</v>
      </c>
      <c r="K54" s="1" t="s">
        <v>898</v>
      </c>
      <c r="L54" s="1"/>
      <c r="M54" s="1" t="s">
        <v>332</v>
      </c>
    </row>
    <row r="55" spans="1:13">
      <c r="A55" s="1">
        <v>53</v>
      </c>
      <c r="B55" s="65" t="s">
        <v>830</v>
      </c>
      <c r="C55" s="5">
        <v>502009245</v>
      </c>
      <c r="D55" s="5">
        <v>199</v>
      </c>
      <c r="E55" s="5" t="s">
        <v>12</v>
      </c>
      <c r="F55" s="42">
        <v>44737</v>
      </c>
      <c r="G55" s="5" t="s">
        <v>839</v>
      </c>
      <c r="H55" s="5"/>
      <c r="I55" s="72" t="s">
        <v>888</v>
      </c>
      <c r="J55" s="5">
        <v>66553127</v>
      </c>
      <c r="K55" s="1" t="s">
        <v>899</v>
      </c>
      <c r="L55" s="1"/>
      <c r="M55" s="1" t="s">
        <v>332</v>
      </c>
    </row>
    <row r="56" spans="1:13">
      <c r="A56" s="1">
        <v>54</v>
      </c>
      <c r="B56" s="65" t="s">
        <v>831</v>
      </c>
      <c r="C56" s="5">
        <v>509371475</v>
      </c>
      <c r="D56" s="5">
        <v>199</v>
      </c>
      <c r="E56" s="5" t="s">
        <v>12</v>
      </c>
      <c r="F56" s="42">
        <v>44739</v>
      </c>
      <c r="G56" s="5" t="s">
        <v>839</v>
      </c>
      <c r="H56" s="5"/>
      <c r="I56" s="72" t="s">
        <v>889</v>
      </c>
      <c r="J56" s="5">
        <v>66538244</v>
      </c>
      <c r="K56" s="1" t="s">
        <v>176</v>
      </c>
      <c r="L56" s="1"/>
      <c r="M56" s="1" t="s">
        <v>145</v>
      </c>
    </row>
    <row r="57" spans="1:13">
      <c r="A57" s="1">
        <v>55</v>
      </c>
      <c r="B57" s="65" t="s">
        <v>832</v>
      </c>
      <c r="C57" s="5">
        <v>562118581</v>
      </c>
      <c r="D57" s="5">
        <v>199</v>
      </c>
      <c r="E57" s="5" t="s">
        <v>12</v>
      </c>
      <c r="F57" s="42">
        <v>44740</v>
      </c>
      <c r="G57" s="5" t="s">
        <v>839</v>
      </c>
      <c r="H57" s="130" t="s">
        <v>1094</v>
      </c>
      <c r="I57" s="72" t="s">
        <v>890</v>
      </c>
      <c r="J57" s="5">
        <v>66566388</v>
      </c>
      <c r="K57" s="1" t="s">
        <v>778</v>
      </c>
      <c r="L57" s="1"/>
      <c r="M57" s="1" t="s">
        <v>332</v>
      </c>
    </row>
    <row r="58" spans="1:13">
      <c r="A58" s="1">
        <v>56</v>
      </c>
      <c r="B58" s="65" t="s">
        <v>833</v>
      </c>
      <c r="C58" s="5">
        <v>508699953</v>
      </c>
      <c r="D58" s="5">
        <v>199</v>
      </c>
      <c r="E58" s="5" t="s">
        <v>12</v>
      </c>
      <c r="F58" s="42">
        <v>44741</v>
      </c>
      <c r="G58" s="5" t="s">
        <v>839</v>
      </c>
      <c r="H58" s="5"/>
      <c r="I58" s="72" t="s">
        <v>891</v>
      </c>
      <c r="J58" s="5">
        <v>66596751</v>
      </c>
      <c r="K58" s="1" t="s">
        <v>900</v>
      </c>
      <c r="L58" s="1"/>
      <c r="M58" s="1" t="s">
        <v>332</v>
      </c>
    </row>
    <row r="59" spans="1:13">
      <c r="A59" s="1">
        <v>57</v>
      </c>
      <c r="B59" s="65" t="s">
        <v>834</v>
      </c>
      <c r="C59" s="5">
        <v>565678610</v>
      </c>
      <c r="D59" s="5">
        <v>199</v>
      </c>
      <c r="E59" s="5" t="s">
        <v>12</v>
      </c>
      <c r="F59" s="42">
        <v>44742</v>
      </c>
      <c r="G59" s="5" t="s">
        <v>839</v>
      </c>
      <c r="H59" s="5"/>
      <c r="I59" s="72" t="s">
        <v>892</v>
      </c>
      <c r="J59" s="5">
        <v>66614384</v>
      </c>
      <c r="K59" s="1" t="s">
        <v>176</v>
      </c>
      <c r="L59" s="1"/>
      <c r="M59" s="1" t="s">
        <v>332</v>
      </c>
    </row>
    <row r="60" spans="1:13">
      <c r="A60" s="1">
        <v>58</v>
      </c>
      <c r="B60" s="65" t="s">
        <v>835</v>
      </c>
      <c r="C60" s="5">
        <v>522708970</v>
      </c>
      <c r="D60" s="5">
        <v>199</v>
      </c>
      <c r="E60" s="5" t="s">
        <v>12</v>
      </c>
      <c r="F60" s="42">
        <v>44742</v>
      </c>
      <c r="G60" s="5" t="s">
        <v>839</v>
      </c>
      <c r="H60" s="1"/>
      <c r="I60" s="72" t="s">
        <v>893</v>
      </c>
      <c r="J60" s="5">
        <v>66598130</v>
      </c>
      <c r="K60" s="1"/>
      <c r="L60" s="1"/>
      <c r="M60" s="1" t="s">
        <v>332</v>
      </c>
    </row>
    <row r="61" spans="1:13">
      <c r="A61" s="1">
        <v>59</v>
      </c>
      <c r="B61" s="65" t="s">
        <v>836</v>
      </c>
      <c r="C61" s="5">
        <v>566270939</v>
      </c>
      <c r="D61" s="5">
        <v>199</v>
      </c>
      <c r="E61" s="5" t="s">
        <v>12</v>
      </c>
      <c r="F61" s="42">
        <v>44742</v>
      </c>
      <c r="G61" s="5" t="s">
        <v>839</v>
      </c>
      <c r="H61" s="10" t="s">
        <v>1264</v>
      </c>
      <c r="I61" s="72" t="s">
        <v>894</v>
      </c>
      <c r="J61" s="5">
        <v>66594985</v>
      </c>
      <c r="K61" s="1" t="s">
        <v>193</v>
      </c>
      <c r="L61" s="1"/>
      <c r="M61" s="1"/>
    </row>
    <row r="62" spans="1:13">
      <c r="A62" s="1">
        <v>60</v>
      </c>
      <c r="B62" s="65" t="s">
        <v>837</v>
      </c>
      <c r="C62" s="5">
        <v>501055879</v>
      </c>
      <c r="D62" s="5">
        <v>199</v>
      </c>
      <c r="E62" s="5" t="s">
        <v>12</v>
      </c>
      <c r="F62" s="42">
        <v>44742</v>
      </c>
      <c r="G62" s="5" t="s">
        <v>839</v>
      </c>
      <c r="H62" s="1"/>
      <c r="I62" s="72" t="s">
        <v>895</v>
      </c>
      <c r="J62" s="5">
        <v>66607261</v>
      </c>
      <c r="K62" s="1"/>
      <c r="L62" s="1"/>
      <c r="M62" s="1" t="s">
        <v>332</v>
      </c>
    </row>
    <row r="63" spans="1:13">
      <c r="A63" s="1">
        <v>61</v>
      </c>
      <c r="B63" s="65" t="s">
        <v>838</v>
      </c>
      <c r="C63" s="5">
        <v>547613260</v>
      </c>
      <c r="D63" s="25">
        <v>299</v>
      </c>
      <c r="E63" s="5" t="s">
        <v>12</v>
      </c>
      <c r="F63" s="42">
        <v>44742</v>
      </c>
      <c r="G63" s="5" t="s">
        <v>839</v>
      </c>
      <c r="H63" s="1"/>
      <c r="I63" s="72" t="s">
        <v>896</v>
      </c>
      <c r="J63" s="5">
        <v>66643673</v>
      </c>
      <c r="K63" s="1"/>
      <c r="L63" s="1"/>
      <c r="M63" s="1" t="s">
        <v>332</v>
      </c>
    </row>
  </sheetData>
  <autoFilter ref="A2:M63" xr:uid="{00000000-0009-0000-0000-000008000000}"/>
  <mergeCells count="1">
    <mergeCell ref="A1:M1"/>
  </mergeCells>
  <conditionalFormatting sqref="B8:B10">
    <cfRule type="duplicateValues" dxfId="701" priority="110"/>
    <cfRule type="duplicateValues" dxfId="700" priority="108"/>
    <cfRule type="duplicateValues" dxfId="699" priority="107"/>
    <cfRule type="duplicateValues" dxfId="698" priority="106"/>
    <cfRule type="duplicateValues" dxfId="697" priority="120"/>
    <cfRule type="duplicateValues" dxfId="696" priority="114"/>
    <cfRule type="duplicateValues" dxfId="695" priority="119"/>
    <cfRule type="duplicateValues" dxfId="694" priority="118"/>
    <cfRule type="duplicateValues" dxfId="693" priority="117"/>
    <cfRule type="duplicateValues" dxfId="692" priority="116"/>
    <cfRule type="duplicateValues" dxfId="691" priority="115"/>
    <cfRule type="duplicateValues" dxfId="690" priority="122"/>
    <cfRule type="duplicateValues" dxfId="689" priority="121"/>
    <cfRule type="duplicateValues" dxfId="688" priority="113"/>
    <cfRule type="duplicateValues" dxfId="687" priority="109"/>
    <cfRule type="duplicateValues" dxfId="686" priority="112"/>
    <cfRule type="duplicateValues" dxfId="685" priority="111"/>
  </conditionalFormatting>
  <conditionalFormatting sqref="B13">
    <cfRule type="duplicateValues" dxfId="684" priority="141"/>
    <cfRule type="duplicateValues" dxfId="683" priority="145"/>
    <cfRule type="duplicateValues" dxfId="682" priority="131"/>
    <cfRule type="duplicateValues" dxfId="681" priority="130"/>
    <cfRule type="duplicateValues" dxfId="680" priority="129"/>
    <cfRule type="duplicateValues" dxfId="679" priority="144"/>
    <cfRule type="duplicateValues" dxfId="678" priority="143"/>
    <cfRule type="duplicateValues" dxfId="677" priority="142"/>
    <cfRule type="duplicateValues" dxfId="676" priority="133"/>
    <cfRule type="duplicateValues" dxfId="675" priority="140"/>
    <cfRule type="duplicateValues" dxfId="674" priority="139"/>
    <cfRule type="duplicateValues" dxfId="673" priority="138"/>
    <cfRule type="duplicateValues" dxfId="672" priority="137"/>
    <cfRule type="duplicateValues" dxfId="671" priority="136"/>
    <cfRule type="duplicateValues" dxfId="670" priority="135"/>
    <cfRule type="duplicateValues" dxfId="669" priority="134"/>
    <cfRule type="duplicateValues" dxfId="668" priority="132"/>
  </conditionalFormatting>
  <conditionalFormatting sqref="B17">
    <cfRule type="duplicateValues" dxfId="667" priority="123"/>
    <cfRule type="duplicateValues" dxfId="666" priority="127"/>
    <cfRule type="duplicateValues" dxfId="665" priority="128"/>
    <cfRule type="duplicateValues" dxfId="664" priority="126"/>
    <cfRule type="duplicateValues" dxfId="663" priority="125"/>
    <cfRule type="duplicateValues" dxfId="662" priority="124"/>
  </conditionalFormatting>
  <conditionalFormatting sqref="C8:C10">
    <cfRule type="duplicateValues" dxfId="661" priority="41"/>
    <cfRule type="duplicateValues" dxfId="660" priority="42"/>
    <cfRule type="duplicateValues" dxfId="659" priority="43"/>
    <cfRule type="duplicateValues" dxfId="658" priority="44"/>
    <cfRule type="duplicateValues" dxfId="657" priority="45"/>
    <cfRule type="duplicateValues" dxfId="656" priority="46"/>
    <cfRule type="duplicateValues" dxfId="655" priority="47"/>
    <cfRule type="duplicateValues" dxfId="654" priority="48"/>
    <cfRule type="duplicateValues" dxfId="653" priority="49"/>
    <cfRule type="duplicateValues" dxfId="652" priority="50"/>
    <cfRule type="duplicateValues" dxfId="651" priority="51"/>
    <cfRule type="duplicateValues" dxfId="650" priority="52"/>
    <cfRule type="duplicateValues" dxfId="649" priority="37"/>
    <cfRule type="duplicateValues" dxfId="648" priority="54"/>
    <cfRule type="duplicateValues" dxfId="647" priority="55"/>
    <cfRule type="duplicateValues" dxfId="646" priority="56"/>
    <cfRule type="duplicateValues" dxfId="645" priority="57"/>
    <cfRule type="duplicateValues" dxfId="644" priority="58"/>
    <cfRule type="duplicateValues" dxfId="643" priority="59"/>
    <cfRule type="duplicateValues" dxfId="642" priority="60"/>
    <cfRule type="duplicateValues" dxfId="641" priority="53"/>
    <cfRule type="duplicateValues" dxfId="640" priority="62"/>
    <cfRule type="duplicateValues" dxfId="639" priority="63"/>
    <cfRule type="duplicateValues" dxfId="638" priority="64"/>
    <cfRule type="duplicateValues" dxfId="637" priority="65"/>
    <cfRule type="duplicateValues" dxfId="636" priority="38"/>
    <cfRule type="duplicateValues" dxfId="635" priority="39"/>
    <cfRule type="duplicateValues" dxfId="634" priority="40"/>
    <cfRule type="duplicateValues" dxfId="633" priority="61"/>
  </conditionalFormatting>
  <conditionalFormatting sqref="C13">
    <cfRule type="duplicateValues" dxfId="632" priority="103"/>
    <cfRule type="duplicateValues" dxfId="631" priority="104"/>
    <cfRule type="duplicateValues" dxfId="630" priority="105"/>
    <cfRule type="duplicateValues" dxfId="629" priority="91"/>
    <cfRule type="duplicateValues" dxfId="628" priority="77"/>
    <cfRule type="duplicateValues" dxfId="627" priority="78"/>
    <cfRule type="duplicateValues" dxfId="626" priority="79"/>
    <cfRule type="duplicateValues" dxfId="625" priority="80"/>
    <cfRule type="duplicateValues" dxfId="624" priority="81"/>
    <cfRule type="duplicateValues" dxfId="623" priority="82"/>
    <cfRule type="duplicateValues" dxfId="622" priority="83"/>
    <cfRule type="duplicateValues" dxfId="621" priority="84"/>
    <cfRule type="duplicateValues" dxfId="620" priority="85"/>
    <cfRule type="duplicateValues" dxfId="619" priority="86"/>
    <cfRule type="duplicateValues" dxfId="618" priority="87"/>
    <cfRule type="duplicateValues" dxfId="617" priority="88"/>
    <cfRule type="duplicateValues" dxfId="616" priority="89"/>
    <cfRule type="duplicateValues" dxfId="615" priority="90"/>
    <cfRule type="duplicateValues" dxfId="614" priority="92"/>
    <cfRule type="duplicateValues" dxfId="613" priority="93"/>
    <cfRule type="duplicateValues" dxfId="612" priority="94"/>
    <cfRule type="duplicateValues" dxfId="611" priority="95"/>
    <cfRule type="duplicateValues" dxfId="610" priority="96"/>
    <cfRule type="duplicateValues" dxfId="609" priority="97"/>
    <cfRule type="duplicateValues" dxfId="608" priority="98"/>
    <cfRule type="duplicateValues" dxfId="607" priority="99"/>
    <cfRule type="duplicateValues" dxfId="606" priority="100"/>
    <cfRule type="duplicateValues" dxfId="605" priority="101"/>
    <cfRule type="duplicateValues" dxfId="604" priority="102"/>
  </conditionalFormatting>
  <conditionalFormatting sqref="C17">
    <cfRule type="duplicateValues" dxfId="603" priority="76"/>
    <cfRule type="duplicateValues" dxfId="602" priority="68"/>
    <cfRule type="duplicateValues" dxfId="601" priority="67"/>
    <cfRule type="duplicateValues" dxfId="600" priority="75"/>
    <cfRule type="duplicateValues" dxfId="599" priority="73"/>
    <cfRule type="duplicateValues" dxfId="598" priority="69"/>
    <cfRule type="duplicateValues" dxfId="597" priority="74"/>
    <cfRule type="duplicateValues" dxfId="596" priority="72"/>
    <cfRule type="duplicateValues" dxfId="595" priority="71"/>
    <cfRule type="duplicateValues" dxfId="594" priority="70"/>
    <cfRule type="duplicateValues" dxfId="593" priority="66"/>
  </conditionalFormatting>
  <conditionalFormatting sqref="I8:I10">
    <cfRule type="duplicateValues" dxfId="592" priority="3"/>
    <cfRule type="duplicateValues" dxfId="591" priority="4"/>
    <cfRule type="duplicateValues" dxfId="590" priority="2"/>
    <cfRule type="duplicateValues" dxfId="589" priority="5"/>
    <cfRule type="duplicateValues" dxfId="588" priority="10"/>
    <cfRule type="duplicateValues" dxfId="587" priority="13"/>
    <cfRule type="duplicateValues" dxfId="586" priority="12"/>
    <cfRule type="duplicateValues" dxfId="585" priority="11"/>
    <cfRule type="duplicateValues" dxfId="584" priority="9"/>
    <cfRule type="duplicateValues" dxfId="583" priority="8"/>
    <cfRule type="duplicateValues" dxfId="582" priority="7"/>
    <cfRule type="duplicateValues" dxfId="581" priority="6"/>
  </conditionalFormatting>
  <conditionalFormatting sqref="I11">
    <cfRule type="duplicateValues" dxfId="580" priority="19"/>
    <cfRule type="duplicateValues" dxfId="579" priority="20"/>
    <cfRule type="duplicateValues" dxfId="578" priority="18"/>
    <cfRule type="duplicateValues" dxfId="577" priority="17"/>
    <cfRule type="duplicateValues" dxfId="576" priority="16"/>
    <cfRule type="duplicateValues" dxfId="575" priority="14"/>
    <cfRule type="duplicateValues" dxfId="574" priority="25"/>
    <cfRule type="duplicateValues" dxfId="573" priority="24"/>
    <cfRule type="duplicateValues" dxfId="572" priority="23"/>
    <cfRule type="duplicateValues" dxfId="571" priority="22"/>
    <cfRule type="duplicateValues" dxfId="570" priority="21"/>
    <cfRule type="duplicateValues" dxfId="569" priority="15"/>
  </conditionalFormatting>
  <conditionalFormatting sqref="I17">
    <cfRule type="duplicateValues" dxfId="568" priority="36"/>
    <cfRule type="duplicateValues" dxfId="567" priority="35"/>
    <cfRule type="duplicateValues" dxfId="566" priority="34"/>
    <cfRule type="duplicateValues" dxfId="565" priority="32"/>
    <cfRule type="duplicateValues" dxfId="564" priority="31"/>
    <cfRule type="duplicateValues" dxfId="563" priority="30"/>
    <cfRule type="duplicateValues" dxfId="562" priority="29"/>
    <cfRule type="duplicateValues" dxfId="561" priority="27"/>
    <cfRule type="duplicateValues" dxfId="560" priority="33"/>
    <cfRule type="duplicateValues" dxfId="559" priority="28"/>
  </conditionalFormatting>
  <conditionalFormatting sqref="J8:J10">
    <cfRule type="duplicateValues" dxfId="558" priority="1"/>
  </conditionalFormatting>
  <conditionalFormatting sqref="J17">
    <cfRule type="duplicateValues" dxfId="557" priority="26"/>
  </conditionalFormatting>
  <pageMargins left="0.70866141732283472" right="0.70866141732283472" top="0.74803149606299213" bottom="0.74803149606299213" header="0.31496062992125984" footer="0.31496062992125984"/>
  <pageSetup paperSize="9" scale="56" orientation="landscape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61"/>
  <sheetViews>
    <sheetView topLeftCell="A50" zoomScale="138" zoomScaleNormal="85" workbookViewId="0">
      <selection activeCell="F62" sqref="F62"/>
    </sheetView>
  </sheetViews>
  <sheetFormatPr defaultRowHeight="14.5"/>
  <cols>
    <col min="1" max="1" width="3.54296875" customWidth="1"/>
    <col min="2" max="2" width="26.81640625" customWidth="1"/>
    <col min="3" max="3" width="20.54296875" customWidth="1"/>
    <col min="4" max="4" width="13.81640625" bestFit="1" customWidth="1"/>
    <col min="5" max="5" width="12.453125" bestFit="1" customWidth="1"/>
    <col min="6" max="6" width="15.81640625" bestFit="1" customWidth="1"/>
    <col min="7" max="7" width="16.453125" bestFit="1" customWidth="1"/>
    <col min="8" max="8" width="17.54296875" customWidth="1"/>
    <col min="9" max="9" width="23.1796875" bestFit="1" customWidth="1"/>
    <col min="10" max="10" width="9.453125" bestFit="1" customWidth="1"/>
    <col min="11" max="11" width="11.453125" bestFit="1" customWidth="1"/>
    <col min="12" max="12" width="11.1796875" customWidth="1"/>
  </cols>
  <sheetData>
    <row r="1" spans="1:12" ht="46">
      <c r="A1" s="682" t="s">
        <v>40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</row>
    <row r="2" spans="1:12" ht="15.5">
      <c r="A2" s="2" t="s">
        <v>0</v>
      </c>
      <c r="B2" s="38" t="s">
        <v>1</v>
      </c>
      <c r="C2" s="38" t="s">
        <v>2</v>
      </c>
      <c r="D2" s="38" t="s">
        <v>3</v>
      </c>
      <c r="E2" s="38" t="s">
        <v>4</v>
      </c>
      <c r="F2" s="38" t="s">
        <v>6</v>
      </c>
      <c r="G2" s="38" t="s">
        <v>8</v>
      </c>
      <c r="H2" s="38" t="s">
        <v>9</v>
      </c>
      <c r="I2" s="74" t="s">
        <v>901</v>
      </c>
      <c r="J2" s="44" t="s">
        <v>293</v>
      </c>
      <c r="K2" s="38" t="s">
        <v>321</v>
      </c>
      <c r="L2" s="38" t="s">
        <v>243</v>
      </c>
    </row>
    <row r="3" spans="1:12">
      <c r="A3" s="64">
        <v>1</v>
      </c>
      <c r="B3" s="66" t="s">
        <v>904</v>
      </c>
      <c r="C3" s="67">
        <v>501061233</v>
      </c>
      <c r="D3" s="99">
        <v>199</v>
      </c>
      <c r="E3" s="5" t="s">
        <v>12</v>
      </c>
      <c r="F3" s="42">
        <v>44743</v>
      </c>
      <c r="G3" s="5" t="s">
        <v>839</v>
      </c>
      <c r="H3" s="5"/>
      <c r="I3" s="72" t="s">
        <v>905</v>
      </c>
      <c r="J3" s="5">
        <v>66669158</v>
      </c>
      <c r="K3" s="5"/>
      <c r="L3" s="1" t="s">
        <v>1023</v>
      </c>
    </row>
    <row r="4" spans="1:12">
      <c r="A4" s="64">
        <v>2</v>
      </c>
      <c r="B4" s="65" t="s">
        <v>906</v>
      </c>
      <c r="C4" s="5">
        <v>566025953</v>
      </c>
      <c r="D4" s="99" t="s">
        <v>907</v>
      </c>
      <c r="E4" s="5" t="s">
        <v>12</v>
      </c>
      <c r="F4" s="42">
        <v>44743</v>
      </c>
      <c r="G4" s="5" t="s">
        <v>839</v>
      </c>
      <c r="H4" s="5"/>
      <c r="I4" s="72" t="s">
        <v>908</v>
      </c>
      <c r="J4" s="5">
        <v>66665315</v>
      </c>
      <c r="K4" s="5" t="s">
        <v>898</v>
      </c>
      <c r="L4" s="1" t="s">
        <v>1023</v>
      </c>
    </row>
    <row r="5" spans="1:12">
      <c r="A5" s="64">
        <v>3</v>
      </c>
      <c r="B5" s="65" t="s">
        <v>909</v>
      </c>
      <c r="C5" s="5">
        <v>556244918</v>
      </c>
      <c r="D5" s="99">
        <v>199</v>
      </c>
      <c r="E5" s="5" t="s">
        <v>12</v>
      </c>
      <c r="F5" s="42">
        <v>44743</v>
      </c>
      <c r="G5" s="5" t="s">
        <v>839</v>
      </c>
      <c r="H5" s="5"/>
      <c r="I5" s="72" t="s">
        <v>910</v>
      </c>
      <c r="J5" s="5">
        <v>66628835</v>
      </c>
      <c r="K5" s="5" t="s">
        <v>1020</v>
      </c>
      <c r="L5" s="1" t="s">
        <v>1023</v>
      </c>
    </row>
    <row r="6" spans="1:12">
      <c r="A6" s="64">
        <v>4</v>
      </c>
      <c r="B6" s="65" t="s">
        <v>911</v>
      </c>
      <c r="C6" s="5">
        <v>561869226</v>
      </c>
      <c r="D6" s="99" t="s">
        <v>907</v>
      </c>
      <c r="E6" s="5" t="s">
        <v>12</v>
      </c>
      <c r="F6" s="42">
        <v>44744</v>
      </c>
      <c r="G6" s="5" t="s">
        <v>839</v>
      </c>
      <c r="H6" s="5"/>
      <c r="I6" s="72" t="s">
        <v>912</v>
      </c>
      <c r="J6" s="5">
        <v>66688279</v>
      </c>
      <c r="K6" s="5" t="s">
        <v>193</v>
      </c>
      <c r="L6" s="1" t="s">
        <v>1023</v>
      </c>
    </row>
    <row r="7" spans="1:12">
      <c r="A7" s="64">
        <v>5</v>
      </c>
      <c r="B7" s="73" t="s">
        <v>913</v>
      </c>
      <c r="C7" s="5">
        <v>547051324</v>
      </c>
      <c r="D7" s="99" t="s">
        <v>907</v>
      </c>
      <c r="E7" s="5" t="s">
        <v>12</v>
      </c>
      <c r="F7" s="42">
        <v>44744</v>
      </c>
      <c r="G7" s="5" t="s">
        <v>839</v>
      </c>
      <c r="H7" s="5" t="s">
        <v>903</v>
      </c>
      <c r="I7" s="72" t="s">
        <v>914</v>
      </c>
      <c r="J7" s="5">
        <v>66689305</v>
      </c>
      <c r="K7" s="5" t="s">
        <v>1020</v>
      </c>
      <c r="L7" s="1" t="s">
        <v>1023</v>
      </c>
    </row>
    <row r="8" spans="1:12">
      <c r="A8" s="64">
        <v>6</v>
      </c>
      <c r="B8" s="65" t="s">
        <v>915</v>
      </c>
      <c r="C8" s="5">
        <v>569227856</v>
      </c>
      <c r="D8" s="99">
        <v>199</v>
      </c>
      <c r="E8" s="5" t="s">
        <v>12</v>
      </c>
      <c r="F8" s="42">
        <v>44744</v>
      </c>
      <c r="G8" s="5" t="s">
        <v>839</v>
      </c>
      <c r="H8" s="5"/>
      <c r="I8" s="61">
        <v>1.48099943</v>
      </c>
      <c r="J8" s="62">
        <v>66692106</v>
      </c>
      <c r="K8" s="5" t="s">
        <v>193</v>
      </c>
      <c r="L8" s="1" t="s">
        <v>1023</v>
      </c>
    </row>
    <row r="9" spans="1:12">
      <c r="A9" s="64">
        <v>7</v>
      </c>
      <c r="B9" s="65" t="s">
        <v>916</v>
      </c>
      <c r="C9" s="5">
        <v>524167553</v>
      </c>
      <c r="D9" s="99">
        <v>199</v>
      </c>
      <c r="E9" s="5" t="s">
        <v>12</v>
      </c>
      <c r="F9" s="42">
        <v>44744</v>
      </c>
      <c r="G9" s="5" t="s">
        <v>839</v>
      </c>
      <c r="H9" s="5"/>
      <c r="I9" s="61">
        <v>1.4809933500000001</v>
      </c>
      <c r="J9" s="62">
        <v>66690256</v>
      </c>
      <c r="K9" s="5" t="s">
        <v>1020</v>
      </c>
      <c r="L9" s="1" t="s">
        <v>1023</v>
      </c>
    </row>
    <row r="10" spans="1:12">
      <c r="A10" s="64">
        <v>8</v>
      </c>
      <c r="B10" s="65" t="s">
        <v>917</v>
      </c>
      <c r="C10" s="5">
        <v>558723967</v>
      </c>
      <c r="D10" s="99">
        <v>199</v>
      </c>
      <c r="E10" s="5" t="s">
        <v>12</v>
      </c>
      <c r="F10" s="42">
        <v>44745</v>
      </c>
      <c r="G10" s="5" t="s">
        <v>839</v>
      </c>
      <c r="H10" s="5"/>
      <c r="I10" s="61">
        <v>1.2908750099999999</v>
      </c>
      <c r="J10" s="62">
        <v>66728646</v>
      </c>
      <c r="K10" s="5" t="s">
        <v>779</v>
      </c>
      <c r="L10" s="1" t="s">
        <v>1023</v>
      </c>
    </row>
    <row r="11" spans="1:12">
      <c r="A11" s="64">
        <v>9</v>
      </c>
      <c r="B11" s="71" t="s">
        <v>918</v>
      </c>
      <c r="C11" s="5">
        <v>528793854</v>
      </c>
      <c r="D11" s="99">
        <v>199</v>
      </c>
      <c r="E11" s="5" t="s">
        <v>12</v>
      </c>
      <c r="F11" s="42">
        <v>44745</v>
      </c>
      <c r="G11" s="5" t="s">
        <v>839</v>
      </c>
      <c r="H11" s="5"/>
      <c r="I11" s="61">
        <v>1.48115989</v>
      </c>
      <c r="J11" s="5">
        <v>66715865</v>
      </c>
      <c r="K11" s="5" t="s">
        <v>778</v>
      </c>
      <c r="L11" s="1" t="s">
        <v>1023</v>
      </c>
    </row>
    <row r="12" spans="1:12">
      <c r="A12" s="64"/>
      <c r="B12" s="102" t="s">
        <v>1021</v>
      </c>
      <c r="C12" s="25">
        <v>544672159</v>
      </c>
      <c r="D12" s="25">
        <v>199</v>
      </c>
      <c r="E12" s="25" t="s">
        <v>12</v>
      </c>
      <c r="F12" s="92">
        <v>44745</v>
      </c>
      <c r="G12" s="25" t="s">
        <v>839</v>
      </c>
      <c r="H12" s="25" t="s">
        <v>254</v>
      </c>
      <c r="I12" s="61">
        <v>1.4813320400000001</v>
      </c>
      <c r="J12" s="5">
        <v>66743045</v>
      </c>
      <c r="K12" s="5" t="s">
        <v>1020</v>
      </c>
      <c r="L12" s="1"/>
    </row>
    <row r="13" spans="1:12">
      <c r="A13" s="64"/>
      <c r="B13" s="102" t="s">
        <v>1022</v>
      </c>
      <c r="C13" s="25">
        <v>558251082</v>
      </c>
      <c r="D13" s="25" t="s">
        <v>907</v>
      </c>
      <c r="E13" s="25" t="s">
        <v>12</v>
      </c>
      <c r="F13" s="92">
        <v>44745</v>
      </c>
      <c r="G13" s="25" t="s">
        <v>839</v>
      </c>
      <c r="H13" s="25" t="s">
        <v>254</v>
      </c>
      <c r="I13" s="61">
        <v>1.48071716</v>
      </c>
      <c r="J13" s="5">
        <v>66647360</v>
      </c>
      <c r="K13" s="5" t="s">
        <v>1020</v>
      </c>
      <c r="L13" s="1"/>
    </row>
    <row r="14" spans="1:12">
      <c r="A14" s="64">
        <v>10</v>
      </c>
      <c r="B14" s="66" t="s">
        <v>919</v>
      </c>
      <c r="C14" s="5">
        <v>544344443</v>
      </c>
      <c r="D14" s="99">
        <v>199</v>
      </c>
      <c r="E14" s="5" t="s">
        <v>102</v>
      </c>
      <c r="F14" s="42">
        <v>44746</v>
      </c>
      <c r="G14" s="5" t="s">
        <v>839</v>
      </c>
      <c r="H14" s="5"/>
      <c r="I14" s="72" t="s">
        <v>920</v>
      </c>
      <c r="J14" s="5">
        <v>66758443</v>
      </c>
      <c r="K14" s="5"/>
      <c r="L14" s="1" t="s">
        <v>1023</v>
      </c>
    </row>
    <row r="15" spans="1:12">
      <c r="A15" s="64">
        <v>11</v>
      </c>
      <c r="B15" s="98" t="s">
        <v>921</v>
      </c>
      <c r="C15" s="53">
        <v>506492811</v>
      </c>
      <c r="D15" s="53">
        <v>199</v>
      </c>
      <c r="E15" s="53" t="s">
        <v>102</v>
      </c>
      <c r="F15" s="54">
        <v>44746</v>
      </c>
      <c r="G15" s="53" t="s">
        <v>839</v>
      </c>
      <c r="H15" s="53" t="s">
        <v>331</v>
      </c>
      <c r="I15" s="72" t="s">
        <v>922</v>
      </c>
      <c r="J15" s="5">
        <v>66752343</v>
      </c>
      <c r="K15" s="5"/>
      <c r="L15" s="1"/>
    </row>
    <row r="16" spans="1:12">
      <c r="A16" s="64">
        <v>12</v>
      </c>
      <c r="B16" s="66" t="s">
        <v>923</v>
      </c>
      <c r="C16" s="5">
        <v>508796460</v>
      </c>
      <c r="D16" s="99">
        <v>199</v>
      </c>
      <c r="E16" s="5" t="s">
        <v>20</v>
      </c>
      <c r="F16" s="42">
        <v>44746</v>
      </c>
      <c r="G16" s="5" t="s">
        <v>839</v>
      </c>
      <c r="H16" s="5"/>
      <c r="I16" s="72" t="s">
        <v>924</v>
      </c>
      <c r="J16" s="5">
        <v>66760197</v>
      </c>
      <c r="K16" s="5"/>
      <c r="L16" s="1" t="s">
        <v>1023</v>
      </c>
    </row>
    <row r="17" spans="1:12">
      <c r="A17" s="64">
        <v>13</v>
      </c>
      <c r="B17" s="66" t="s">
        <v>925</v>
      </c>
      <c r="C17" s="5">
        <v>563601824</v>
      </c>
      <c r="D17" s="99">
        <v>199</v>
      </c>
      <c r="E17" s="5" t="s">
        <v>926</v>
      </c>
      <c r="F17" s="42">
        <v>44746</v>
      </c>
      <c r="G17" s="5" t="s">
        <v>839</v>
      </c>
      <c r="H17" s="5"/>
      <c r="I17" s="72" t="s">
        <v>927</v>
      </c>
      <c r="J17" s="5">
        <v>66755120</v>
      </c>
      <c r="K17" s="5" t="s">
        <v>193</v>
      </c>
      <c r="L17" s="1" t="s">
        <v>1023</v>
      </c>
    </row>
    <row r="18" spans="1:12">
      <c r="A18" s="64">
        <v>14</v>
      </c>
      <c r="B18" s="66" t="s">
        <v>928</v>
      </c>
      <c r="C18" s="5">
        <v>504767826</v>
      </c>
      <c r="D18" s="99">
        <v>199</v>
      </c>
      <c r="E18" s="5" t="s">
        <v>102</v>
      </c>
      <c r="F18" s="42">
        <v>44746</v>
      </c>
      <c r="G18" s="5" t="s">
        <v>839</v>
      </c>
      <c r="H18" s="5"/>
      <c r="I18" s="72" t="s">
        <v>929</v>
      </c>
      <c r="J18" s="5">
        <v>66784352</v>
      </c>
      <c r="K18" s="5" t="s">
        <v>778</v>
      </c>
      <c r="L18" s="1" t="s">
        <v>1023</v>
      </c>
    </row>
    <row r="19" spans="1:12">
      <c r="A19" s="64">
        <v>15</v>
      </c>
      <c r="B19" s="71" t="s">
        <v>930</v>
      </c>
      <c r="C19" s="5">
        <v>509515331</v>
      </c>
      <c r="D19" s="99">
        <v>199</v>
      </c>
      <c r="E19" s="5" t="s">
        <v>12</v>
      </c>
      <c r="F19" s="42">
        <v>44747</v>
      </c>
      <c r="G19" s="5" t="s">
        <v>839</v>
      </c>
      <c r="H19" s="5"/>
      <c r="I19" s="61">
        <v>1.3848999900000001</v>
      </c>
      <c r="J19" s="62">
        <v>66783965</v>
      </c>
      <c r="K19" s="5" t="s">
        <v>778</v>
      </c>
      <c r="L19" s="1" t="s">
        <v>1023</v>
      </c>
    </row>
    <row r="20" spans="1:12">
      <c r="A20" s="64">
        <v>16</v>
      </c>
      <c r="B20" s="65" t="s">
        <v>931</v>
      </c>
      <c r="C20" s="5">
        <v>555071522</v>
      </c>
      <c r="D20" s="99">
        <v>199</v>
      </c>
      <c r="E20" s="5" t="s">
        <v>102</v>
      </c>
      <c r="F20" s="42">
        <v>44747</v>
      </c>
      <c r="G20" s="5" t="s">
        <v>839</v>
      </c>
      <c r="H20" s="5"/>
      <c r="I20" s="72" t="s">
        <v>932</v>
      </c>
      <c r="J20" s="5">
        <v>66799215</v>
      </c>
      <c r="K20" s="5"/>
      <c r="L20" s="1" t="s">
        <v>1023</v>
      </c>
    </row>
    <row r="21" spans="1:12">
      <c r="A21" s="64">
        <v>17</v>
      </c>
      <c r="B21" s="65" t="s">
        <v>933</v>
      </c>
      <c r="C21" s="5">
        <v>504586349</v>
      </c>
      <c r="D21" s="99">
        <v>199</v>
      </c>
      <c r="E21" s="5" t="s">
        <v>12</v>
      </c>
      <c r="F21" s="42">
        <v>44747</v>
      </c>
      <c r="G21" s="5" t="s">
        <v>839</v>
      </c>
      <c r="H21" s="5"/>
      <c r="I21" s="72" t="s">
        <v>934</v>
      </c>
      <c r="J21" s="5">
        <v>66818925</v>
      </c>
      <c r="K21" s="5" t="s">
        <v>778</v>
      </c>
      <c r="L21" s="1" t="s">
        <v>1023</v>
      </c>
    </row>
    <row r="22" spans="1:12">
      <c r="A22" s="64">
        <v>18</v>
      </c>
      <c r="B22" s="65" t="s">
        <v>935</v>
      </c>
      <c r="C22" s="59">
        <v>556355950</v>
      </c>
      <c r="D22" s="99">
        <v>199</v>
      </c>
      <c r="E22" s="5" t="s">
        <v>12</v>
      </c>
      <c r="F22" s="42">
        <v>44749</v>
      </c>
      <c r="G22" s="5" t="s">
        <v>839</v>
      </c>
      <c r="H22" s="5"/>
      <c r="I22" s="72" t="s">
        <v>936</v>
      </c>
      <c r="J22" s="5">
        <v>66818439</v>
      </c>
      <c r="K22" s="5" t="s">
        <v>193</v>
      </c>
      <c r="L22" s="1" t="s">
        <v>1023</v>
      </c>
    </row>
    <row r="23" spans="1:12">
      <c r="A23" s="64">
        <v>19</v>
      </c>
      <c r="B23" s="66" t="s">
        <v>937</v>
      </c>
      <c r="C23" s="5">
        <v>556069788</v>
      </c>
      <c r="D23" s="99">
        <v>199</v>
      </c>
      <c r="E23" s="5" t="s">
        <v>102</v>
      </c>
      <c r="F23" s="42">
        <v>44753</v>
      </c>
      <c r="G23" s="5" t="s">
        <v>839</v>
      </c>
      <c r="H23" s="5"/>
      <c r="I23" s="72" t="s">
        <v>938</v>
      </c>
      <c r="J23" s="5"/>
      <c r="K23" s="5" t="s">
        <v>468</v>
      </c>
      <c r="L23" s="1" t="s">
        <v>1023</v>
      </c>
    </row>
    <row r="24" spans="1:12">
      <c r="A24" s="64">
        <v>20</v>
      </c>
      <c r="B24" s="66" t="s">
        <v>939</v>
      </c>
      <c r="C24" s="5">
        <v>522384513</v>
      </c>
      <c r="D24" s="99">
        <v>199</v>
      </c>
      <c r="E24" s="5" t="s">
        <v>12</v>
      </c>
      <c r="F24" s="42">
        <v>44754</v>
      </c>
      <c r="G24" s="5" t="s">
        <v>839</v>
      </c>
      <c r="H24" s="5"/>
      <c r="I24" s="72" t="s">
        <v>940</v>
      </c>
      <c r="J24" s="5">
        <v>66971858</v>
      </c>
      <c r="K24" s="5" t="s">
        <v>778</v>
      </c>
      <c r="L24" s="1" t="s">
        <v>1023</v>
      </c>
    </row>
    <row r="25" spans="1:12">
      <c r="A25" s="64">
        <v>21</v>
      </c>
      <c r="B25" s="66" t="s">
        <v>941</v>
      </c>
      <c r="C25" s="5">
        <v>524871044</v>
      </c>
      <c r="D25" s="99">
        <v>199</v>
      </c>
      <c r="E25" s="5" t="s">
        <v>112</v>
      </c>
      <c r="F25" s="42">
        <v>44754</v>
      </c>
      <c r="G25" s="5" t="s">
        <v>839</v>
      </c>
      <c r="H25" s="5"/>
      <c r="I25" s="72" t="s">
        <v>942</v>
      </c>
      <c r="J25" s="72" t="s">
        <v>943</v>
      </c>
      <c r="K25" s="5" t="s">
        <v>1020</v>
      </c>
      <c r="L25" s="1" t="s">
        <v>1023</v>
      </c>
    </row>
    <row r="26" spans="1:12">
      <c r="A26" s="64">
        <v>22</v>
      </c>
      <c r="B26" s="66" t="s">
        <v>944</v>
      </c>
      <c r="C26" s="5">
        <v>559912276</v>
      </c>
      <c r="D26" s="99">
        <v>199</v>
      </c>
      <c r="E26" s="5" t="s">
        <v>12</v>
      </c>
      <c r="F26" s="42">
        <v>44755</v>
      </c>
      <c r="G26" s="5" t="s">
        <v>839</v>
      </c>
      <c r="H26" s="5"/>
      <c r="I26" s="72" t="s">
        <v>945</v>
      </c>
      <c r="J26" s="72" t="s">
        <v>946</v>
      </c>
      <c r="K26" s="5" t="s">
        <v>1020</v>
      </c>
      <c r="L26" s="1" t="s">
        <v>1023</v>
      </c>
    </row>
    <row r="27" spans="1:12">
      <c r="A27" s="64">
        <v>23</v>
      </c>
      <c r="B27" s="66" t="s">
        <v>947</v>
      </c>
      <c r="C27" s="5">
        <v>503566547</v>
      </c>
      <c r="D27" s="99" t="s">
        <v>907</v>
      </c>
      <c r="E27" s="5" t="s">
        <v>12</v>
      </c>
      <c r="F27" s="42">
        <v>44755</v>
      </c>
      <c r="G27" s="5" t="s">
        <v>839</v>
      </c>
      <c r="H27" s="5"/>
      <c r="I27" s="72" t="s">
        <v>948</v>
      </c>
      <c r="J27" s="72" t="s">
        <v>949</v>
      </c>
      <c r="K27" s="5" t="s">
        <v>466</v>
      </c>
      <c r="L27" s="1" t="s">
        <v>1023</v>
      </c>
    </row>
    <row r="28" spans="1:12">
      <c r="A28" s="64">
        <v>24</v>
      </c>
      <c r="B28" s="66" t="s">
        <v>950</v>
      </c>
      <c r="C28" s="5">
        <v>568432487</v>
      </c>
      <c r="D28" s="99">
        <v>199</v>
      </c>
      <c r="E28" s="5" t="s">
        <v>20</v>
      </c>
      <c r="F28" s="42">
        <v>44755</v>
      </c>
      <c r="G28" s="5" t="s">
        <v>839</v>
      </c>
      <c r="H28" s="5" t="s">
        <v>903</v>
      </c>
      <c r="I28" s="72" t="s">
        <v>951</v>
      </c>
      <c r="J28" s="72" t="s">
        <v>952</v>
      </c>
      <c r="K28" s="5" t="s">
        <v>468</v>
      </c>
      <c r="L28" s="1" t="s">
        <v>1023</v>
      </c>
    </row>
    <row r="29" spans="1:12">
      <c r="A29" s="64">
        <v>25</v>
      </c>
      <c r="B29" s="66" t="s">
        <v>953</v>
      </c>
      <c r="C29" s="67">
        <v>523878431</v>
      </c>
      <c r="D29" s="99">
        <v>199</v>
      </c>
      <c r="E29" s="5" t="s">
        <v>102</v>
      </c>
      <c r="F29" s="42">
        <v>44755</v>
      </c>
      <c r="G29" s="5" t="s">
        <v>839</v>
      </c>
      <c r="H29" s="5"/>
      <c r="I29" s="72" t="s">
        <v>954</v>
      </c>
      <c r="J29" s="72" t="s">
        <v>955</v>
      </c>
      <c r="K29" s="5" t="s">
        <v>468</v>
      </c>
      <c r="L29" s="1" t="s">
        <v>1023</v>
      </c>
    </row>
    <row r="30" spans="1:12">
      <c r="A30" s="64">
        <v>26</v>
      </c>
      <c r="B30" s="66" t="s">
        <v>1017</v>
      </c>
      <c r="C30" s="67">
        <v>522039917</v>
      </c>
      <c r="D30" s="5">
        <v>199</v>
      </c>
      <c r="E30" s="5" t="s">
        <v>102</v>
      </c>
      <c r="F30" s="42">
        <v>44756</v>
      </c>
      <c r="G30" s="5" t="s">
        <v>839</v>
      </c>
      <c r="H30" s="5"/>
      <c r="I30" s="72" t="s">
        <v>1018</v>
      </c>
      <c r="J30" s="72" t="s">
        <v>1019</v>
      </c>
      <c r="K30" s="5" t="s">
        <v>468</v>
      </c>
      <c r="L30" s="1" t="s">
        <v>1023</v>
      </c>
    </row>
    <row r="31" spans="1:12">
      <c r="A31" s="64">
        <v>27</v>
      </c>
      <c r="B31" s="66" t="s">
        <v>956</v>
      </c>
      <c r="C31" s="67">
        <v>545768254</v>
      </c>
      <c r="D31" s="99" t="s">
        <v>907</v>
      </c>
      <c r="E31" s="5" t="s">
        <v>12</v>
      </c>
      <c r="F31" s="42">
        <v>44756</v>
      </c>
      <c r="G31" s="5" t="s">
        <v>839</v>
      </c>
      <c r="H31" s="5"/>
      <c r="I31" s="72" t="s">
        <v>957</v>
      </c>
      <c r="J31" s="72" t="s">
        <v>958</v>
      </c>
      <c r="K31" s="5" t="s">
        <v>778</v>
      </c>
      <c r="L31" s="1" t="s">
        <v>1023</v>
      </c>
    </row>
    <row r="32" spans="1:12">
      <c r="A32" s="64">
        <v>28</v>
      </c>
      <c r="B32" s="134" t="s">
        <v>959</v>
      </c>
      <c r="C32" s="133">
        <v>524458376</v>
      </c>
      <c r="D32" s="10">
        <v>199</v>
      </c>
      <c r="E32" s="10" t="s">
        <v>12</v>
      </c>
      <c r="F32" s="11">
        <v>44756</v>
      </c>
      <c r="G32" s="10" t="s">
        <v>839</v>
      </c>
      <c r="H32" s="10" t="s">
        <v>903</v>
      </c>
      <c r="I32" s="132" t="s">
        <v>960</v>
      </c>
      <c r="J32" s="135" t="s">
        <v>961</v>
      </c>
      <c r="K32" s="10" t="s">
        <v>1020</v>
      </c>
      <c r="L32" s="1" t="s">
        <v>1023</v>
      </c>
    </row>
    <row r="33" spans="1:12">
      <c r="A33" s="64">
        <v>29</v>
      </c>
      <c r="B33" s="66" t="s">
        <v>962</v>
      </c>
      <c r="C33" s="67">
        <v>528844032</v>
      </c>
      <c r="D33" s="99">
        <v>199</v>
      </c>
      <c r="E33" s="5" t="s">
        <v>12</v>
      </c>
      <c r="F33" s="42">
        <v>44758</v>
      </c>
      <c r="G33" s="5" t="s">
        <v>839</v>
      </c>
      <c r="H33" s="5" t="s">
        <v>903</v>
      </c>
      <c r="I33" s="72" t="s">
        <v>963</v>
      </c>
      <c r="J33" s="67">
        <v>67048360</v>
      </c>
      <c r="K33" s="5" t="s">
        <v>898</v>
      </c>
      <c r="L33" s="1" t="s">
        <v>1023</v>
      </c>
    </row>
    <row r="34" spans="1:12">
      <c r="A34" s="64">
        <v>30</v>
      </c>
      <c r="B34" s="71" t="s">
        <v>964</v>
      </c>
      <c r="C34" s="5">
        <v>507975612</v>
      </c>
      <c r="D34" s="99">
        <v>199</v>
      </c>
      <c r="E34" s="5" t="s">
        <v>12</v>
      </c>
      <c r="F34" s="42">
        <v>44758</v>
      </c>
      <c r="G34" s="5" t="s">
        <v>839</v>
      </c>
      <c r="H34" s="5"/>
      <c r="I34" s="61">
        <v>1.48324889</v>
      </c>
      <c r="J34" s="100">
        <v>67054343</v>
      </c>
      <c r="K34" s="5" t="s">
        <v>466</v>
      </c>
      <c r="L34" s="1" t="s">
        <v>1023</v>
      </c>
    </row>
    <row r="35" spans="1:12">
      <c r="A35" s="64">
        <v>31</v>
      </c>
      <c r="B35" s="98" t="s">
        <v>965</v>
      </c>
      <c r="C35" s="53">
        <v>551665343</v>
      </c>
      <c r="D35" s="53">
        <v>199</v>
      </c>
      <c r="E35" s="53" t="s">
        <v>12</v>
      </c>
      <c r="F35" s="54">
        <v>44758</v>
      </c>
      <c r="G35" s="53" t="s">
        <v>839</v>
      </c>
      <c r="H35" s="53" t="s">
        <v>331</v>
      </c>
      <c r="I35" s="61">
        <v>1.3802345899999999</v>
      </c>
      <c r="J35" s="100">
        <v>67055141</v>
      </c>
      <c r="K35" s="5" t="s">
        <v>1020</v>
      </c>
      <c r="L35" s="1" t="s">
        <v>1023</v>
      </c>
    </row>
    <row r="36" spans="1:12">
      <c r="A36" s="64">
        <v>32</v>
      </c>
      <c r="B36" s="71" t="s">
        <v>966</v>
      </c>
      <c r="C36" s="5">
        <v>524057087</v>
      </c>
      <c r="D36" s="99">
        <v>199</v>
      </c>
      <c r="E36" s="5" t="s">
        <v>12</v>
      </c>
      <c r="F36" s="42">
        <v>44758</v>
      </c>
      <c r="G36" s="5" t="s">
        <v>839</v>
      </c>
      <c r="H36" s="5"/>
      <c r="I36" s="61">
        <v>1.4237049100000001</v>
      </c>
      <c r="J36" s="100">
        <v>67063716</v>
      </c>
      <c r="K36" s="5" t="s">
        <v>468</v>
      </c>
      <c r="L36" s="1"/>
    </row>
    <row r="37" spans="1:12">
      <c r="A37" s="64">
        <v>33</v>
      </c>
      <c r="B37" s="98" t="s">
        <v>967</v>
      </c>
      <c r="C37" s="53">
        <v>565367666</v>
      </c>
      <c r="D37" s="53">
        <v>199</v>
      </c>
      <c r="E37" s="53" t="s">
        <v>12</v>
      </c>
      <c r="F37" s="54">
        <v>44758</v>
      </c>
      <c r="G37" s="53" t="s">
        <v>839</v>
      </c>
      <c r="H37" s="53" t="s">
        <v>331</v>
      </c>
      <c r="I37" s="61">
        <v>1.48339628</v>
      </c>
      <c r="J37" s="100">
        <v>67079407</v>
      </c>
      <c r="K37" s="5" t="s">
        <v>193</v>
      </c>
      <c r="L37" s="1"/>
    </row>
    <row r="38" spans="1:12">
      <c r="A38" s="64">
        <v>34</v>
      </c>
      <c r="B38" s="131" t="s">
        <v>968</v>
      </c>
      <c r="C38" s="10">
        <v>569986481</v>
      </c>
      <c r="D38" s="10">
        <v>199</v>
      </c>
      <c r="E38" s="10" t="s">
        <v>12</v>
      </c>
      <c r="F38" s="11">
        <v>44759</v>
      </c>
      <c r="G38" s="10" t="s">
        <v>839</v>
      </c>
      <c r="H38" s="10" t="s">
        <v>903</v>
      </c>
      <c r="I38" s="132" t="s">
        <v>969</v>
      </c>
      <c r="J38" s="133">
        <v>67084826</v>
      </c>
      <c r="K38" s="10" t="s">
        <v>193</v>
      </c>
      <c r="L38" s="1" t="s">
        <v>1023</v>
      </c>
    </row>
    <row r="39" spans="1:12">
      <c r="A39" s="64">
        <v>35</v>
      </c>
      <c r="B39" s="66" t="s">
        <v>970</v>
      </c>
      <c r="C39" s="5">
        <v>554648816</v>
      </c>
      <c r="D39" s="99">
        <v>199</v>
      </c>
      <c r="E39" s="5" t="s">
        <v>12</v>
      </c>
      <c r="F39" s="42">
        <v>44759</v>
      </c>
      <c r="G39" s="5" t="s">
        <v>839</v>
      </c>
      <c r="H39" s="5"/>
      <c r="I39" s="72" t="s">
        <v>971</v>
      </c>
      <c r="J39" s="67">
        <v>67093072</v>
      </c>
      <c r="K39" s="5" t="s">
        <v>779</v>
      </c>
      <c r="L39" s="1" t="s">
        <v>1023</v>
      </c>
    </row>
    <row r="40" spans="1:12">
      <c r="A40" s="64">
        <v>36</v>
      </c>
      <c r="B40" s="66" t="s">
        <v>972</v>
      </c>
      <c r="C40" s="5">
        <v>503210030</v>
      </c>
      <c r="D40" s="99">
        <v>199</v>
      </c>
      <c r="E40" s="5" t="s">
        <v>102</v>
      </c>
      <c r="F40" s="42">
        <v>44759</v>
      </c>
      <c r="G40" s="5" t="s">
        <v>839</v>
      </c>
      <c r="H40" s="5"/>
      <c r="I40" s="72" t="s">
        <v>973</v>
      </c>
      <c r="J40" s="72" t="s">
        <v>974</v>
      </c>
      <c r="K40" s="5" t="s">
        <v>468</v>
      </c>
      <c r="L40" s="1" t="s">
        <v>1023</v>
      </c>
    </row>
    <row r="41" spans="1:12">
      <c r="A41" s="64">
        <v>37</v>
      </c>
      <c r="B41" s="66" t="s">
        <v>975</v>
      </c>
      <c r="C41" s="5">
        <v>509569308</v>
      </c>
      <c r="D41" s="99" t="s">
        <v>907</v>
      </c>
      <c r="E41" s="5" t="s">
        <v>12</v>
      </c>
      <c r="F41" s="42">
        <v>44760</v>
      </c>
      <c r="G41" s="5" t="s">
        <v>839</v>
      </c>
      <c r="H41" s="5" t="s">
        <v>903</v>
      </c>
      <c r="I41" s="72" t="s">
        <v>976</v>
      </c>
      <c r="J41" s="5">
        <v>67098324</v>
      </c>
      <c r="K41" s="5" t="s">
        <v>778</v>
      </c>
      <c r="L41" s="1" t="s">
        <v>1023</v>
      </c>
    </row>
    <row r="42" spans="1:12">
      <c r="A42" s="64">
        <v>38</v>
      </c>
      <c r="B42" s="65" t="s">
        <v>977</v>
      </c>
      <c r="C42" s="5">
        <v>509206479</v>
      </c>
      <c r="D42" s="99">
        <v>199</v>
      </c>
      <c r="E42" s="5" t="s">
        <v>192</v>
      </c>
      <c r="F42" s="42">
        <v>44760</v>
      </c>
      <c r="G42" s="5" t="s">
        <v>839</v>
      </c>
      <c r="H42" s="5" t="s">
        <v>903</v>
      </c>
      <c r="I42" s="72" t="s">
        <v>978</v>
      </c>
      <c r="J42" s="5">
        <v>67110080</v>
      </c>
      <c r="K42" s="5" t="s">
        <v>778</v>
      </c>
      <c r="L42" s="1" t="s">
        <v>1023</v>
      </c>
    </row>
    <row r="43" spans="1:12">
      <c r="A43" s="64">
        <v>39</v>
      </c>
      <c r="B43" s="66" t="s">
        <v>979</v>
      </c>
      <c r="C43" s="67">
        <v>553268407</v>
      </c>
      <c r="D43" s="99">
        <v>199</v>
      </c>
      <c r="E43" s="5" t="s">
        <v>12</v>
      </c>
      <c r="F43" s="42">
        <v>44760</v>
      </c>
      <c r="G43" s="5" t="s">
        <v>839</v>
      </c>
      <c r="H43" s="5"/>
      <c r="I43" s="72" t="s">
        <v>980</v>
      </c>
      <c r="J43" s="5">
        <v>67115113</v>
      </c>
      <c r="K43" s="5" t="s">
        <v>898</v>
      </c>
      <c r="L43" s="1" t="s">
        <v>1023</v>
      </c>
    </row>
    <row r="44" spans="1:12">
      <c r="A44" s="64">
        <v>40</v>
      </c>
      <c r="B44" s="89" t="s">
        <v>981</v>
      </c>
      <c r="C44" s="67">
        <v>508657658</v>
      </c>
      <c r="D44" s="99">
        <v>199</v>
      </c>
      <c r="E44" s="5" t="s">
        <v>102</v>
      </c>
      <c r="F44" s="42">
        <v>44760</v>
      </c>
      <c r="G44" s="5" t="s">
        <v>839</v>
      </c>
      <c r="H44" s="5"/>
      <c r="I44" s="72" t="s">
        <v>982</v>
      </c>
      <c r="J44" s="5">
        <v>67158605</v>
      </c>
      <c r="K44" s="5" t="s">
        <v>468</v>
      </c>
      <c r="L44" s="1" t="s">
        <v>1023</v>
      </c>
    </row>
    <row r="45" spans="1:12">
      <c r="A45" s="64">
        <v>41</v>
      </c>
      <c r="B45" s="65" t="s">
        <v>983</v>
      </c>
      <c r="C45" s="5">
        <v>558408422</v>
      </c>
      <c r="D45" s="99">
        <v>199</v>
      </c>
      <c r="E45" s="5" t="s">
        <v>102</v>
      </c>
      <c r="F45" s="42">
        <v>44762</v>
      </c>
      <c r="G45" s="5" t="s">
        <v>839</v>
      </c>
      <c r="H45" s="5"/>
      <c r="I45" s="72" t="s">
        <v>984</v>
      </c>
      <c r="J45" s="5">
        <v>67161495</v>
      </c>
      <c r="K45" s="5" t="s">
        <v>468</v>
      </c>
      <c r="L45" s="1" t="s">
        <v>1023</v>
      </c>
    </row>
    <row r="46" spans="1:12">
      <c r="A46" s="64">
        <v>42</v>
      </c>
      <c r="B46" s="134" t="s">
        <v>985</v>
      </c>
      <c r="C46" s="133">
        <v>524305184</v>
      </c>
      <c r="D46" s="10">
        <v>199</v>
      </c>
      <c r="E46" s="10" t="s">
        <v>12</v>
      </c>
      <c r="F46" s="11">
        <v>44762</v>
      </c>
      <c r="G46" s="10" t="s">
        <v>839</v>
      </c>
      <c r="H46" s="10" t="s">
        <v>903</v>
      </c>
      <c r="I46" s="132" t="s">
        <v>986</v>
      </c>
      <c r="J46" s="10">
        <v>67161177</v>
      </c>
      <c r="K46" s="10" t="s">
        <v>779</v>
      </c>
      <c r="L46" s="1" t="s">
        <v>1023</v>
      </c>
    </row>
    <row r="47" spans="1:12">
      <c r="A47" s="64">
        <v>43</v>
      </c>
      <c r="B47" s="66" t="s">
        <v>987</v>
      </c>
      <c r="C47" s="67">
        <v>581984848</v>
      </c>
      <c r="D47" s="99" t="s">
        <v>907</v>
      </c>
      <c r="E47" s="5" t="s">
        <v>12</v>
      </c>
      <c r="F47" s="42">
        <v>44762</v>
      </c>
      <c r="G47" s="5" t="s">
        <v>839</v>
      </c>
      <c r="H47" s="5"/>
      <c r="I47" s="72" t="s">
        <v>988</v>
      </c>
      <c r="J47" s="5">
        <v>67167630</v>
      </c>
      <c r="K47" s="5" t="s">
        <v>466</v>
      </c>
      <c r="L47" s="1" t="s">
        <v>1023</v>
      </c>
    </row>
    <row r="48" spans="1:12">
      <c r="A48" s="64">
        <v>44</v>
      </c>
      <c r="B48" s="66" t="s">
        <v>989</v>
      </c>
      <c r="C48" s="67">
        <v>567913340</v>
      </c>
      <c r="D48" s="99">
        <v>199</v>
      </c>
      <c r="E48" s="5" t="s">
        <v>102</v>
      </c>
      <c r="F48" s="42">
        <v>44762</v>
      </c>
      <c r="G48" s="5" t="s">
        <v>839</v>
      </c>
      <c r="H48" s="5"/>
      <c r="I48" s="72" t="s">
        <v>990</v>
      </c>
      <c r="J48" s="5">
        <v>67170345</v>
      </c>
      <c r="K48" s="5" t="s">
        <v>778</v>
      </c>
      <c r="L48" s="1" t="s">
        <v>1023</v>
      </c>
    </row>
    <row r="49" spans="1:12">
      <c r="A49" s="64">
        <v>45</v>
      </c>
      <c r="B49" s="66" t="s">
        <v>991</v>
      </c>
      <c r="C49" s="67">
        <v>553987733</v>
      </c>
      <c r="D49" s="99">
        <v>199</v>
      </c>
      <c r="E49" s="5" t="s">
        <v>12</v>
      </c>
      <c r="F49" s="42">
        <v>44764</v>
      </c>
      <c r="G49" s="5" t="s">
        <v>839</v>
      </c>
      <c r="H49" s="5"/>
      <c r="I49" s="72" t="s">
        <v>992</v>
      </c>
      <c r="J49" s="5">
        <v>67179930</v>
      </c>
      <c r="K49" s="5" t="s">
        <v>466</v>
      </c>
      <c r="L49" s="1" t="s">
        <v>1023</v>
      </c>
    </row>
    <row r="50" spans="1:12">
      <c r="A50" s="64">
        <v>46</v>
      </c>
      <c r="B50" s="96" t="s">
        <v>993</v>
      </c>
      <c r="C50" s="97">
        <v>567570209</v>
      </c>
      <c r="D50" s="53">
        <v>199</v>
      </c>
      <c r="E50" s="53" t="s">
        <v>12</v>
      </c>
      <c r="F50" s="54">
        <v>44764</v>
      </c>
      <c r="G50" s="53" t="s">
        <v>839</v>
      </c>
      <c r="H50" s="53" t="s">
        <v>331</v>
      </c>
      <c r="I50" s="72" t="s">
        <v>994</v>
      </c>
      <c r="J50" s="5">
        <v>67181415</v>
      </c>
      <c r="K50" s="5" t="s">
        <v>779</v>
      </c>
      <c r="L50" s="1"/>
    </row>
    <row r="51" spans="1:12">
      <c r="A51" s="64">
        <v>47</v>
      </c>
      <c r="B51" s="66" t="s">
        <v>995</v>
      </c>
      <c r="C51" s="101">
        <v>501708162</v>
      </c>
      <c r="D51" s="99">
        <v>199</v>
      </c>
      <c r="E51" s="5" t="s">
        <v>12</v>
      </c>
      <c r="F51" s="42">
        <v>44765</v>
      </c>
      <c r="G51" s="5" t="s">
        <v>839</v>
      </c>
      <c r="H51" s="5"/>
      <c r="I51" s="72" t="s">
        <v>996</v>
      </c>
      <c r="J51" s="67">
        <v>67187179</v>
      </c>
      <c r="K51" s="5"/>
      <c r="L51" s="1" t="s">
        <v>1023</v>
      </c>
    </row>
    <row r="52" spans="1:12">
      <c r="A52" s="64">
        <v>48</v>
      </c>
      <c r="B52" s="66" t="s">
        <v>997</v>
      </c>
      <c r="C52" s="67">
        <v>569336803</v>
      </c>
      <c r="D52" s="99">
        <v>199</v>
      </c>
      <c r="E52" s="5" t="s">
        <v>102</v>
      </c>
      <c r="F52" s="42">
        <v>44766</v>
      </c>
      <c r="G52" s="5" t="s">
        <v>839</v>
      </c>
      <c r="H52" s="5"/>
      <c r="I52" s="72" t="s">
        <v>998</v>
      </c>
      <c r="J52" s="5">
        <v>67252723</v>
      </c>
      <c r="K52" s="5" t="s">
        <v>468</v>
      </c>
      <c r="L52" s="1" t="s">
        <v>1023</v>
      </c>
    </row>
    <row r="53" spans="1:12">
      <c r="A53" s="64">
        <v>49</v>
      </c>
      <c r="B53" s="66" t="s">
        <v>999</v>
      </c>
      <c r="C53" s="67">
        <v>527819956</v>
      </c>
      <c r="D53" s="99">
        <v>199</v>
      </c>
      <c r="E53" s="5" t="s">
        <v>112</v>
      </c>
      <c r="F53" s="42">
        <v>44766</v>
      </c>
      <c r="G53" s="5" t="s">
        <v>839</v>
      </c>
      <c r="H53" s="5" t="s">
        <v>903</v>
      </c>
      <c r="I53" s="72" t="s">
        <v>1000</v>
      </c>
      <c r="J53" s="5">
        <v>67253972</v>
      </c>
      <c r="K53" s="5" t="s">
        <v>466</v>
      </c>
      <c r="L53" s="1" t="s">
        <v>1023</v>
      </c>
    </row>
    <row r="54" spans="1:12">
      <c r="A54" s="64">
        <v>50</v>
      </c>
      <c r="B54" s="68" t="s">
        <v>1001</v>
      </c>
      <c r="C54" s="67">
        <v>566248801</v>
      </c>
      <c r="D54" s="99">
        <v>199</v>
      </c>
      <c r="E54" s="5" t="s">
        <v>12</v>
      </c>
      <c r="F54" s="42">
        <v>44766</v>
      </c>
      <c r="G54" s="5" t="s">
        <v>839</v>
      </c>
      <c r="H54" s="5" t="s">
        <v>903</v>
      </c>
      <c r="I54" s="72" t="s">
        <v>1002</v>
      </c>
      <c r="J54" s="5">
        <v>67257444</v>
      </c>
      <c r="K54" s="5" t="s">
        <v>1020</v>
      </c>
      <c r="L54" s="1" t="s">
        <v>1023</v>
      </c>
    </row>
    <row r="55" spans="1:12">
      <c r="A55" s="64">
        <v>51</v>
      </c>
      <c r="B55" s="68" t="s">
        <v>1003</v>
      </c>
      <c r="C55" s="67">
        <v>501581752</v>
      </c>
      <c r="D55" s="99">
        <v>199</v>
      </c>
      <c r="E55" s="5" t="s">
        <v>61</v>
      </c>
      <c r="F55" s="42">
        <v>44767</v>
      </c>
      <c r="G55" s="5" t="s">
        <v>839</v>
      </c>
      <c r="H55" s="5"/>
      <c r="I55" s="72" t="s">
        <v>1004</v>
      </c>
      <c r="J55" s="5">
        <v>67313180</v>
      </c>
      <c r="K55" s="5" t="s">
        <v>778</v>
      </c>
      <c r="L55" s="1" t="s">
        <v>1023</v>
      </c>
    </row>
    <row r="56" spans="1:12">
      <c r="A56" s="64">
        <v>52</v>
      </c>
      <c r="B56" s="66" t="s">
        <v>1005</v>
      </c>
      <c r="C56" s="67">
        <v>527782440</v>
      </c>
      <c r="D56" s="99">
        <v>199</v>
      </c>
      <c r="E56" s="5" t="s">
        <v>102</v>
      </c>
      <c r="F56" s="42">
        <v>44767</v>
      </c>
      <c r="G56" s="5" t="s">
        <v>839</v>
      </c>
      <c r="H56" s="5"/>
      <c r="I56" s="72" t="s">
        <v>1006</v>
      </c>
      <c r="J56" s="5">
        <v>67334103</v>
      </c>
      <c r="K56" s="5" t="s">
        <v>468</v>
      </c>
      <c r="L56" s="1" t="s">
        <v>1023</v>
      </c>
    </row>
    <row r="57" spans="1:12">
      <c r="A57" s="64">
        <v>53</v>
      </c>
      <c r="B57" s="66" t="s">
        <v>1007</v>
      </c>
      <c r="C57" s="67">
        <v>566574868</v>
      </c>
      <c r="D57" s="99">
        <v>199</v>
      </c>
      <c r="E57" s="5" t="s">
        <v>20</v>
      </c>
      <c r="F57" s="42">
        <v>44767</v>
      </c>
      <c r="G57" s="5" t="s">
        <v>839</v>
      </c>
      <c r="H57" s="5" t="s">
        <v>903</v>
      </c>
      <c r="I57" s="72" t="s">
        <v>1008</v>
      </c>
      <c r="J57" s="5">
        <v>67335592</v>
      </c>
      <c r="K57" s="5" t="s">
        <v>778</v>
      </c>
      <c r="L57" s="1" t="s">
        <v>1023</v>
      </c>
    </row>
    <row r="58" spans="1:12">
      <c r="A58" s="64">
        <v>54</v>
      </c>
      <c r="B58" s="66" t="s">
        <v>1009</v>
      </c>
      <c r="C58" s="67">
        <v>566611552</v>
      </c>
      <c r="D58" s="99" t="s">
        <v>907</v>
      </c>
      <c r="E58" s="5" t="s">
        <v>12</v>
      </c>
      <c r="F58" s="42">
        <v>44770</v>
      </c>
      <c r="G58" s="5" t="s">
        <v>839</v>
      </c>
      <c r="H58" s="5"/>
      <c r="I58" s="72" t="s">
        <v>1010</v>
      </c>
      <c r="J58" s="5">
        <v>67374470</v>
      </c>
      <c r="K58" s="5" t="s">
        <v>778</v>
      </c>
      <c r="L58" s="1" t="s">
        <v>1023</v>
      </c>
    </row>
    <row r="59" spans="1:12">
      <c r="A59" s="64">
        <v>55</v>
      </c>
      <c r="B59" s="66" t="s">
        <v>1011</v>
      </c>
      <c r="C59" s="67">
        <v>556881463</v>
      </c>
      <c r="D59" s="99" t="s">
        <v>907</v>
      </c>
      <c r="E59" s="5" t="s">
        <v>12</v>
      </c>
      <c r="F59" s="42">
        <v>44773</v>
      </c>
      <c r="G59" s="5" t="s">
        <v>839</v>
      </c>
      <c r="H59" s="5"/>
      <c r="I59" s="72" t="s">
        <v>1012</v>
      </c>
      <c r="J59" s="5">
        <v>67452469</v>
      </c>
      <c r="K59" s="5" t="s">
        <v>193</v>
      </c>
      <c r="L59" s="1" t="s">
        <v>1023</v>
      </c>
    </row>
    <row r="60" spans="1:12">
      <c r="A60" s="64">
        <v>56</v>
      </c>
      <c r="B60" s="66" t="s">
        <v>1013</v>
      </c>
      <c r="C60" s="67">
        <v>558699162</v>
      </c>
      <c r="D60" s="99">
        <v>199</v>
      </c>
      <c r="E60" s="5" t="s">
        <v>12</v>
      </c>
      <c r="F60" s="42">
        <v>44773</v>
      </c>
      <c r="G60" s="5" t="s">
        <v>839</v>
      </c>
      <c r="H60" s="5"/>
      <c r="I60" s="72" t="s">
        <v>1014</v>
      </c>
      <c r="J60" s="5">
        <v>67460250</v>
      </c>
      <c r="K60" s="5" t="s">
        <v>468</v>
      </c>
      <c r="L60" s="1" t="s">
        <v>1023</v>
      </c>
    </row>
    <row r="61" spans="1:12">
      <c r="A61" s="64">
        <v>57</v>
      </c>
      <c r="B61" s="66" t="s">
        <v>1015</v>
      </c>
      <c r="C61" s="67">
        <v>506283579</v>
      </c>
      <c r="D61" s="99">
        <v>199</v>
      </c>
      <c r="E61" s="5" t="s">
        <v>12</v>
      </c>
      <c r="F61" s="42">
        <v>44773</v>
      </c>
      <c r="G61" s="5" t="s">
        <v>839</v>
      </c>
      <c r="H61" s="5"/>
      <c r="I61" s="72" t="s">
        <v>1016</v>
      </c>
      <c r="J61" s="5">
        <v>67457634</v>
      </c>
      <c r="K61" s="5" t="s">
        <v>779</v>
      </c>
      <c r="L61" s="1" t="s">
        <v>1023</v>
      </c>
    </row>
  </sheetData>
  <autoFilter ref="A2:L61" xr:uid="{00000000-0009-0000-0000-000009000000}"/>
  <mergeCells count="1">
    <mergeCell ref="A1:L1"/>
  </mergeCells>
  <conditionalFormatting sqref="B8:B10">
    <cfRule type="duplicateValues" dxfId="556" priority="31"/>
  </conditionalFormatting>
  <conditionalFormatting sqref="B15">
    <cfRule type="duplicateValues" dxfId="555" priority="98"/>
  </conditionalFormatting>
  <conditionalFormatting sqref="B19">
    <cfRule type="duplicateValues" dxfId="554" priority="78"/>
  </conditionalFormatting>
  <conditionalFormatting sqref="B8:C10">
    <cfRule type="duplicateValues" dxfId="553" priority="40"/>
    <cfRule type="duplicateValues" dxfId="552" priority="42"/>
    <cfRule type="duplicateValues" dxfId="551" priority="43"/>
  </conditionalFormatting>
  <conditionalFormatting sqref="B15:C15">
    <cfRule type="duplicateValues" dxfId="550" priority="110"/>
    <cfRule type="duplicateValues" dxfId="549" priority="107"/>
    <cfRule type="duplicateValues" dxfId="548" priority="109"/>
  </conditionalFormatting>
  <conditionalFormatting sqref="B19:C19">
    <cfRule type="duplicateValues" dxfId="547" priority="76"/>
    <cfRule type="duplicateValues" dxfId="546" priority="69"/>
    <cfRule type="duplicateValues" dxfId="545" priority="77"/>
  </conditionalFormatting>
  <conditionalFormatting sqref="C8:C10">
    <cfRule type="duplicateValues" dxfId="544" priority="36"/>
    <cfRule type="duplicateValues" dxfId="543" priority="33"/>
    <cfRule type="duplicateValues" dxfId="542" priority="34"/>
    <cfRule type="duplicateValues" dxfId="541" priority="35"/>
    <cfRule type="duplicateValues" dxfId="540" priority="37"/>
    <cfRule type="duplicateValues" dxfId="539" priority="39"/>
  </conditionalFormatting>
  <conditionalFormatting sqref="C15">
    <cfRule type="duplicateValues" dxfId="538" priority="92"/>
    <cfRule type="duplicateValues" dxfId="537" priority="100"/>
    <cfRule type="duplicateValues" dxfId="536" priority="102"/>
    <cfRule type="duplicateValues" dxfId="535" priority="103"/>
    <cfRule type="duplicateValues" dxfId="534" priority="104"/>
    <cfRule type="duplicateValues" dxfId="533" priority="101"/>
  </conditionalFormatting>
  <conditionalFormatting sqref="C19">
    <cfRule type="duplicateValues" dxfId="532" priority="74"/>
    <cfRule type="duplicateValues" dxfId="531" priority="73"/>
    <cfRule type="duplicateValues" dxfId="530" priority="72"/>
    <cfRule type="duplicateValues" dxfId="529" priority="71"/>
    <cfRule type="duplicateValues" dxfId="528" priority="70"/>
    <cfRule type="duplicateValues" dxfId="527" priority="75"/>
  </conditionalFormatting>
  <conditionalFormatting sqref="I8:I10">
    <cfRule type="duplicateValues" dxfId="526" priority="7"/>
    <cfRule type="duplicateValues" dxfId="525" priority="8"/>
    <cfRule type="duplicateValues" dxfId="524" priority="10"/>
    <cfRule type="duplicateValues" dxfId="523" priority="9"/>
    <cfRule type="duplicateValues" dxfId="522" priority="3"/>
    <cfRule type="duplicateValues" dxfId="521" priority="5"/>
    <cfRule type="duplicateValues" dxfId="520" priority="6"/>
  </conditionalFormatting>
  <conditionalFormatting sqref="I11:I13">
    <cfRule type="duplicateValues" dxfId="519" priority="51"/>
    <cfRule type="duplicateValues" dxfId="518" priority="50"/>
    <cfRule type="duplicateValues" dxfId="517" priority="49"/>
    <cfRule type="duplicateValues" dxfId="516" priority="47"/>
    <cfRule type="duplicateValues" dxfId="515" priority="54"/>
    <cfRule type="duplicateValues" dxfId="514" priority="53"/>
    <cfRule type="duplicateValues" dxfId="513" priority="52"/>
  </conditionalFormatting>
  <conditionalFormatting sqref="I19">
    <cfRule type="duplicateValues" dxfId="512" priority="61"/>
    <cfRule type="duplicateValues" dxfId="511" priority="62"/>
    <cfRule type="duplicateValues" dxfId="510" priority="63"/>
    <cfRule type="duplicateValues" dxfId="509" priority="64"/>
    <cfRule type="duplicateValues" dxfId="508" priority="59"/>
    <cfRule type="duplicateValues" dxfId="507" priority="65"/>
    <cfRule type="duplicateValues" dxfId="506" priority="66"/>
  </conditionalFormatting>
  <conditionalFormatting sqref="J8:J10">
    <cfRule type="duplicateValues" dxfId="505" priority="1"/>
  </conditionalFormatting>
  <conditionalFormatting sqref="J19">
    <cfRule type="duplicateValues" dxfId="504" priority="58"/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69"/>
  <sheetViews>
    <sheetView topLeftCell="A47" workbookViewId="0">
      <selection activeCell="C3" sqref="C3:C69"/>
    </sheetView>
  </sheetViews>
  <sheetFormatPr defaultRowHeight="14.5"/>
  <cols>
    <col min="1" max="1" width="4.453125" bestFit="1" customWidth="1"/>
    <col min="2" max="2" width="38.453125" bestFit="1" customWidth="1"/>
    <col min="3" max="3" width="25" customWidth="1"/>
    <col min="4" max="4" width="13.81640625" customWidth="1"/>
    <col min="5" max="5" width="12.453125" bestFit="1" customWidth="1"/>
    <col min="6" max="6" width="20.453125" bestFit="1" customWidth="1"/>
    <col min="7" max="7" width="16.453125" bestFit="1" customWidth="1"/>
    <col min="8" max="8" width="18" customWidth="1"/>
    <col min="9" max="9" width="16.54296875" bestFit="1" customWidth="1"/>
    <col min="10" max="10" width="11.54296875" bestFit="1" customWidth="1"/>
    <col min="12" max="12" width="15" bestFit="1" customWidth="1"/>
    <col min="13" max="13" width="11.453125" bestFit="1" customWidth="1"/>
  </cols>
  <sheetData>
    <row r="1" spans="1:13" ht="46">
      <c r="A1" s="682" t="s">
        <v>40</v>
      </c>
      <c r="B1" s="682"/>
      <c r="C1" s="682"/>
      <c r="D1" s="682"/>
      <c r="E1" s="682"/>
      <c r="F1" s="682"/>
      <c r="G1" s="682"/>
      <c r="H1" s="682"/>
      <c r="I1" s="682"/>
      <c r="J1" s="682"/>
      <c r="K1" s="682"/>
      <c r="L1" s="682"/>
      <c r="M1" s="682"/>
    </row>
    <row r="2" spans="1:13" ht="15.5">
      <c r="A2" s="2" t="s">
        <v>0</v>
      </c>
      <c r="B2" s="38" t="s">
        <v>1</v>
      </c>
      <c r="C2" s="38" t="s">
        <v>2</v>
      </c>
      <c r="D2" s="38" t="s">
        <v>3</v>
      </c>
      <c r="E2" s="38" t="s">
        <v>4</v>
      </c>
      <c r="F2" s="38" t="s">
        <v>6</v>
      </c>
      <c r="G2" s="38" t="s">
        <v>8</v>
      </c>
      <c r="H2" s="38" t="s">
        <v>9</v>
      </c>
      <c r="I2" s="74" t="s">
        <v>901</v>
      </c>
      <c r="J2" s="44" t="s">
        <v>293</v>
      </c>
      <c r="K2" s="38" t="s">
        <v>321</v>
      </c>
      <c r="L2" s="38" t="s">
        <v>327</v>
      </c>
      <c r="M2" s="38" t="s">
        <v>243</v>
      </c>
    </row>
    <row r="3" spans="1:13">
      <c r="A3" s="1">
        <v>1</v>
      </c>
      <c r="B3" s="1" t="s">
        <v>1086</v>
      </c>
      <c r="C3" s="3">
        <v>505398321</v>
      </c>
      <c r="D3" s="3">
        <v>199</v>
      </c>
      <c r="E3" s="99" t="s">
        <v>12</v>
      </c>
      <c r="F3" s="42">
        <v>44774</v>
      </c>
      <c r="G3" s="3" t="s">
        <v>839</v>
      </c>
      <c r="H3" s="5"/>
      <c r="I3" s="5">
        <v>1.3059239499999999</v>
      </c>
      <c r="J3" s="3">
        <v>67483732</v>
      </c>
      <c r="K3" s="1" t="s">
        <v>386</v>
      </c>
      <c r="L3" s="1"/>
    </row>
    <row r="4" spans="1:13">
      <c r="A4" s="1">
        <v>2</v>
      </c>
      <c r="B4" s="1" t="s">
        <v>1026</v>
      </c>
      <c r="C4" s="3">
        <v>509894415</v>
      </c>
      <c r="D4" s="3">
        <v>199</v>
      </c>
      <c r="E4" s="99" t="s">
        <v>102</v>
      </c>
      <c r="F4" s="42">
        <v>44756</v>
      </c>
      <c r="G4" s="3" t="s">
        <v>839</v>
      </c>
      <c r="H4" s="5"/>
      <c r="I4" s="5">
        <v>1.4829885599999999</v>
      </c>
      <c r="J4" s="3">
        <v>67019131</v>
      </c>
      <c r="K4" s="1"/>
      <c r="L4" s="1"/>
    </row>
    <row r="5" spans="1:13">
      <c r="A5" s="1">
        <v>3</v>
      </c>
      <c r="B5" s="1" t="s">
        <v>1027</v>
      </c>
      <c r="C5" s="3">
        <v>544672159</v>
      </c>
      <c r="D5" s="3">
        <v>199</v>
      </c>
      <c r="E5" s="99" t="s">
        <v>12</v>
      </c>
      <c r="F5" s="42">
        <v>44756</v>
      </c>
      <c r="G5" s="3" t="s">
        <v>839</v>
      </c>
      <c r="H5" s="5"/>
      <c r="I5" s="5">
        <v>1.4813320400000001</v>
      </c>
      <c r="J5" s="3">
        <v>66743045</v>
      </c>
      <c r="K5" s="1" t="s">
        <v>386</v>
      </c>
      <c r="L5" s="1"/>
    </row>
    <row r="6" spans="1:13">
      <c r="A6" s="1">
        <v>4</v>
      </c>
      <c r="B6" s="110" t="s">
        <v>1028</v>
      </c>
      <c r="C6" s="111">
        <v>558251082</v>
      </c>
      <c r="D6" s="111">
        <v>299</v>
      </c>
      <c r="E6" s="112" t="s">
        <v>12</v>
      </c>
      <c r="F6" s="113">
        <v>44756</v>
      </c>
      <c r="G6" s="111" t="s">
        <v>839</v>
      </c>
      <c r="H6" s="112"/>
      <c r="I6" s="112">
        <v>1.48071716</v>
      </c>
      <c r="J6" s="111">
        <v>66647360</v>
      </c>
      <c r="K6" s="110" t="s">
        <v>386</v>
      </c>
      <c r="L6" s="1"/>
    </row>
    <row r="7" spans="1:13">
      <c r="A7" s="1">
        <v>5</v>
      </c>
      <c r="B7" s="1" t="s">
        <v>1029</v>
      </c>
      <c r="C7" s="3">
        <v>564511836</v>
      </c>
      <c r="D7" s="3">
        <v>199</v>
      </c>
      <c r="E7" s="99" t="s">
        <v>12</v>
      </c>
      <c r="F7" s="42">
        <v>44774</v>
      </c>
      <c r="G7" s="3" t="s">
        <v>839</v>
      </c>
      <c r="H7" s="5"/>
      <c r="I7" s="5">
        <v>1.48591355</v>
      </c>
      <c r="J7" s="3">
        <v>67492894</v>
      </c>
      <c r="K7" s="1" t="s">
        <v>641</v>
      </c>
      <c r="L7" s="1"/>
    </row>
    <row r="8" spans="1:13">
      <c r="A8" s="1">
        <v>6</v>
      </c>
      <c r="B8" s="1" t="s">
        <v>1030</v>
      </c>
      <c r="C8" s="3">
        <v>557097351</v>
      </c>
      <c r="D8" s="3">
        <v>199</v>
      </c>
      <c r="E8" s="99" t="s">
        <v>12</v>
      </c>
      <c r="F8" s="42">
        <v>44774</v>
      </c>
      <c r="G8" s="3" t="s">
        <v>839</v>
      </c>
      <c r="H8" s="5"/>
      <c r="I8" s="5">
        <v>1.36463442</v>
      </c>
      <c r="J8" s="3">
        <v>67494085</v>
      </c>
      <c r="K8" s="1" t="s">
        <v>641</v>
      </c>
      <c r="L8" s="1"/>
    </row>
    <row r="9" spans="1:13">
      <c r="A9" s="1">
        <v>7</v>
      </c>
      <c r="B9" s="1" t="s">
        <v>1087</v>
      </c>
      <c r="C9" s="3">
        <v>555943096</v>
      </c>
      <c r="D9" s="3">
        <v>199</v>
      </c>
      <c r="E9" s="99" t="s">
        <v>12</v>
      </c>
      <c r="F9" s="42">
        <v>44774</v>
      </c>
      <c r="G9" s="3" t="s">
        <v>839</v>
      </c>
      <c r="H9" s="5" t="s">
        <v>903</v>
      </c>
      <c r="I9" s="5">
        <v>1.4859538000000001</v>
      </c>
      <c r="J9" s="3">
        <v>67497907</v>
      </c>
      <c r="K9" s="1" t="s">
        <v>644</v>
      </c>
      <c r="L9" s="1"/>
    </row>
    <row r="10" spans="1:13">
      <c r="A10" s="1">
        <v>8</v>
      </c>
      <c r="B10" s="1" t="s">
        <v>1031</v>
      </c>
      <c r="C10" s="3">
        <v>588195630</v>
      </c>
      <c r="D10" s="3">
        <v>199</v>
      </c>
      <c r="E10" s="99" t="s">
        <v>12</v>
      </c>
      <c r="F10" s="42">
        <v>44774</v>
      </c>
      <c r="G10" s="3" t="s">
        <v>839</v>
      </c>
      <c r="H10" s="5"/>
      <c r="I10" s="5">
        <v>1.34874487</v>
      </c>
      <c r="J10" s="3">
        <v>67497390</v>
      </c>
      <c r="K10" s="1" t="s">
        <v>385</v>
      </c>
      <c r="L10" s="1"/>
    </row>
    <row r="11" spans="1:13">
      <c r="A11" s="1">
        <v>9</v>
      </c>
      <c r="B11" s="1" t="s">
        <v>1032</v>
      </c>
      <c r="C11" s="3">
        <v>567492744</v>
      </c>
      <c r="D11" s="3">
        <v>199</v>
      </c>
      <c r="E11" s="99" t="s">
        <v>12</v>
      </c>
      <c r="F11" s="42">
        <v>44774</v>
      </c>
      <c r="G11" s="3" t="s">
        <v>839</v>
      </c>
      <c r="H11" s="5"/>
      <c r="I11" s="5">
        <v>1.4860943600000001</v>
      </c>
      <c r="J11" s="3">
        <v>67521119</v>
      </c>
      <c r="K11" s="1"/>
      <c r="L11" s="1"/>
    </row>
    <row r="12" spans="1:13">
      <c r="A12" s="1">
        <v>10</v>
      </c>
      <c r="B12" s="1" t="s">
        <v>1033</v>
      </c>
      <c r="C12" s="3">
        <v>569204945</v>
      </c>
      <c r="D12" s="3">
        <v>199</v>
      </c>
      <c r="E12" s="99" t="s">
        <v>12</v>
      </c>
      <c r="F12" s="42">
        <v>44775</v>
      </c>
      <c r="G12" s="3" t="s">
        <v>839</v>
      </c>
      <c r="H12" s="5"/>
      <c r="I12" s="5">
        <v>1.4861134499999999</v>
      </c>
      <c r="J12" s="3">
        <v>67524436</v>
      </c>
      <c r="K12" s="1" t="s">
        <v>641</v>
      </c>
      <c r="L12" s="1"/>
    </row>
    <row r="13" spans="1:13">
      <c r="A13" s="1">
        <v>11</v>
      </c>
      <c r="B13" s="1" t="s">
        <v>1034</v>
      </c>
      <c r="C13" s="3">
        <v>506647211</v>
      </c>
      <c r="D13" s="3">
        <v>199</v>
      </c>
      <c r="E13" s="99" t="s">
        <v>12</v>
      </c>
      <c r="F13" s="42">
        <v>44776</v>
      </c>
      <c r="G13" s="3" t="s">
        <v>839</v>
      </c>
      <c r="H13" s="5"/>
      <c r="I13" s="5">
        <v>1.4862203300000001</v>
      </c>
      <c r="J13" s="3">
        <v>67531833</v>
      </c>
      <c r="K13" s="1" t="s">
        <v>643</v>
      </c>
      <c r="L13" s="1"/>
    </row>
    <row r="14" spans="1:13">
      <c r="A14" s="1">
        <v>12</v>
      </c>
      <c r="B14" s="110" t="s">
        <v>1035</v>
      </c>
      <c r="C14" s="111">
        <v>566574868</v>
      </c>
      <c r="D14" s="111">
        <v>299</v>
      </c>
      <c r="E14" s="112" t="s">
        <v>20</v>
      </c>
      <c r="F14" s="113">
        <v>44777</v>
      </c>
      <c r="G14" s="111" t="s">
        <v>839</v>
      </c>
      <c r="H14" s="112"/>
      <c r="I14" s="112">
        <v>1.4850500200000001</v>
      </c>
      <c r="J14" s="111">
        <v>67574692</v>
      </c>
      <c r="K14" s="110" t="s">
        <v>643</v>
      </c>
      <c r="L14" s="1"/>
    </row>
    <row r="15" spans="1:13">
      <c r="A15" s="1">
        <v>13</v>
      </c>
      <c r="B15" s="1" t="s">
        <v>1036</v>
      </c>
      <c r="C15" s="3">
        <v>504193835</v>
      </c>
      <c r="D15" s="3">
        <v>199</v>
      </c>
      <c r="E15" s="99" t="s">
        <v>12</v>
      </c>
      <c r="F15" s="42">
        <v>44777</v>
      </c>
      <c r="G15" s="3" t="s">
        <v>839</v>
      </c>
      <c r="H15" s="5"/>
      <c r="I15" s="5">
        <v>1.4866111200000001</v>
      </c>
      <c r="J15" s="3">
        <v>67592794</v>
      </c>
      <c r="K15" s="1" t="s">
        <v>643</v>
      </c>
      <c r="L15" s="1"/>
    </row>
    <row r="16" spans="1:13">
      <c r="A16" s="1">
        <v>14</v>
      </c>
      <c r="B16" s="1" t="s">
        <v>1037</v>
      </c>
      <c r="C16" s="3">
        <v>589476738</v>
      </c>
      <c r="D16" s="3">
        <v>199</v>
      </c>
      <c r="E16" s="99" t="s">
        <v>12</v>
      </c>
      <c r="F16" s="42">
        <v>44777</v>
      </c>
      <c r="G16" s="3" t="s">
        <v>839</v>
      </c>
      <c r="H16" s="5"/>
      <c r="I16" s="5">
        <v>1.4866351200000001</v>
      </c>
      <c r="J16" s="3">
        <v>67599416</v>
      </c>
      <c r="K16" s="1" t="s">
        <v>386</v>
      </c>
      <c r="L16" s="1"/>
    </row>
    <row r="17" spans="1:12">
      <c r="A17" s="1">
        <v>15</v>
      </c>
      <c r="B17" s="114" t="s">
        <v>1038</v>
      </c>
      <c r="C17" s="55">
        <v>563557396</v>
      </c>
      <c r="D17" s="55">
        <v>199</v>
      </c>
      <c r="E17" s="53" t="s">
        <v>112</v>
      </c>
      <c r="F17" s="54">
        <v>44778</v>
      </c>
      <c r="G17" s="55" t="s">
        <v>839</v>
      </c>
      <c r="H17" s="53" t="s">
        <v>481</v>
      </c>
      <c r="I17" s="53">
        <v>1.4314695500000001</v>
      </c>
      <c r="J17" s="55">
        <v>67604227</v>
      </c>
      <c r="K17" s="1" t="s">
        <v>386</v>
      </c>
      <c r="L17" s="1"/>
    </row>
    <row r="18" spans="1:12">
      <c r="A18" s="1">
        <v>16</v>
      </c>
      <c r="B18" s="1" t="s">
        <v>1039</v>
      </c>
      <c r="C18" s="3">
        <v>528410520</v>
      </c>
      <c r="D18" s="3">
        <v>199</v>
      </c>
      <c r="E18" s="99" t="s">
        <v>12</v>
      </c>
      <c r="F18" s="42">
        <v>44778</v>
      </c>
      <c r="G18" s="3" t="s">
        <v>839</v>
      </c>
      <c r="H18" s="5"/>
      <c r="I18" s="5">
        <v>1.4866720499999999</v>
      </c>
      <c r="J18" s="3">
        <v>67607405</v>
      </c>
      <c r="K18" s="1" t="s">
        <v>386</v>
      </c>
      <c r="L18" s="1"/>
    </row>
    <row r="19" spans="1:12">
      <c r="A19" s="1">
        <v>17</v>
      </c>
      <c r="B19" s="1" t="s">
        <v>1040</v>
      </c>
      <c r="C19" s="3">
        <v>507386239</v>
      </c>
      <c r="D19" s="3">
        <v>199</v>
      </c>
      <c r="E19" s="99" t="s">
        <v>12</v>
      </c>
      <c r="F19" s="42">
        <v>44778</v>
      </c>
      <c r="G19" s="3" t="s">
        <v>839</v>
      </c>
      <c r="H19" s="5"/>
      <c r="I19" s="5">
        <v>1.2946485999999999</v>
      </c>
      <c r="J19" s="3">
        <v>67599100</v>
      </c>
      <c r="K19" s="1" t="s">
        <v>386</v>
      </c>
      <c r="L19" s="1"/>
    </row>
    <row r="20" spans="1:12">
      <c r="A20" s="1">
        <v>18</v>
      </c>
      <c r="B20" s="1" t="s">
        <v>1041</v>
      </c>
      <c r="C20" s="3">
        <v>524403194</v>
      </c>
      <c r="D20" s="3">
        <v>199</v>
      </c>
      <c r="E20" s="99" t="s">
        <v>12</v>
      </c>
      <c r="F20" s="42">
        <v>44778</v>
      </c>
      <c r="G20" s="3" t="s">
        <v>839</v>
      </c>
      <c r="H20" s="5"/>
      <c r="I20" s="5">
        <v>1.48681829</v>
      </c>
      <c r="J20" s="3">
        <v>67627883</v>
      </c>
      <c r="K20" s="1" t="s">
        <v>385</v>
      </c>
      <c r="L20" s="1"/>
    </row>
    <row r="21" spans="1:12">
      <c r="A21" s="1">
        <v>19</v>
      </c>
      <c r="B21" s="1" t="s">
        <v>1042</v>
      </c>
      <c r="C21" s="3">
        <v>562749475</v>
      </c>
      <c r="D21" s="3">
        <v>199</v>
      </c>
      <c r="E21" s="99" t="s">
        <v>12</v>
      </c>
      <c r="F21" s="42">
        <v>44778</v>
      </c>
      <c r="G21" s="3" t="s">
        <v>839</v>
      </c>
      <c r="H21" s="5"/>
      <c r="I21" s="5">
        <v>1.48682626</v>
      </c>
      <c r="J21" s="3">
        <v>67630283</v>
      </c>
      <c r="K21" s="1" t="s">
        <v>386</v>
      </c>
      <c r="L21" s="1"/>
    </row>
    <row r="22" spans="1:12">
      <c r="A22" s="114">
        <v>20</v>
      </c>
      <c r="B22" s="114" t="s">
        <v>1043</v>
      </c>
      <c r="C22" s="55">
        <v>543458060</v>
      </c>
      <c r="D22" s="55">
        <v>199</v>
      </c>
      <c r="E22" s="53" t="s">
        <v>12</v>
      </c>
      <c r="F22" s="54">
        <v>44778</v>
      </c>
      <c r="G22" s="55" t="s">
        <v>839</v>
      </c>
      <c r="H22" s="53" t="s">
        <v>481</v>
      </c>
      <c r="I22" s="53">
        <v>1.4230114</v>
      </c>
      <c r="J22" s="55">
        <v>67633671</v>
      </c>
      <c r="K22" s="1"/>
      <c r="L22" s="1"/>
    </row>
    <row r="23" spans="1:12">
      <c r="A23" s="1">
        <v>21</v>
      </c>
      <c r="B23" s="110" t="s">
        <v>1044</v>
      </c>
      <c r="C23" s="111">
        <v>5097978745</v>
      </c>
      <c r="D23" s="111">
        <v>299</v>
      </c>
      <c r="E23" s="112" t="s">
        <v>12</v>
      </c>
      <c r="F23" s="113">
        <v>44780</v>
      </c>
      <c r="G23" s="111" t="s">
        <v>839</v>
      </c>
      <c r="H23" s="112"/>
      <c r="I23" s="112">
        <v>1.22616459</v>
      </c>
      <c r="J23" s="111">
        <v>67654571</v>
      </c>
      <c r="K23" s="110" t="s">
        <v>386</v>
      </c>
      <c r="L23" s="1"/>
    </row>
    <row r="24" spans="1:12">
      <c r="A24" s="1">
        <v>22</v>
      </c>
      <c r="B24" s="1" t="s">
        <v>1045</v>
      </c>
      <c r="C24" s="3">
        <v>552030133</v>
      </c>
      <c r="D24" s="3">
        <v>199</v>
      </c>
      <c r="E24" s="99" t="s">
        <v>20</v>
      </c>
      <c r="F24" s="42">
        <v>44780</v>
      </c>
      <c r="G24" s="3" t="s">
        <v>839</v>
      </c>
      <c r="H24" s="5"/>
      <c r="I24" s="5">
        <v>1.4871315700000001</v>
      </c>
      <c r="J24" s="3">
        <v>67671965</v>
      </c>
      <c r="K24" s="1"/>
      <c r="L24" s="1"/>
    </row>
    <row r="25" spans="1:12">
      <c r="A25" s="1">
        <v>23</v>
      </c>
      <c r="B25" s="1" t="s">
        <v>1046</v>
      </c>
      <c r="C25" s="3">
        <v>509367883</v>
      </c>
      <c r="D25" s="3">
        <v>199</v>
      </c>
      <c r="E25" s="99" t="s">
        <v>20</v>
      </c>
      <c r="F25" s="42">
        <v>44780</v>
      </c>
      <c r="G25" s="3" t="s">
        <v>839</v>
      </c>
      <c r="H25" s="5"/>
      <c r="I25" s="5">
        <v>1.4871767199999999</v>
      </c>
      <c r="J25" s="3">
        <v>67682440</v>
      </c>
      <c r="K25" s="1"/>
      <c r="L25" s="1"/>
    </row>
    <row r="26" spans="1:12">
      <c r="A26" s="1">
        <v>24</v>
      </c>
      <c r="B26" s="110" t="s">
        <v>1047</v>
      </c>
      <c r="C26" s="111">
        <v>589796041</v>
      </c>
      <c r="D26" s="111">
        <v>299</v>
      </c>
      <c r="E26" s="112" t="s">
        <v>102</v>
      </c>
      <c r="F26" s="113">
        <v>44781</v>
      </c>
      <c r="G26" s="111" t="s">
        <v>839</v>
      </c>
      <c r="H26" s="112"/>
      <c r="I26" s="112">
        <v>1.48712965</v>
      </c>
      <c r="J26" s="111"/>
      <c r="K26" s="110" t="s">
        <v>644</v>
      </c>
      <c r="L26" s="1"/>
    </row>
    <row r="27" spans="1:12">
      <c r="A27" s="1">
        <v>25</v>
      </c>
      <c r="B27" s="1" t="s">
        <v>1048</v>
      </c>
      <c r="C27" s="3">
        <v>529311235</v>
      </c>
      <c r="D27" s="3">
        <v>199</v>
      </c>
      <c r="E27" s="99" t="s">
        <v>102</v>
      </c>
      <c r="F27" s="42">
        <v>44781</v>
      </c>
      <c r="G27" s="3" t="s">
        <v>839</v>
      </c>
      <c r="H27" s="5"/>
      <c r="I27" s="5">
        <v>1.48697893</v>
      </c>
      <c r="J27" s="3">
        <v>67650253</v>
      </c>
      <c r="K27" s="1" t="s">
        <v>644</v>
      </c>
      <c r="L27" s="1"/>
    </row>
    <row r="28" spans="1:12">
      <c r="A28" s="1">
        <v>26</v>
      </c>
      <c r="B28" s="1" t="s">
        <v>1048</v>
      </c>
      <c r="C28" s="3">
        <v>529311235</v>
      </c>
      <c r="D28" s="3">
        <v>199</v>
      </c>
      <c r="E28" s="99" t="s">
        <v>102</v>
      </c>
      <c r="F28" s="42">
        <v>44781</v>
      </c>
      <c r="G28" s="3" t="s">
        <v>839</v>
      </c>
      <c r="H28" s="5"/>
      <c r="I28" s="5">
        <v>1.48697893</v>
      </c>
      <c r="J28" s="3">
        <v>67650882</v>
      </c>
      <c r="K28" s="1" t="s">
        <v>644</v>
      </c>
      <c r="L28" s="1"/>
    </row>
    <row r="29" spans="1:12">
      <c r="A29" s="1">
        <v>27</v>
      </c>
      <c r="B29" s="1" t="s">
        <v>1049</v>
      </c>
      <c r="C29" s="3">
        <v>582629784</v>
      </c>
      <c r="D29" s="3">
        <v>199</v>
      </c>
      <c r="E29" s="99" t="s">
        <v>12</v>
      </c>
      <c r="F29" s="42">
        <v>44781</v>
      </c>
      <c r="G29" s="3" t="s">
        <v>839</v>
      </c>
      <c r="H29" s="5"/>
      <c r="I29" s="5">
        <v>1.48714188</v>
      </c>
      <c r="J29" s="3">
        <v>67672409</v>
      </c>
      <c r="K29" s="1" t="s">
        <v>641</v>
      </c>
      <c r="L29" s="1"/>
    </row>
    <row r="30" spans="1:12">
      <c r="A30" s="1">
        <v>28</v>
      </c>
      <c r="B30" s="1" t="s">
        <v>1050</v>
      </c>
      <c r="C30" s="3">
        <v>503699729</v>
      </c>
      <c r="D30" s="3">
        <v>199</v>
      </c>
      <c r="E30" s="99" t="s">
        <v>12</v>
      </c>
      <c r="F30" s="42">
        <v>44782</v>
      </c>
      <c r="G30" s="3" t="s">
        <v>839</v>
      </c>
      <c r="H30" s="5"/>
      <c r="I30" s="5">
        <v>1.4873123699999999</v>
      </c>
      <c r="J30" s="3">
        <v>67698646</v>
      </c>
      <c r="K30" s="1" t="s">
        <v>643</v>
      </c>
      <c r="L30" s="1"/>
    </row>
    <row r="31" spans="1:12">
      <c r="A31" s="1">
        <v>29</v>
      </c>
      <c r="B31" s="137" t="s">
        <v>1051</v>
      </c>
      <c r="C31" s="138">
        <v>501679447</v>
      </c>
      <c r="D31" s="138">
        <v>199</v>
      </c>
      <c r="E31" s="139" t="s">
        <v>12</v>
      </c>
      <c r="F31" s="140">
        <v>44782</v>
      </c>
      <c r="G31" s="138" t="s">
        <v>839</v>
      </c>
      <c r="H31" s="139" t="s">
        <v>1331</v>
      </c>
      <c r="I31" s="139">
        <v>1.3317235000000001</v>
      </c>
      <c r="J31" s="138">
        <v>67699736</v>
      </c>
      <c r="K31" s="1"/>
      <c r="L31" s="1"/>
    </row>
    <row r="32" spans="1:12">
      <c r="A32" s="1">
        <v>30</v>
      </c>
      <c r="B32" s="14" t="s">
        <v>1052</v>
      </c>
      <c r="C32" s="12">
        <v>503592138</v>
      </c>
      <c r="D32" s="12">
        <v>199</v>
      </c>
      <c r="E32" s="10" t="s">
        <v>102</v>
      </c>
      <c r="F32" s="11">
        <v>44782</v>
      </c>
      <c r="G32" s="12" t="s">
        <v>839</v>
      </c>
      <c r="H32" s="10" t="s">
        <v>903</v>
      </c>
      <c r="I32" s="10">
        <v>1.48736187</v>
      </c>
      <c r="J32" s="12">
        <v>67712103</v>
      </c>
      <c r="K32" s="14"/>
      <c r="L32" s="1"/>
    </row>
    <row r="33" spans="1:12">
      <c r="A33" s="1">
        <v>31</v>
      </c>
      <c r="B33" s="1" t="s">
        <v>1053</v>
      </c>
      <c r="C33" s="3">
        <v>5696570443</v>
      </c>
      <c r="D33" s="3">
        <v>199</v>
      </c>
      <c r="E33" s="99" t="s">
        <v>12</v>
      </c>
      <c r="F33" s="42">
        <v>44782</v>
      </c>
      <c r="G33" s="3" t="s">
        <v>839</v>
      </c>
      <c r="H33" s="5"/>
      <c r="I33" s="5">
        <v>1.4874824</v>
      </c>
      <c r="J33" s="3">
        <v>67723468</v>
      </c>
      <c r="K33" s="1" t="s">
        <v>641</v>
      </c>
      <c r="L33" s="1"/>
    </row>
    <row r="34" spans="1:12">
      <c r="A34" s="1">
        <v>32</v>
      </c>
      <c r="B34" s="14" t="s">
        <v>1054</v>
      </c>
      <c r="C34" s="12">
        <v>525236377</v>
      </c>
      <c r="D34" s="12">
        <v>199</v>
      </c>
      <c r="E34" s="10" t="s">
        <v>12</v>
      </c>
      <c r="F34" s="11">
        <v>44783</v>
      </c>
      <c r="G34" s="12" t="s">
        <v>839</v>
      </c>
      <c r="H34" s="10" t="s">
        <v>903</v>
      </c>
      <c r="I34" s="10">
        <v>1.487507701</v>
      </c>
      <c r="J34" s="12">
        <v>67730336</v>
      </c>
      <c r="K34" s="14" t="s">
        <v>643</v>
      </c>
      <c r="L34" s="1"/>
    </row>
    <row r="35" spans="1:12">
      <c r="A35" s="1">
        <v>33</v>
      </c>
      <c r="B35" s="1" t="s">
        <v>1055</v>
      </c>
      <c r="C35" s="3">
        <v>567309676</v>
      </c>
      <c r="D35" s="3">
        <v>199</v>
      </c>
      <c r="E35" s="99" t="s">
        <v>12</v>
      </c>
      <c r="F35" s="42">
        <v>44783</v>
      </c>
      <c r="G35" s="3" t="s">
        <v>839</v>
      </c>
      <c r="H35" s="5"/>
      <c r="I35" s="5">
        <v>1.48753581</v>
      </c>
      <c r="J35" s="3">
        <v>67767580</v>
      </c>
      <c r="K35" s="1"/>
      <c r="L35" s="1"/>
    </row>
    <row r="36" spans="1:12">
      <c r="A36" s="1">
        <v>34</v>
      </c>
      <c r="B36" s="1" t="s">
        <v>1056</v>
      </c>
      <c r="C36" s="3">
        <v>503227059</v>
      </c>
      <c r="D36" s="3">
        <v>199</v>
      </c>
      <c r="E36" s="99" t="s">
        <v>12</v>
      </c>
      <c r="F36" s="42">
        <v>44783</v>
      </c>
      <c r="G36" s="3" t="s">
        <v>839</v>
      </c>
      <c r="H36" s="53" t="s">
        <v>903</v>
      </c>
      <c r="I36" s="5">
        <v>1.48754729</v>
      </c>
      <c r="J36" s="3">
        <v>67738937</v>
      </c>
      <c r="K36" s="1" t="s">
        <v>643</v>
      </c>
      <c r="L36" s="1"/>
    </row>
    <row r="37" spans="1:12">
      <c r="A37" s="1">
        <v>35</v>
      </c>
      <c r="B37" s="110" t="s">
        <v>1057</v>
      </c>
      <c r="C37" s="111">
        <v>589506144</v>
      </c>
      <c r="D37" s="111">
        <v>299</v>
      </c>
      <c r="E37" s="112" t="s">
        <v>112</v>
      </c>
      <c r="F37" s="113">
        <v>44783</v>
      </c>
      <c r="G37" s="111" t="s">
        <v>839</v>
      </c>
      <c r="H37" s="112"/>
      <c r="I37" s="112">
        <v>1.48754852</v>
      </c>
      <c r="J37" s="111">
        <v>67739095</v>
      </c>
      <c r="K37" s="110" t="s">
        <v>643</v>
      </c>
      <c r="L37" s="1"/>
    </row>
    <row r="38" spans="1:12">
      <c r="A38" s="1">
        <v>36</v>
      </c>
      <c r="B38" s="1" t="s">
        <v>1058</v>
      </c>
      <c r="C38" s="3">
        <v>563904666</v>
      </c>
      <c r="D38" s="3">
        <v>199</v>
      </c>
      <c r="E38" s="99" t="s">
        <v>12</v>
      </c>
      <c r="F38" s="42">
        <v>44785</v>
      </c>
      <c r="G38" s="3" t="s">
        <v>839</v>
      </c>
      <c r="H38" s="5"/>
      <c r="I38" s="5">
        <v>1.4877331600000001</v>
      </c>
      <c r="J38" s="3">
        <v>67765441</v>
      </c>
      <c r="K38" s="1"/>
      <c r="L38" s="1"/>
    </row>
    <row r="39" spans="1:12">
      <c r="A39" s="1">
        <v>37</v>
      </c>
      <c r="B39" s="1" t="s">
        <v>1059</v>
      </c>
      <c r="C39" s="3">
        <v>502050633</v>
      </c>
      <c r="D39" s="3">
        <v>199</v>
      </c>
      <c r="E39" s="99" t="s">
        <v>12</v>
      </c>
      <c r="F39" s="42">
        <v>44785</v>
      </c>
      <c r="G39" s="3" t="s">
        <v>839</v>
      </c>
      <c r="H39" s="5" t="s">
        <v>903</v>
      </c>
      <c r="I39" s="5">
        <v>1.48826923</v>
      </c>
      <c r="J39" s="3">
        <v>67844597</v>
      </c>
      <c r="K39" s="1" t="s">
        <v>386</v>
      </c>
      <c r="L39" s="1"/>
    </row>
    <row r="40" spans="1:12">
      <c r="A40" s="1">
        <v>38</v>
      </c>
      <c r="B40" s="1" t="s">
        <v>1060</v>
      </c>
      <c r="C40" s="3">
        <v>523733588</v>
      </c>
      <c r="D40" s="3">
        <v>199</v>
      </c>
      <c r="E40" s="99" t="s">
        <v>12</v>
      </c>
      <c r="F40" s="42">
        <v>44788</v>
      </c>
      <c r="G40" s="3" t="s">
        <v>839</v>
      </c>
      <c r="H40" s="5" t="s">
        <v>903</v>
      </c>
      <c r="I40" s="5">
        <v>1.48835374</v>
      </c>
      <c r="J40" s="3">
        <v>67852171</v>
      </c>
      <c r="K40" s="1" t="s">
        <v>641</v>
      </c>
      <c r="L40" s="1"/>
    </row>
    <row r="41" spans="1:12">
      <c r="A41" s="1">
        <v>39</v>
      </c>
      <c r="B41" s="110" t="s">
        <v>1041</v>
      </c>
      <c r="C41" s="111">
        <v>524403194</v>
      </c>
      <c r="D41" s="111">
        <v>299</v>
      </c>
      <c r="E41" s="112" t="s">
        <v>12</v>
      </c>
      <c r="F41" s="113">
        <v>44788</v>
      </c>
      <c r="G41" s="111" t="s">
        <v>839</v>
      </c>
      <c r="H41" s="112" t="s">
        <v>903</v>
      </c>
      <c r="I41" s="112">
        <v>1.48681829</v>
      </c>
      <c r="J41" s="111">
        <v>67853498</v>
      </c>
      <c r="K41" s="110" t="s">
        <v>385</v>
      </c>
      <c r="L41" s="1"/>
    </row>
    <row r="42" spans="1:12">
      <c r="A42" s="1">
        <v>40</v>
      </c>
      <c r="B42" s="1" t="s">
        <v>1061</v>
      </c>
      <c r="C42" s="3">
        <v>507998693</v>
      </c>
      <c r="D42" s="3">
        <v>199</v>
      </c>
      <c r="E42" s="99" t="s">
        <v>12</v>
      </c>
      <c r="F42" s="42">
        <v>44788</v>
      </c>
      <c r="G42" s="3" t="s">
        <v>839</v>
      </c>
      <c r="H42" s="5"/>
      <c r="I42" s="5">
        <v>1.4884987199999999</v>
      </c>
      <c r="J42" s="3">
        <v>67880588</v>
      </c>
      <c r="K42" s="1" t="s">
        <v>644</v>
      </c>
      <c r="L42" s="1"/>
    </row>
    <row r="43" spans="1:12">
      <c r="A43" s="1">
        <v>41</v>
      </c>
      <c r="B43" s="1" t="s">
        <v>1062</v>
      </c>
      <c r="C43" s="3">
        <v>589024197</v>
      </c>
      <c r="D43" s="3">
        <v>199</v>
      </c>
      <c r="E43" s="99" t="s">
        <v>12</v>
      </c>
      <c r="F43" s="42">
        <v>44789</v>
      </c>
      <c r="G43" s="3" t="s">
        <v>839</v>
      </c>
      <c r="H43" s="5"/>
      <c r="I43" s="5">
        <v>1.48852363</v>
      </c>
      <c r="J43" s="3">
        <v>67887222</v>
      </c>
      <c r="K43" s="1" t="s">
        <v>385</v>
      </c>
      <c r="L43" s="1"/>
    </row>
    <row r="44" spans="1:12">
      <c r="A44" s="1">
        <v>42</v>
      </c>
      <c r="B44" s="1" t="s">
        <v>1063</v>
      </c>
      <c r="C44" s="3">
        <v>505606500</v>
      </c>
      <c r="D44" s="3">
        <v>199</v>
      </c>
      <c r="E44" s="99" t="s">
        <v>20</v>
      </c>
      <c r="F44" s="42">
        <v>44789</v>
      </c>
      <c r="G44" s="3" t="s">
        <v>839</v>
      </c>
      <c r="H44" s="5"/>
      <c r="I44" s="5">
        <v>1.48853715</v>
      </c>
      <c r="J44" s="3">
        <v>67891521</v>
      </c>
      <c r="K44" s="1"/>
      <c r="L44" s="1"/>
    </row>
    <row r="45" spans="1:12">
      <c r="A45" s="1">
        <v>43</v>
      </c>
      <c r="B45" s="1" t="s">
        <v>1064</v>
      </c>
      <c r="C45" s="3">
        <v>557992344</v>
      </c>
      <c r="D45" s="3">
        <v>199</v>
      </c>
      <c r="E45" s="99" t="s">
        <v>20</v>
      </c>
      <c r="F45" s="42">
        <v>44790</v>
      </c>
      <c r="G45" s="3" t="s">
        <v>839</v>
      </c>
      <c r="H45" s="5"/>
      <c r="I45" s="5">
        <v>1.11482748</v>
      </c>
      <c r="J45" s="3">
        <v>67922727</v>
      </c>
      <c r="K45" s="1"/>
      <c r="L45" s="1"/>
    </row>
    <row r="46" spans="1:12">
      <c r="A46" s="114">
        <v>44</v>
      </c>
      <c r="B46" s="114" t="s">
        <v>1065</v>
      </c>
      <c r="C46" s="55">
        <v>581585315</v>
      </c>
      <c r="D46" s="55">
        <v>199</v>
      </c>
      <c r="E46" s="53" t="s">
        <v>20</v>
      </c>
      <c r="F46" s="54">
        <v>44790</v>
      </c>
      <c r="G46" s="55" t="s">
        <v>839</v>
      </c>
      <c r="H46" s="53" t="s">
        <v>481</v>
      </c>
      <c r="I46" s="53">
        <v>1.4888595200000001</v>
      </c>
      <c r="J46" s="55">
        <v>67937391</v>
      </c>
      <c r="K46" s="1" t="s">
        <v>643</v>
      </c>
      <c r="L46" s="1"/>
    </row>
    <row r="47" spans="1:12">
      <c r="A47" s="1">
        <v>45</v>
      </c>
      <c r="B47" s="1" t="s">
        <v>1066</v>
      </c>
      <c r="C47" s="3">
        <v>567064251</v>
      </c>
      <c r="D47" s="3">
        <v>199</v>
      </c>
      <c r="E47" s="99" t="s">
        <v>12</v>
      </c>
      <c r="F47" s="42">
        <v>44790</v>
      </c>
      <c r="G47" s="3" t="s">
        <v>839</v>
      </c>
      <c r="H47" s="5"/>
      <c r="I47" s="5">
        <v>1.36191806</v>
      </c>
      <c r="J47" s="3">
        <v>67949857</v>
      </c>
      <c r="K47" s="1" t="s">
        <v>641</v>
      </c>
      <c r="L47" s="1"/>
    </row>
    <row r="48" spans="1:12">
      <c r="A48" s="1">
        <v>46</v>
      </c>
      <c r="B48" s="1" t="s">
        <v>1067</v>
      </c>
      <c r="C48" s="3">
        <v>551397334</v>
      </c>
      <c r="D48" s="3">
        <v>199</v>
      </c>
      <c r="E48" s="99" t="s">
        <v>12</v>
      </c>
      <c r="F48" s="42">
        <v>44790</v>
      </c>
      <c r="G48" s="3" t="s">
        <v>839</v>
      </c>
      <c r="H48" s="5"/>
      <c r="I48" s="5">
        <v>1.4890136199999999</v>
      </c>
      <c r="J48" s="3">
        <v>67962615</v>
      </c>
      <c r="K48" s="1" t="s">
        <v>1092</v>
      </c>
      <c r="L48" s="1"/>
    </row>
    <row r="49" spans="1:12">
      <c r="A49" s="1">
        <v>47</v>
      </c>
      <c r="B49" s="1" t="s">
        <v>1068</v>
      </c>
      <c r="C49" s="3">
        <v>503530994</v>
      </c>
      <c r="D49" s="3">
        <v>199</v>
      </c>
      <c r="E49" s="99" t="s">
        <v>12</v>
      </c>
      <c r="F49" s="42">
        <v>44793</v>
      </c>
      <c r="G49" s="3" t="s">
        <v>839</v>
      </c>
      <c r="H49" s="5"/>
      <c r="I49" s="5">
        <v>1.3625994800000001</v>
      </c>
      <c r="J49" s="3">
        <v>68005750</v>
      </c>
      <c r="K49" s="1"/>
      <c r="L49" s="1"/>
    </row>
    <row r="50" spans="1:12">
      <c r="A50" s="1">
        <v>48</v>
      </c>
      <c r="B50" s="1" t="s">
        <v>1069</v>
      </c>
      <c r="C50" s="3">
        <v>588957832</v>
      </c>
      <c r="D50" s="3">
        <v>199</v>
      </c>
      <c r="E50" s="99" t="s">
        <v>12</v>
      </c>
      <c r="F50" s="42">
        <v>44793</v>
      </c>
      <c r="G50" s="3" t="s">
        <v>839</v>
      </c>
      <c r="H50" s="5" t="s">
        <v>903</v>
      </c>
      <c r="I50" s="5">
        <v>1.4892011300000001</v>
      </c>
      <c r="J50" s="3">
        <v>68008847</v>
      </c>
      <c r="K50" s="1" t="s">
        <v>385</v>
      </c>
      <c r="L50" s="1"/>
    </row>
    <row r="51" spans="1:12">
      <c r="A51" s="1">
        <v>49</v>
      </c>
      <c r="B51" s="73" t="s">
        <v>1070</v>
      </c>
      <c r="C51" s="3">
        <v>588591745</v>
      </c>
      <c r="D51" s="3">
        <v>199</v>
      </c>
      <c r="E51" s="99" t="s">
        <v>12</v>
      </c>
      <c r="F51" s="42">
        <v>44793</v>
      </c>
      <c r="G51" s="3" t="s">
        <v>839</v>
      </c>
      <c r="H51" s="5"/>
      <c r="I51" s="5">
        <v>1.4894631199999999</v>
      </c>
      <c r="J51" s="3">
        <v>68047614</v>
      </c>
      <c r="K51" s="1" t="s">
        <v>644</v>
      </c>
      <c r="L51" s="1"/>
    </row>
    <row r="52" spans="1:12">
      <c r="A52" s="1">
        <v>50</v>
      </c>
      <c r="B52" s="1" t="s">
        <v>1071</v>
      </c>
      <c r="C52" s="3">
        <v>552679710</v>
      </c>
      <c r="D52" s="3">
        <v>199</v>
      </c>
      <c r="E52" s="99" t="s">
        <v>12</v>
      </c>
      <c r="F52" s="42">
        <v>44797</v>
      </c>
      <c r="G52" s="3" t="s">
        <v>839</v>
      </c>
      <c r="H52" s="5"/>
      <c r="I52" s="5">
        <v>1.4897708700000001</v>
      </c>
      <c r="J52" s="3">
        <v>68096026</v>
      </c>
      <c r="K52" s="1" t="s">
        <v>385</v>
      </c>
      <c r="L52" s="1"/>
    </row>
    <row r="53" spans="1:12">
      <c r="A53" s="1">
        <v>51</v>
      </c>
      <c r="B53" s="110" t="s">
        <v>1072</v>
      </c>
      <c r="C53" s="111">
        <v>555449133</v>
      </c>
      <c r="D53" s="111">
        <v>299</v>
      </c>
      <c r="E53" s="112" t="s">
        <v>12</v>
      </c>
      <c r="F53" s="113">
        <v>44797</v>
      </c>
      <c r="G53" s="111" t="s">
        <v>839</v>
      </c>
      <c r="H53" s="112"/>
      <c r="I53" s="112">
        <v>1.21184018</v>
      </c>
      <c r="J53" s="111">
        <v>68073191</v>
      </c>
      <c r="K53" s="110" t="s">
        <v>641</v>
      </c>
      <c r="L53" s="1"/>
    </row>
    <row r="54" spans="1:12">
      <c r="A54" s="1">
        <v>52</v>
      </c>
      <c r="B54" s="110" t="s">
        <v>1073</v>
      </c>
      <c r="C54" s="111">
        <v>505954444</v>
      </c>
      <c r="D54" s="111">
        <v>299</v>
      </c>
      <c r="E54" s="112" t="s">
        <v>20</v>
      </c>
      <c r="F54" s="113">
        <v>44797</v>
      </c>
      <c r="G54" s="111" t="s">
        <v>839</v>
      </c>
      <c r="H54" s="112"/>
      <c r="I54" s="112">
        <v>1.2069877</v>
      </c>
      <c r="J54" s="111">
        <v>68110008</v>
      </c>
      <c r="K54" s="110"/>
      <c r="L54" s="1"/>
    </row>
    <row r="55" spans="1:12">
      <c r="A55" s="1">
        <v>53</v>
      </c>
      <c r="B55" s="1" t="s">
        <v>1074</v>
      </c>
      <c r="C55" s="3">
        <v>553400055</v>
      </c>
      <c r="D55" s="3">
        <v>199</v>
      </c>
      <c r="E55" s="99" t="s">
        <v>112</v>
      </c>
      <c r="F55" s="42">
        <v>44797</v>
      </c>
      <c r="G55" s="3" t="s">
        <v>839</v>
      </c>
      <c r="H55" s="5" t="s">
        <v>903</v>
      </c>
      <c r="I55" s="5">
        <v>1.26762233</v>
      </c>
      <c r="J55" s="3">
        <v>68105399</v>
      </c>
      <c r="K55" s="1" t="s">
        <v>1092</v>
      </c>
      <c r="L55" s="1"/>
    </row>
    <row r="56" spans="1:12">
      <c r="A56" s="1">
        <v>54</v>
      </c>
      <c r="B56" s="110" t="s">
        <v>1075</v>
      </c>
      <c r="C56" s="111">
        <v>556043942</v>
      </c>
      <c r="D56" s="111">
        <v>299</v>
      </c>
      <c r="E56" s="112" t="s">
        <v>112</v>
      </c>
      <c r="F56" s="113">
        <v>44797</v>
      </c>
      <c r="G56" s="111" t="s">
        <v>839</v>
      </c>
      <c r="H56" s="112"/>
      <c r="I56" s="112">
        <v>1.48981509</v>
      </c>
      <c r="J56" s="111">
        <v>68107444</v>
      </c>
      <c r="K56" s="110" t="s">
        <v>1092</v>
      </c>
      <c r="L56" s="1"/>
    </row>
    <row r="57" spans="1:12">
      <c r="A57" s="1">
        <v>55</v>
      </c>
      <c r="B57" s="1" t="s">
        <v>1076</v>
      </c>
      <c r="C57" s="3">
        <v>502616615</v>
      </c>
      <c r="D57" s="3">
        <v>199</v>
      </c>
      <c r="E57" s="99" t="s">
        <v>12</v>
      </c>
      <c r="F57" s="42">
        <v>44798</v>
      </c>
      <c r="G57" s="3" t="s">
        <v>839</v>
      </c>
      <c r="H57" s="5"/>
      <c r="I57" s="5">
        <v>1.49023364</v>
      </c>
      <c r="J57" s="3">
        <v>68178297</v>
      </c>
      <c r="K57" s="1" t="s">
        <v>386</v>
      </c>
      <c r="L57" s="1"/>
    </row>
    <row r="58" spans="1:12">
      <c r="A58" s="1">
        <v>56</v>
      </c>
      <c r="B58" s="1" t="s">
        <v>1077</v>
      </c>
      <c r="C58" s="3">
        <v>528855170</v>
      </c>
      <c r="D58" s="3">
        <v>199</v>
      </c>
      <c r="E58" s="99" t="s">
        <v>12</v>
      </c>
      <c r="F58" s="42">
        <v>44798</v>
      </c>
      <c r="G58" s="3" t="s">
        <v>839</v>
      </c>
      <c r="H58" s="5"/>
      <c r="I58" s="5">
        <v>1.4894469100000001</v>
      </c>
      <c r="J58" s="3">
        <v>68229758</v>
      </c>
      <c r="K58" s="1" t="s">
        <v>386</v>
      </c>
      <c r="L58" s="1"/>
    </row>
    <row r="59" spans="1:12">
      <c r="A59" s="1">
        <v>57</v>
      </c>
      <c r="B59" s="1" t="s">
        <v>1078</v>
      </c>
      <c r="C59" s="3">
        <v>524890606</v>
      </c>
      <c r="D59" s="3">
        <v>199</v>
      </c>
      <c r="E59" s="99" t="s">
        <v>12</v>
      </c>
      <c r="F59" s="42">
        <v>44798</v>
      </c>
      <c r="G59" s="3" t="s">
        <v>839</v>
      </c>
      <c r="H59" s="5"/>
      <c r="I59" s="5">
        <v>1.4905763299999999</v>
      </c>
      <c r="J59" s="3">
        <v>68255675</v>
      </c>
      <c r="K59" s="1" t="s">
        <v>1092</v>
      </c>
      <c r="L59" s="1"/>
    </row>
    <row r="60" spans="1:12">
      <c r="A60" s="1">
        <v>58</v>
      </c>
      <c r="B60" s="110" t="s">
        <v>1079</v>
      </c>
      <c r="C60" s="111">
        <v>544913635</v>
      </c>
      <c r="D60" s="111">
        <v>299</v>
      </c>
      <c r="E60" s="112" t="s">
        <v>12</v>
      </c>
      <c r="F60" s="113">
        <v>44802</v>
      </c>
      <c r="G60" s="111" t="s">
        <v>839</v>
      </c>
      <c r="H60" s="112"/>
      <c r="I60" s="112">
        <v>1.4905787399999999</v>
      </c>
      <c r="J60" s="111">
        <v>68254070</v>
      </c>
      <c r="K60" s="110" t="s">
        <v>1092</v>
      </c>
      <c r="L60" s="1"/>
    </row>
    <row r="61" spans="1:12">
      <c r="A61" s="1">
        <v>59</v>
      </c>
      <c r="B61" s="1" t="s">
        <v>1080</v>
      </c>
      <c r="C61" s="3">
        <v>555784886</v>
      </c>
      <c r="D61" s="3">
        <v>199</v>
      </c>
      <c r="E61" s="99" t="s">
        <v>102</v>
      </c>
      <c r="F61" s="42">
        <v>44802</v>
      </c>
      <c r="G61" s="3" t="s">
        <v>839</v>
      </c>
      <c r="H61" s="5"/>
      <c r="I61" s="5">
        <v>1.4907155700000001</v>
      </c>
      <c r="J61" s="3">
        <v>68280309</v>
      </c>
      <c r="K61" s="1" t="s">
        <v>386</v>
      </c>
      <c r="L61" s="1"/>
    </row>
    <row r="62" spans="1:12">
      <c r="A62" s="1">
        <v>60</v>
      </c>
      <c r="B62" s="1" t="s">
        <v>1088</v>
      </c>
      <c r="C62" s="3">
        <v>553393066</v>
      </c>
      <c r="D62" s="3">
        <v>199</v>
      </c>
      <c r="E62" s="99" t="s">
        <v>12</v>
      </c>
      <c r="F62" s="42">
        <v>44802</v>
      </c>
      <c r="G62" s="3" t="s">
        <v>839</v>
      </c>
      <c r="H62" s="5"/>
      <c r="I62" s="5">
        <v>1.4907466700000001</v>
      </c>
      <c r="J62" s="3">
        <v>68289310</v>
      </c>
      <c r="K62" s="1" t="s">
        <v>386</v>
      </c>
      <c r="L62" s="1"/>
    </row>
    <row r="63" spans="1:12">
      <c r="A63" s="1">
        <v>61</v>
      </c>
      <c r="B63" s="1" t="s">
        <v>1089</v>
      </c>
      <c r="C63" s="3">
        <v>544217533</v>
      </c>
      <c r="D63" s="3">
        <v>199</v>
      </c>
      <c r="E63" s="99" t="s">
        <v>12</v>
      </c>
      <c r="F63" s="42">
        <v>44802</v>
      </c>
      <c r="G63" s="3" t="s">
        <v>839</v>
      </c>
      <c r="H63" s="5"/>
      <c r="I63" s="5">
        <v>11.4908289</v>
      </c>
      <c r="J63" s="3">
        <v>68299290</v>
      </c>
      <c r="K63" s="1" t="s">
        <v>386</v>
      </c>
      <c r="L63" s="1"/>
    </row>
    <row r="64" spans="1:12">
      <c r="A64" s="1">
        <v>62</v>
      </c>
      <c r="B64" s="36" t="s">
        <v>1081</v>
      </c>
      <c r="C64" s="35">
        <v>569704842</v>
      </c>
      <c r="D64" s="35">
        <v>199</v>
      </c>
      <c r="E64" s="25" t="s">
        <v>102</v>
      </c>
      <c r="F64" s="92">
        <v>44802</v>
      </c>
      <c r="G64" s="35" t="s">
        <v>839</v>
      </c>
      <c r="H64" s="25"/>
      <c r="I64" s="25">
        <v>1.49083959</v>
      </c>
      <c r="J64" s="35">
        <v>68303923</v>
      </c>
      <c r="K64" s="36" t="s">
        <v>386</v>
      </c>
      <c r="L64" s="1"/>
    </row>
    <row r="65" spans="1:12">
      <c r="A65" s="1">
        <v>63</v>
      </c>
      <c r="B65" s="36" t="s">
        <v>1082</v>
      </c>
      <c r="C65" s="35">
        <v>505017267</v>
      </c>
      <c r="D65" s="35">
        <v>199</v>
      </c>
      <c r="E65" s="25" t="s">
        <v>102</v>
      </c>
      <c r="F65" s="92">
        <v>44804</v>
      </c>
      <c r="G65" s="35" t="s">
        <v>839</v>
      </c>
      <c r="H65" s="25"/>
      <c r="I65" s="25">
        <v>1.49087371</v>
      </c>
      <c r="J65" s="35">
        <v>68618277</v>
      </c>
      <c r="K65" s="36"/>
      <c r="L65" s="1"/>
    </row>
    <row r="66" spans="1:12">
      <c r="A66" s="1">
        <v>64</v>
      </c>
      <c r="B66" s="36" t="s">
        <v>1083</v>
      </c>
      <c r="C66" s="35">
        <v>501993173</v>
      </c>
      <c r="D66" s="35">
        <v>199</v>
      </c>
      <c r="E66" s="25" t="s">
        <v>12</v>
      </c>
      <c r="F66" s="92">
        <v>44804</v>
      </c>
      <c r="G66" s="35" t="s">
        <v>839</v>
      </c>
      <c r="H66" s="25"/>
      <c r="I66" s="25">
        <v>1.49081383</v>
      </c>
      <c r="J66" s="35">
        <v>68295470</v>
      </c>
      <c r="K66" s="36" t="s">
        <v>641</v>
      </c>
      <c r="L66" s="1"/>
    </row>
    <row r="67" spans="1:12">
      <c r="A67" s="1">
        <v>65</v>
      </c>
      <c r="B67" s="36" t="s">
        <v>1084</v>
      </c>
      <c r="C67" s="35">
        <v>523376037</v>
      </c>
      <c r="D67" s="35">
        <v>199</v>
      </c>
      <c r="E67" s="25" t="s">
        <v>12</v>
      </c>
      <c r="F67" s="92">
        <v>44804</v>
      </c>
      <c r="G67" s="35" t="s">
        <v>839</v>
      </c>
      <c r="H67" s="25"/>
      <c r="I67" s="25">
        <v>1.4908463300000001</v>
      </c>
      <c r="J67" s="35">
        <v>68306656</v>
      </c>
      <c r="K67" s="36" t="s">
        <v>386</v>
      </c>
      <c r="L67" s="1"/>
    </row>
    <row r="68" spans="1:12">
      <c r="A68" s="1">
        <v>66</v>
      </c>
      <c r="B68" s="36" t="s">
        <v>1085</v>
      </c>
      <c r="C68" s="35">
        <v>507431594</v>
      </c>
      <c r="D68" s="35">
        <v>199</v>
      </c>
      <c r="E68" s="25" t="s">
        <v>12</v>
      </c>
      <c r="F68" s="92">
        <v>44804</v>
      </c>
      <c r="G68" s="35" t="s">
        <v>839</v>
      </c>
      <c r="H68" s="25"/>
      <c r="I68" s="25">
        <v>1.4905593800000001</v>
      </c>
      <c r="J68" s="35">
        <v>668247716</v>
      </c>
      <c r="K68" s="36" t="s">
        <v>643</v>
      </c>
      <c r="L68" s="1"/>
    </row>
    <row r="69" spans="1:12">
      <c r="A69" s="1">
        <v>67</v>
      </c>
      <c r="B69" s="119" t="s">
        <v>1090</v>
      </c>
      <c r="C69" s="120">
        <v>505152389</v>
      </c>
      <c r="D69" s="120">
        <v>199</v>
      </c>
      <c r="E69" s="99" t="s">
        <v>12</v>
      </c>
      <c r="F69" s="121">
        <v>44804</v>
      </c>
      <c r="G69" s="120" t="s">
        <v>839</v>
      </c>
      <c r="H69" s="99" t="s">
        <v>1093</v>
      </c>
      <c r="I69" s="119" t="s">
        <v>1091</v>
      </c>
      <c r="J69" s="119"/>
      <c r="K69" s="119" t="s">
        <v>385</v>
      </c>
      <c r="L69" s="1"/>
    </row>
  </sheetData>
  <autoFilter ref="A2:M69" xr:uid="{00000000-0009-0000-0000-00000A000000}"/>
  <mergeCells count="1">
    <mergeCell ref="A1:M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65"/>
  <sheetViews>
    <sheetView zoomScale="80" zoomScaleNormal="80" workbookViewId="0">
      <selection activeCell="C3" sqref="C3:C65"/>
    </sheetView>
  </sheetViews>
  <sheetFormatPr defaultRowHeight="14.5"/>
  <cols>
    <col min="1" max="1" width="4.453125" bestFit="1" customWidth="1"/>
    <col min="2" max="2" width="37.81640625" bestFit="1" customWidth="1"/>
    <col min="3" max="3" width="25" bestFit="1" customWidth="1"/>
    <col min="4" max="4" width="13.81640625" customWidth="1"/>
    <col min="5" max="5" width="12.453125" customWidth="1"/>
    <col min="6" max="6" width="15.81640625" customWidth="1"/>
    <col min="7" max="7" width="16.453125" customWidth="1"/>
    <col min="8" max="8" width="33" bestFit="1" customWidth="1"/>
    <col min="9" max="9" width="23.81640625" bestFit="1" customWidth="1"/>
    <col min="10" max="10" width="26.54296875" bestFit="1" customWidth="1"/>
    <col min="11" max="12" width="28.1796875" bestFit="1" customWidth="1"/>
  </cols>
  <sheetData>
    <row r="1" spans="1:13" ht="46">
      <c r="A1" s="622" t="s">
        <v>40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</row>
    <row r="2" spans="1:13" ht="15.5">
      <c r="A2" s="2" t="s">
        <v>0</v>
      </c>
      <c r="B2" s="38" t="s">
        <v>1</v>
      </c>
      <c r="C2" s="38" t="s">
        <v>2</v>
      </c>
      <c r="D2" s="38" t="s">
        <v>3</v>
      </c>
      <c r="E2" s="38" t="s">
        <v>4</v>
      </c>
      <c r="F2" s="38" t="s">
        <v>6</v>
      </c>
      <c r="G2" s="38" t="s">
        <v>8</v>
      </c>
      <c r="H2" s="38" t="s">
        <v>9</v>
      </c>
      <c r="I2" s="38" t="s">
        <v>901</v>
      </c>
      <c r="J2" s="38" t="s">
        <v>293</v>
      </c>
      <c r="K2" s="38" t="s">
        <v>321</v>
      </c>
      <c r="L2" s="38" t="s">
        <v>327</v>
      </c>
      <c r="M2" s="38" t="s">
        <v>243</v>
      </c>
    </row>
    <row r="3" spans="1:13">
      <c r="A3" s="1">
        <v>1</v>
      </c>
      <c r="B3" s="71" t="s">
        <v>1090</v>
      </c>
      <c r="C3" s="5">
        <v>505152389</v>
      </c>
      <c r="D3" s="5">
        <v>199</v>
      </c>
      <c r="E3" s="99" t="s">
        <v>12</v>
      </c>
      <c r="F3" s="42">
        <v>44804</v>
      </c>
      <c r="G3" s="5" t="s">
        <v>839</v>
      </c>
      <c r="H3" s="1"/>
      <c r="I3" s="43" t="s">
        <v>1097</v>
      </c>
      <c r="J3" s="43" t="s">
        <v>1097</v>
      </c>
      <c r="K3" s="5"/>
      <c r="L3" s="5" t="s">
        <v>1098</v>
      </c>
      <c r="M3" s="1"/>
    </row>
    <row r="4" spans="1:13">
      <c r="A4" s="1">
        <v>2</v>
      </c>
      <c r="B4" s="118" t="s">
        <v>1099</v>
      </c>
      <c r="C4" s="25">
        <v>569704842</v>
      </c>
      <c r="D4" s="25">
        <v>199</v>
      </c>
      <c r="E4" s="25" t="s">
        <v>674</v>
      </c>
      <c r="F4" s="92">
        <v>44805</v>
      </c>
      <c r="G4" s="25" t="s">
        <v>839</v>
      </c>
      <c r="H4" s="36"/>
      <c r="I4" s="25">
        <v>1.49083959</v>
      </c>
      <c r="J4" s="25">
        <v>68303923</v>
      </c>
      <c r="K4" s="25" t="s">
        <v>176</v>
      </c>
      <c r="L4" s="1" t="s">
        <v>1098</v>
      </c>
      <c r="M4" s="1"/>
    </row>
    <row r="5" spans="1:13">
      <c r="A5" s="1">
        <v>3</v>
      </c>
      <c r="B5" s="118" t="s">
        <v>1100</v>
      </c>
      <c r="C5" s="25">
        <v>505017267</v>
      </c>
      <c r="D5" s="25">
        <v>199</v>
      </c>
      <c r="E5" s="25" t="s">
        <v>674</v>
      </c>
      <c r="F5" s="92">
        <v>44805</v>
      </c>
      <c r="G5" s="25" t="s">
        <v>839</v>
      </c>
      <c r="H5" s="36"/>
      <c r="I5" s="25">
        <v>1.49087971</v>
      </c>
      <c r="J5" s="25">
        <v>68318277</v>
      </c>
      <c r="K5" s="25"/>
      <c r="L5" s="1" t="s">
        <v>1098</v>
      </c>
      <c r="M5" s="1"/>
    </row>
    <row r="6" spans="1:13">
      <c r="A6" s="1">
        <v>4</v>
      </c>
      <c r="B6" s="118" t="s">
        <v>1083</v>
      </c>
      <c r="C6" s="25">
        <v>501993173</v>
      </c>
      <c r="D6" s="25">
        <v>199</v>
      </c>
      <c r="E6" s="25" t="s">
        <v>12</v>
      </c>
      <c r="F6" s="92">
        <v>44805</v>
      </c>
      <c r="G6" s="25" t="s">
        <v>839</v>
      </c>
      <c r="H6" s="36"/>
      <c r="I6" s="25">
        <v>1.49081383</v>
      </c>
      <c r="J6" s="25">
        <v>68295470</v>
      </c>
      <c r="K6" s="25"/>
      <c r="L6" s="1" t="s">
        <v>1098</v>
      </c>
      <c r="M6" s="1"/>
    </row>
    <row r="7" spans="1:13">
      <c r="A7" s="1">
        <v>5</v>
      </c>
      <c r="B7" s="118" t="s">
        <v>1101</v>
      </c>
      <c r="C7" s="25">
        <v>544217533</v>
      </c>
      <c r="D7" s="25">
        <v>199</v>
      </c>
      <c r="E7" s="25" t="s">
        <v>12</v>
      </c>
      <c r="F7" s="92">
        <v>44805</v>
      </c>
      <c r="G7" s="25" t="s">
        <v>839</v>
      </c>
      <c r="H7" s="36"/>
      <c r="I7" s="25">
        <v>1.4908288999999999</v>
      </c>
      <c r="J7" s="25">
        <v>68299290</v>
      </c>
      <c r="K7" s="25" t="s">
        <v>176</v>
      </c>
      <c r="L7" s="1" t="s">
        <v>1098</v>
      </c>
      <c r="M7" s="1"/>
    </row>
    <row r="8" spans="1:13">
      <c r="A8" s="1">
        <v>6</v>
      </c>
      <c r="B8" s="118" t="s">
        <v>1084</v>
      </c>
      <c r="C8" s="25">
        <v>523376037</v>
      </c>
      <c r="D8" s="25">
        <v>199</v>
      </c>
      <c r="E8" s="25" t="s">
        <v>12</v>
      </c>
      <c r="F8" s="92">
        <v>44805</v>
      </c>
      <c r="G8" s="25" t="s">
        <v>839</v>
      </c>
      <c r="H8" s="36"/>
      <c r="I8" s="25">
        <v>1.4908463300000001</v>
      </c>
      <c r="J8" s="25">
        <v>68306656</v>
      </c>
      <c r="K8" s="25" t="s">
        <v>176</v>
      </c>
      <c r="L8" s="1" t="s">
        <v>1098</v>
      </c>
      <c r="M8" s="1"/>
    </row>
    <row r="9" spans="1:13">
      <c r="A9" s="1">
        <v>7</v>
      </c>
      <c r="B9" s="71" t="s">
        <v>1102</v>
      </c>
      <c r="C9" s="5">
        <v>545564897</v>
      </c>
      <c r="D9" s="5">
        <v>199</v>
      </c>
      <c r="E9" s="5" t="s">
        <v>12</v>
      </c>
      <c r="F9" s="42">
        <v>44805</v>
      </c>
      <c r="G9" s="5" t="s">
        <v>839</v>
      </c>
      <c r="H9" s="1"/>
      <c r="I9" s="5">
        <v>1.49106541</v>
      </c>
      <c r="J9" s="5">
        <v>68350186</v>
      </c>
      <c r="K9" s="5" t="s">
        <v>466</v>
      </c>
      <c r="L9" s="1"/>
      <c r="M9" s="1"/>
    </row>
    <row r="10" spans="1:13">
      <c r="A10" s="1">
        <v>8</v>
      </c>
      <c r="B10" s="71" t="s">
        <v>1103</v>
      </c>
      <c r="C10" s="5">
        <v>507607062</v>
      </c>
      <c r="D10" s="5">
        <v>299</v>
      </c>
      <c r="E10" s="5" t="s">
        <v>12</v>
      </c>
      <c r="F10" s="42">
        <v>44806</v>
      </c>
      <c r="G10" s="5" t="s">
        <v>839</v>
      </c>
      <c r="H10" s="1"/>
      <c r="I10" s="5">
        <v>1.49118843</v>
      </c>
      <c r="J10" s="5">
        <v>68369226</v>
      </c>
      <c r="K10" s="5" t="s">
        <v>385</v>
      </c>
      <c r="L10" s="1"/>
      <c r="M10" s="1"/>
    </row>
    <row r="11" spans="1:13">
      <c r="A11" s="1">
        <v>9</v>
      </c>
      <c r="B11" s="71" t="s">
        <v>1104</v>
      </c>
      <c r="C11" s="5">
        <v>507057886</v>
      </c>
      <c r="D11" s="5">
        <v>299</v>
      </c>
      <c r="E11" s="5" t="s">
        <v>12</v>
      </c>
      <c r="F11" s="42">
        <v>44806</v>
      </c>
      <c r="G11" s="5" t="s">
        <v>839</v>
      </c>
      <c r="H11" s="1"/>
      <c r="I11" s="5">
        <v>1.4910572600000001</v>
      </c>
      <c r="J11" s="5">
        <v>68349219</v>
      </c>
      <c r="K11" s="5" t="s">
        <v>176</v>
      </c>
      <c r="L11" s="1"/>
      <c r="M11" s="1"/>
    </row>
    <row r="12" spans="1:13">
      <c r="A12" s="1">
        <v>10</v>
      </c>
      <c r="B12" s="71" t="s">
        <v>1105</v>
      </c>
      <c r="C12" s="5">
        <v>581889614</v>
      </c>
      <c r="D12" s="5">
        <v>199</v>
      </c>
      <c r="E12" s="5" t="s">
        <v>12</v>
      </c>
      <c r="F12" s="42">
        <v>44806</v>
      </c>
      <c r="G12" s="5" t="s">
        <v>839</v>
      </c>
      <c r="H12" s="1"/>
      <c r="I12" s="5">
        <v>1.4913633500000001</v>
      </c>
      <c r="J12" s="5"/>
      <c r="K12" s="5" t="s">
        <v>385</v>
      </c>
      <c r="L12" s="1"/>
      <c r="M12" s="1"/>
    </row>
    <row r="13" spans="1:13">
      <c r="A13" s="1">
        <v>11</v>
      </c>
      <c r="B13" s="71" t="s">
        <v>1106</v>
      </c>
      <c r="C13" s="5">
        <v>508850713</v>
      </c>
      <c r="D13" s="5">
        <v>199</v>
      </c>
      <c r="E13" s="5" t="s">
        <v>12</v>
      </c>
      <c r="F13" s="42">
        <v>44807</v>
      </c>
      <c r="G13" s="5" t="s">
        <v>839</v>
      </c>
      <c r="H13" s="1"/>
      <c r="I13" s="5">
        <v>1.49132763</v>
      </c>
      <c r="J13" s="5">
        <v>68388278</v>
      </c>
      <c r="K13" s="5" t="s">
        <v>466</v>
      </c>
      <c r="L13" s="1"/>
      <c r="M13" s="1"/>
    </row>
    <row r="14" spans="1:13">
      <c r="A14" s="1">
        <v>12</v>
      </c>
      <c r="B14" s="71" t="s">
        <v>1107</v>
      </c>
      <c r="C14" s="5">
        <v>509616944</v>
      </c>
      <c r="D14" s="5">
        <v>199</v>
      </c>
      <c r="E14" s="5" t="s">
        <v>12</v>
      </c>
      <c r="F14" s="42">
        <v>44808</v>
      </c>
      <c r="G14" s="5" t="s">
        <v>839</v>
      </c>
      <c r="H14" s="1"/>
      <c r="I14" s="5">
        <v>1.49159788</v>
      </c>
      <c r="J14" s="5">
        <v>68435880</v>
      </c>
      <c r="K14" s="5" t="s">
        <v>385</v>
      </c>
      <c r="L14" s="1"/>
      <c r="M14" s="1"/>
    </row>
    <row r="15" spans="1:13">
      <c r="A15" s="1">
        <v>13</v>
      </c>
      <c r="B15" s="136" t="s">
        <v>1108</v>
      </c>
      <c r="C15" s="10">
        <v>554028110</v>
      </c>
      <c r="D15" s="10">
        <v>199</v>
      </c>
      <c r="E15" s="10" t="s">
        <v>12</v>
      </c>
      <c r="F15" s="11">
        <v>44809</v>
      </c>
      <c r="G15" s="10" t="s">
        <v>839</v>
      </c>
      <c r="H15" s="14" t="s">
        <v>903</v>
      </c>
      <c r="I15" s="10">
        <v>1.4915435500000001</v>
      </c>
      <c r="J15" s="10">
        <v>68426754</v>
      </c>
      <c r="K15" s="10" t="s">
        <v>385</v>
      </c>
      <c r="L15" s="1"/>
      <c r="M15" s="1"/>
    </row>
    <row r="16" spans="1:13">
      <c r="A16" s="1">
        <v>14</v>
      </c>
      <c r="B16" s="71" t="s">
        <v>1109</v>
      </c>
      <c r="C16" s="5">
        <v>564663457</v>
      </c>
      <c r="D16" s="5">
        <v>299</v>
      </c>
      <c r="E16" s="5" t="s">
        <v>12</v>
      </c>
      <c r="F16" s="42">
        <v>44809</v>
      </c>
      <c r="G16" s="5" t="s">
        <v>839</v>
      </c>
      <c r="H16" s="1"/>
      <c r="I16" s="5">
        <v>1.49150388</v>
      </c>
      <c r="J16" s="5">
        <v>68415528</v>
      </c>
      <c r="K16" s="5" t="s">
        <v>385</v>
      </c>
      <c r="L16" s="1"/>
      <c r="M16" s="1"/>
    </row>
    <row r="17" spans="1:13">
      <c r="A17" s="1">
        <v>15</v>
      </c>
      <c r="B17" s="71" t="s">
        <v>1110</v>
      </c>
      <c r="C17" s="5">
        <v>502858482</v>
      </c>
      <c r="D17" s="5">
        <v>199</v>
      </c>
      <c r="E17" s="5" t="s">
        <v>12</v>
      </c>
      <c r="F17" s="42">
        <v>44809</v>
      </c>
      <c r="G17" s="5" t="s">
        <v>839</v>
      </c>
      <c r="H17" s="1"/>
      <c r="I17" s="5">
        <v>1.49172547</v>
      </c>
      <c r="J17" s="5">
        <v>68460626</v>
      </c>
      <c r="K17" s="5" t="s">
        <v>466</v>
      </c>
      <c r="L17" s="1"/>
      <c r="M17" s="1"/>
    </row>
    <row r="18" spans="1:13">
      <c r="A18" s="1">
        <v>16</v>
      </c>
      <c r="B18" s="71" t="s">
        <v>1111</v>
      </c>
      <c r="C18" s="5">
        <v>564403545</v>
      </c>
      <c r="D18" s="5">
        <v>199</v>
      </c>
      <c r="E18" s="5" t="s">
        <v>674</v>
      </c>
      <c r="F18" s="42">
        <v>44810</v>
      </c>
      <c r="G18" s="5" t="s">
        <v>839</v>
      </c>
      <c r="H18" s="1"/>
      <c r="I18" s="5">
        <v>1.49192027</v>
      </c>
      <c r="J18" s="5">
        <v>68491284</v>
      </c>
      <c r="K18" s="5"/>
      <c r="L18" s="1"/>
      <c r="M18" s="1"/>
    </row>
    <row r="19" spans="1:13">
      <c r="A19" s="1">
        <v>17</v>
      </c>
      <c r="B19" s="71" t="s">
        <v>1112</v>
      </c>
      <c r="C19" s="5">
        <v>547536822</v>
      </c>
      <c r="D19" s="5">
        <v>199</v>
      </c>
      <c r="E19" s="5" t="s">
        <v>674</v>
      </c>
      <c r="F19" s="42">
        <v>44810</v>
      </c>
      <c r="G19" s="5" t="s">
        <v>839</v>
      </c>
      <c r="H19" s="1"/>
      <c r="I19" s="5">
        <v>1.49227245</v>
      </c>
      <c r="J19" s="5">
        <v>68539507</v>
      </c>
      <c r="K19" s="5"/>
      <c r="L19" s="1"/>
      <c r="M19" s="1"/>
    </row>
    <row r="20" spans="1:13">
      <c r="A20" s="1">
        <v>18</v>
      </c>
      <c r="B20" s="71" t="s">
        <v>1113</v>
      </c>
      <c r="C20" s="5">
        <v>558216268</v>
      </c>
      <c r="D20" s="5">
        <v>199</v>
      </c>
      <c r="E20" s="5" t="s">
        <v>12</v>
      </c>
      <c r="F20" s="42">
        <v>44813</v>
      </c>
      <c r="G20" s="5" t="s">
        <v>839</v>
      </c>
      <c r="H20" s="1"/>
      <c r="I20" s="5">
        <v>1.2944872300000001</v>
      </c>
      <c r="J20" s="5">
        <v>68576464</v>
      </c>
      <c r="K20" s="5"/>
      <c r="L20" s="1"/>
      <c r="M20" s="1"/>
    </row>
    <row r="21" spans="1:13">
      <c r="A21" s="1">
        <v>19</v>
      </c>
      <c r="B21" s="71" t="s">
        <v>1114</v>
      </c>
      <c r="C21" s="5">
        <v>522697468</v>
      </c>
      <c r="D21" s="5">
        <v>199</v>
      </c>
      <c r="E21" s="5" t="s">
        <v>12</v>
      </c>
      <c r="F21" s="42">
        <v>44813</v>
      </c>
      <c r="G21" s="5" t="s">
        <v>839</v>
      </c>
      <c r="H21" s="1"/>
      <c r="I21" s="5">
        <v>1.4924411799999999</v>
      </c>
      <c r="J21" s="5">
        <v>68565279</v>
      </c>
      <c r="K21" s="5"/>
      <c r="L21" s="1"/>
      <c r="M21" s="1"/>
    </row>
    <row r="22" spans="1:13">
      <c r="A22" s="1">
        <v>20</v>
      </c>
      <c r="B22" s="71" t="s">
        <v>1115</v>
      </c>
      <c r="C22" s="5">
        <v>503010321</v>
      </c>
      <c r="D22" s="5">
        <v>199</v>
      </c>
      <c r="E22" s="5" t="s">
        <v>12</v>
      </c>
      <c r="F22" s="42">
        <v>44813</v>
      </c>
      <c r="G22" s="5" t="s">
        <v>839</v>
      </c>
      <c r="H22" s="1"/>
      <c r="I22" s="5">
        <v>1.49206558</v>
      </c>
      <c r="J22" s="5">
        <v>68507384</v>
      </c>
      <c r="K22" s="5" t="s">
        <v>176</v>
      </c>
      <c r="L22" s="1"/>
      <c r="M22" s="1"/>
    </row>
    <row r="23" spans="1:13">
      <c r="A23" s="1">
        <v>21</v>
      </c>
      <c r="B23" s="71" t="s">
        <v>1116</v>
      </c>
      <c r="C23" s="5">
        <v>508597600</v>
      </c>
      <c r="D23" s="5">
        <v>199</v>
      </c>
      <c r="E23" s="5" t="s">
        <v>12</v>
      </c>
      <c r="F23" s="42">
        <v>44813</v>
      </c>
      <c r="G23" s="5" t="s">
        <v>839</v>
      </c>
      <c r="H23" s="1"/>
      <c r="I23" s="5">
        <v>1.31369566</v>
      </c>
      <c r="J23" s="5">
        <v>68529364</v>
      </c>
      <c r="K23" s="5" t="s">
        <v>1162</v>
      </c>
      <c r="L23" s="1"/>
      <c r="M23" s="1"/>
    </row>
    <row r="24" spans="1:13">
      <c r="A24" s="1">
        <v>22</v>
      </c>
      <c r="B24" s="71" t="s">
        <v>1117</v>
      </c>
      <c r="C24" s="5">
        <v>503308384</v>
      </c>
      <c r="D24" s="5">
        <v>199</v>
      </c>
      <c r="E24" s="5" t="s">
        <v>12</v>
      </c>
      <c r="F24" s="42">
        <v>44813</v>
      </c>
      <c r="G24" s="5" t="s">
        <v>839</v>
      </c>
      <c r="H24" s="1"/>
      <c r="I24" s="5">
        <v>1.4925731499999999</v>
      </c>
      <c r="J24" s="5">
        <v>68583229</v>
      </c>
      <c r="K24" s="5" t="s">
        <v>176</v>
      </c>
      <c r="L24" s="1"/>
      <c r="M24" s="1"/>
    </row>
    <row r="25" spans="1:13">
      <c r="A25" s="1">
        <v>23</v>
      </c>
      <c r="B25" s="71" t="s">
        <v>1118</v>
      </c>
      <c r="C25" s="5">
        <v>568110924</v>
      </c>
      <c r="D25" s="5">
        <v>199</v>
      </c>
      <c r="E25" s="5" t="s">
        <v>12</v>
      </c>
      <c r="F25" s="42">
        <v>44813</v>
      </c>
      <c r="G25" s="5" t="s">
        <v>839</v>
      </c>
      <c r="H25" s="1"/>
      <c r="I25" s="5">
        <v>1.49240763</v>
      </c>
      <c r="J25" s="5">
        <v>68555581</v>
      </c>
      <c r="K25" s="5"/>
      <c r="L25" s="1"/>
      <c r="M25" s="1"/>
    </row>
    <row r="26" spans="1:13">
      <c r="A26" s="1">
        <v>24</v>
      </c>
      <c r="B26" s="71" t="s">
        <v>1119</v>
      </c>
      <c r="C26" s="5">
        <v>554332025</v>
      </c>
      <c r="D26" s="5">
        <v>199</v>
      </c>
      <c r="E26" s="5" t="s">
        <v>12</v>
      </c>
      <c r="F26" s="42">
        <v>44814</v>
      </c>
      <c r="G26" s="5" t="s">
        <v>839</v>
      </c>
      <c r="H26" s="1"/>
      <c r="I26" s="5">
        <v>1.2856105</v>
      </c>
      <c r="J26" s="5">
        <v>68584145</v>
      </c>
      <c r="K26" s="5" t="s">
        <v>176</v>
      </c>
      <c r="L26" s="1"/>
      <c r="M26" s="1"/>
    </row>
    <row r="27" spans="1:13">
      <c r="A27" s="1">
        <v>25</v>
      </c>
      <c r="B27" s="71" t="s">
        <v>1120</v>
      </c>
      <c r="C27" s="5">
        <v>509185202</v>
      </c>
      <c r="D27" s="5">
        <v>199</v>
      </c>
      <c r="E27" s="5" t="s">
        <v>674</v>
      </c>
      <c r="F27" s="42">
        <v>44814</v>
      </c>
      <c r="G27" s="5" t="s">
        <v>839</v>
      </c>
      <c r="H27" s="1"/>
      <c r="I27" s="5">
        <v>1.49265209</v>
      </c>
      <c r="J27" s="5">
        <v>68600985</v>
      </c>
      <c r="K27" s="5"/>
      <c r="L27" s="1"/>
      <c r="M27" s="1"/>
    </row>
    <row r="28" spans="1:13">
      <c r="A28" s="1">
        <v>26</v>
      </c>
      <c r="B28" s="71" t="s">
        <v>1121</v>
      </c>
      <c r="C28" s="5">
        <v>564810104</v>
      </c>
      <c r="D28" s="5">
        <v>199</v>
      </c>
      <c r="E28" s="5" t="s">
        <v>12</v>
      </c>
      <c r="F28" s="42">
        <v>44814</v>
      </c>
      <c r="G28" s="5" t="s">
        <v>839</v>
      </c>
      <c r="H28" s="1"/>
      <c r="I28" s="5">
        <v>1.4926336099999999</v>
      </c>
      <c r="J28" s="5">
        <v>68596354</v>
      </c>
      <c r="K28" s="5"/>
      <c r="L28" s="1"/>
      <c r="M28" s="1"/>
    </row>
    <row r="29" spans="1:13">
      <c r="A29" s="1">
        <v>27</v>
      </c>
      <c r="B29" s="71" t="s">
        <v>1122</v>
      </c>
      <c r="C29" s="5">
        <v>508594809</v>
      </c>
      <c r="D29" s="5">
        <v>199</v>
      </c>
      <c r="E29" s="5" t="s">
        <v>12</v>
      </c>
      <c r="F29" s="42">
        <v>44814</v>
      </c>
      <c r="G29" s="5" t="s">
        <v>839</v>
      </c>
      <c r="H29" s="1"/>
      <c r="I29" s="5">
        <v>1.3926500100000001</v>
      </c>
      <c r="J29" s="5">
        <v>68643498</v>
      </c>
      <c r="K29" s="5" t="s">
        <v>176</v>
      </c>
      <c r="L29" s="1"/>
      <c r="M29" s="1"/>
    </row>
    <row r="30" spans="1:13">
      <c r="A30" s="1">
        <v>28</v>
      </c>
      <c r="B30" s="71" t="s">
        <v>1123</v>
      </c>
      <c r="C30" s="5">
        <v>555949945</v>
      </c>
      <c r="D30" s="5">
        <v>299</v>
      </c>
      <c r="E30" s="5" t="s">
        <v>12</v>
      </c>
      <c r="F30" s="42">
        <v>44816</v>
      </c>
      <c r="G30" s="5" t="s">
        <v>839</v>
      </c>
      <c r="H30" s="1"/>
      <c r="I30" s="5">
        <v>1.2633767300000001</v>
      </c>
      <c r="J30" s="5">
        <v>68658390</v>
      </c>
      <c r="K30" s="5" t="s">
        <v>385</v>
      </c>
      <c r="L30" s="1"/>
      <c r="M30" s="1"/>
    </row>
    <row r="31" spans="1:13">
      <c r="A31" s="1">
        <v>29</v>
      </c>
      <c r="B31" s="71" t="s">
        <v>1124</v>
      </c>
      <c r="C31" s="5">
        <v>564504787</v>
      </c>
      <c r="D31" s="5">
        <v>199</v>
      </c>
      <c r="E31" s="5" t="s">
        <v>12</v>
      </c>
      <c r="F31" s="42">
        <v>44816</v>
      </c>
      <c r="G31" s="5" t="s">
        <v>839</v>
      </c>
      <c r="H31" s="1"/>
      <c r="I31" s="5">
        <v>1.49282895</v>
      </c>
      <c r="J31" s="5">
        <v>68626533</v>
      </c>
      <c r="K31" s="5" t="s">
        <v>1163</v>
      </c>
      <c r="L31" s="1"/>
      <c r="M31" s="1"/>
    </row>
    <row r="32" spans="1:13">
      <c r="A32" s="1">
        <v>30</v>
      </c>
      <c r="B32" s="71" t="s">
        <v>1125</v>
      </c>
      <c r="C32" s="5">
        <v>504959885</v>
      </c>
      <c r="D32" s="5">
        <v>299</v>
      </c>
      <c r="E32" s="5" t="s">
        <v>12</v>
      </c>
      <c r="F32" s="42">
        <v>44816</v>
      </c>
      <c r="G32" s="5" t="s">
        <v>839</v>
      </c>
      <c r="H32" s="1"/>
      <c r="I32" s="5">
        <v>1.4928361999999999</v>
      </c>
      <c r="J32" s="5">
        <v>68627682</v>
      </c>
      <c r="K32" s="5" t="s">
        <v>1163</v>
      </c>
      <c r="L32" s="1"/>
      <c r="M32" s="1"/>
    </row>
    <row r="33" spans="1:13">
      <c r="A33" s="1">
        <v>31</v>
      </c>
      <c r="B33" s="71" t="s">
        <v>1126</v>
      </c>
      <c r="C33" s="5">
        <v>563106953</v>
      </c>
      <c r="D33" s="5">
        <v>199</v>
      </c>
      <c r="E33" s="5" t="s">
        <v>12</v>
      </c>
      <c r="F33" s="42">
        <v>44816</v>
      </c>
      <c r="G33" s="5" t="s">
        <v>839</v>
      </c>
      <c r="H33" s="1"/>
      <c r="I33" s="5">
        <v>1.4928220800000001</v>
      </c>
      <c r="J33" s="5">
        <v>68624420</v>
      </c>
      <c r="K33" s="5"/>
      <c r="L33" s="1"/>
      <c r="M33" s="1"/>
    </row>
    <row r="34" spans="1:13">
      <c r="A34" s="1">
        <v>32</v>
      </c>
      <c r="B34" s="71" t="s">
        <v>1127</v>
      </c>
      <c r="C34" s="5">
        <v>525661389</v>
      </c>
      <c r="D34" s="5">
        <v>199</v>
      </c>
      <c r="E34" s="5" t="s">
        <v>12</v>
      </c>
      <c r="F34" s="42">
        <v>44816</v>
      </c>
      <c r="G34" s="5" t="s">
        <v>839</v>
      </c>
      <c r="H34" s="1"/>
      <c r="I34" s="5">
        <v>1.4927897000000001</v>
      </c>
      <c r="J34" s="5">
        <v>68615965</v>
      </c>
      <c r="K34" s="5" t="s">
        <v>176</v>
      </c>
      <c r="L34" s="1"/>
      <c r="M34" s="1"/>
    </row>
    <row r="35" spans="1:13">
      <c r="A35" s="1">
        <v>33</v>
      </c>
      <c r="B35" s="71" t="s">
        <v>1128</v>
      </c>
      <c r="C35" s="5">
        <v>558793216</v>
      </c>
      <c r="D35" s="5">
        <v>199</v>
      </c>
      <c r="E35" s="5" t="s">
        <v>674</v>
      </c>
      <c r="F35" s="42">
        <v>44816</v>
      </c>
      <c r="G35" s="5" t="s">
        <v>839</v>
      </c>
      <c r="H35" s="1"/>
      <c r="I35" s="5">
        <v>1.49280287</v>
      </c>
      <c r="J35" s="5">
        <v>68619629</v>
      </c>
      <c r="K35" s="5"/>
      <c r="L35" s="1"/>
      <c r="M35" s="1"/>
    </row>
    <row r="36" spans="1:13">
      <c r="A36" s="14">
        <v>34</v>
      </c>
      <c r="B36" s="136" t="s">
        <v>1129</v>
      </c>
      <c r="C36" s="10">
        <v>508891590</v>
      </c>
      <c r="D36" s="10">
        <v>299</v>
      </c>
      <c r="E36" s="10" t="s">
        <v>674</v>
      </c>
      <c r="F36" s="11">
        <v>44816</v>
      </c>
      <c r="G36" s="10" t="s">
        <v>839</v>
      </c>
      <c r="H36" s="14" t="s">
        <v>903</v>
      </c>
      <c r="I36" s="10">
        <v>1.49281565</v>
      </c>
      <c r="J36" s="10">
        <v>68623987</v>
      </c>
      <c r="K36" s="10"/>
      <c r="L36" s="1"/>
      <c r="M36" s="1"/>
    </row>
    <row r="37" spans="1:13">
      <c r="A37" s="1">
        <v>35</v>
      </c>
      <c r="B37" s="71" t="s">
        <v>1130</v>
      </c>
      <c r="C37" s="5">
        <v>506795841</v>
      </c>
      <c r="D37" s="5">
        <v>199</v>
      </c>
      <c r="E37" s="5" t="s">
        <v>12</v>
      </c>
      <c r="F37" s="42">
        <v>44816</v>
      </c>
      <c r="G37" s="5" t="s">
        <v>839</v>
      </c>
      <c r="H37" s="1"/>
      <c r="I37" s="5">
        <v>1.4837651999999999</v>
      </c>
      <c r="J37" s="5">
        <v>68642905</v>
      </c>
      <c r="K37" s="5"/>
      <c r="L37" s="1"/>
      <c r="M37" s="1"/>
    </row>
    <row r="38" spans="1:13">
      <c r="A38" s="1">
        <v>36</v>
      </c>
      <c r="B38" s="71" t="s">
        <v>1131</v>
      </c>
      <c r="C38" s="5">
        <v>525467653</v>
      </c>
      <c r="D38" s="5">
        <v>299</v>
      </c>
      <c r="E38" s="5" t="s">
        <v>12</v>
      </c>
      <c r="F38" s="42">
        <v>44817</v>
      </c>
      <c r="G38" s="5" t="s">
        <v>839</v>
      </c>
      <c r="H38" s="1"/>
      <c r="I38" s="5">
        <v>1.49326274</v>
      </c>
      <c r="J38" s="5">
        <v>68685118</v>
      </c>
      <c r="K38" s="5" t="s">
        <v>176</v>
      </c>
      <c r="L38" s="1"/>
      <c r="M38" s="1"/>
    </row>
    <row r="39" spans="1:13">
      <c r="A39" s="1">
        <v>37</v>
      </c>
      <c r="B39" s="71" t="s">
        <v>1132</v>
      </c>
      <c r="C39" s="5">
        <v>586295619</v>
      </c>
      <c r="D39" s="5">
        <v>199</v>
      </c>
      <c r="E39" s="5" t="s">
        <v>1133</v>
      </c>
      <c r="F39" s="42">
        <v>44818</v>
      </c>
      <c r="G39" s="5" t="s">
        <v>839</v>
      </c>
      <c r="H39" s="1"/>
      <c r="I39" s="5">
        <v>1.4934079099999999</v>
      </c>
      <c r="J39" s="5">
        <v>68700473</v>
      </c>
      <c r="K39" s="5"/>
      <c r="L39" s="1"/>
      <c r="M39" s="1"/>
    </row>
    <row r="40" spans="1:13">
      <c r="A40" s="1">
        <v>38</v>
      </c>
      <c r="B40" s="71" t="s">
        <v>1134</v>
      </c>
      <c r="C40" s="5">
        <v>504344888</v>
      </c>
      <c r="D40" s="5">
        <v>199</v>
      </c>
      <c r="E40" s="5" t="s">
        <v>674</v>
      </c>
      <c r="F40" s="42">
        <v>44818</v>
      </c>
      <c r="G40" s="5" t="s">
        <v>839</v>
      </c>
      <c r="H40" s="1"/>
      <c r="I40" s="5">
        <v>1.36010228</v>
      </c>
      <c r="J40" s="5">
        <v>68703154</v>
      </c>
      <c r="K40" s="5"/>
      <c r="L40" s="1"/>
      <c r="M40" s="1"/>
    </row>
    <row r="41" spans="1:13">
      <c r="A41" s="1">
        <v>39</v>
      </c>
      <c r="B41" s="71" t="s">
        <v>1135</v>
      </c>
      <c r="C41" s="5">
        <v>503964117</v>
      </c>
      <c r="D41" s="5">
        <v>199</v>
      </c>
      <c r="E41" s="5" t="s">
        <v>12</v>
      </c>
      <c r="F41" s="42">
        <v>44821</v>
      </c>
      <c r="G41" s="5" t="s">
        <v>839</v>
      </c>
      <c r="H41" s="1"/>
      <c r="I41" s="5">
        <v>1.49403372</v>
      </c>
      <c r="J41" s="5">
        <v>68781992</v>
      </c>
      <c r="K41" s="5" t="s">
        <v>466</v>
      </c>
      <c r="L41" s="1"/>
      <c r="M41" s="1"/>
    </row>
    <row r="42" spans="1:13">
      <c r="A42" s="1">
        <v>40</v>
      </c>
      <c r="B42" s="71" t="s">
        <v>1136</v>
      </c>
      <c r="C42" s="5">
        <v>524904418</v>
      </c>
      <c r="D42" s="5">
        <v>199</v>
      </c>
      <c r="E42" s="5" t="s">
        <v>12</v>
      </c>
      <c r="F42" s="42">
        <v>44821</v>
      </c>
      <c r="G42" s="5" t="s">
        <v>839</v>
      </c>
      <c r="H42" s="1"/>
      <c r="I42" s="5">
        <v>1.49382053</v>
      </c>
      <c r="J42" s="5">
        <v>68750594</v>
      </c>
      <c r="K42" s="5" t="s">
        <v>1162</v>
      </c>
      <c r="L42" s="1"/>
      <c r="M42" s="1"/>
    </row>
    <row r="43" spans="1:13">
      <c r="A43" s="1">
        <v>41</v>
      </c>
      <c r="B43" s="71" t="s">
        <v>1137</v>
      </c>
      <c r="C43" s="5">
        <v>50198811</v>
      </c>
      <c r="D43" s="5">
        <v>199</v>
      </c>
      <c r="E43" s="5" t="s">
        <v>12</v>
      </c>
      <c r="F43" s="42">
        <v>44822</v>
      </c>
      <c r="G43" s="5" t="s">
        <v>839</v>
      </c>
      <c r="H43" s="1"/>
      <c r="I43" s="5">
        <v>1.4943000900000001</v>
      </c>
      <c r="J43" s="5">
        <v>68828883</v>
      </c>
      <c r="K43" s="5"/>
      <c r="L43" s="1"/>
      <c r="M43" s="1"/>
    </row>
    <row r="44" spans="1:13">
      <c r="A44" s="1">
        <v>42</v>
      </c>
      <c r="B44" s="141" t="s">
        <v>1138</v>
      </c>
      <c r="C44" s="139">
        <v>503781428</v>
      </c>
      <c r="D44" s="139">
        <v>299</v>
      </c>
      <c r="E44" s="139" t="s">
        <v>12</v>
      </c>
      <c r="F44" s="140">
        <v>44822</v>
      </c>
      <c r="G44" s="139" t="s">
        <v>839</v>
      </c>
      <c r="H44" s="137" t="s">
        <v>1331</v>
      </c>
      <c r="I44" s="139">
        <v>1.4942291599999999</v>
      </c>
      <c r="J44" s="139">
        <v>68810554</v>
      </c>
      <c r="K44" s="5"/>
      <c r="L44" s="1"/>
      <c r="M44" s="1"/>
    </row>
    <row r="45" spans="1:13">
      <c r="A45" s="1">
        <v>43</v>
      </c>
      <c r="B45" s="71" t="s">
        <v>1139</v>
      </c>
      <c r="C45" s="5">
        <v>557566690</v>
      </c>
      <c r="D45" s="5">
        <v>299</v>
      </c>
      <c r="E45" s="5" t="s">
        <v>12</v>
      </c>
      <c r="F45" s="42">
        <v>44823</v>
      </c>
      <c r="G45" s="5" t="s">
        <v>839</v>
      </c>
      <c r="H45" s="1"/>
      <c r="I45" s="5">
        <v>1.49443854</v>
      </c>
      <c r="J45" s="5">
        <v>68841258</v>
      </c>
      <c r="K45" s="5" t="s">
        <v>176</v>
      </c>
      <c r="L45" s="1"/>
      <c r="M45" s="1"/>
    </row>
    <row r="46" spans="1:13">
      <c r="A46" s="1">
        <v>44</v>
      </c>
      <c r="B46" s="71" t="s">
        <v>1140</v>
      </c>
      <c r="C46" s="5">
        <v>507026602</v>
      </c>
      <c r="D46" s="5">
        <v>199</v>
      </c>
      <c r="E46" s="5" t="s">
        <v>12</v>
      </c>
      <c r="F46" s="42">
        <v>44823</v>
      </c>
      <c r="G46" s="5" t="s">
        <v>839</v>
      </c>
      <c r="H46" s="1"/>
      <c r="I46" s="5">
        <v>1.4944745800000001</v>
      </c>
      <c r="J46" s="5">
        <v>68849307</v>
      </c>
      <c r="K46" s="5" t="s">
        <v>385</v>
      </c>
      <c r="L46" s="1"/>
      <c r="M46" s="1"/>
    </row>
    <row r="47" spans="1:13">
      <c r="A47" s="1">
        <v>45</v>
      </c>
      <c r="B47" s="71" t="s">
        <v>1141</v>
      </c>
      <c r="C47" s="5">
        <v>552720183</v>
      </c>
      <c r="D47" s="5">
        <v>199</v>
      </c>
      <c r="E47" s="5" t="s">
        <v>12</v>
      </c>
      <c r="F47" s="42">
        <v>44823</v>
      </c>
      <c r="G47" s="5" t="s">
        <v>839</v>
      </c>
      <c r="H47" s="1"/>
      <c r="I47" s="5">
        <v>1.4945057799999999</v>
      </c>
      <c r="J47" s="5">
        <v>68855664</v>
      </c>
      <c r="K47" s="5"/>
      <c r="L47" s="1"/>
      <c r="M47" s="1"/>
    </row>
    <row r="48" spans="1:13">
      <c r="A48" s="1">
        <v>46</v>
      </c>
      <c r="B48" s="71" t="s">
        <v>1142</v>
      </c>
      <c r="C48" s="5"/>
      <c r="D48" s="5">
        <v>199</v>
      </c>
      <c r="E48" s="5" t="s">
        <v>12</v>
      </c>
      <c r="F48" s="42">
        <v>44823</v>
      </c>
      <c r="G48" s="5" t="s">
        <v>839</v>
      </c>
      <c r="H48" s="1"/>
      <c r="I48" s="72" t="s">
        <v>1143</v>
      </c>
      <c r="J48" s="5">
        <v>68844428</v>
      </c>
      <c r="K48" s="5"/>
      <c r="L48" s="1"/>
      <c r="M48" s="1"/>
    </row>
    <row r="49" spans="1:13">
      <c r="A49" s="1">
        <v>47</v>
      </c>
      <c r="B49" s="71" t="s">
        <v>1144</v>
      </c>
      <c r="C49" s="5">
        <v>525393938</v>
      </c>
      <c r="D49" s="5">
        <v>299</v>
      </c>
      <c r="E49" s="5" t="s">
        <v>12</v>
      </c>
      <c r="F49" s="42">
        <v>44825</v>
      </c>
      <c r="G49" s="5" t="s">
        <v>839</v>
      </c>
      <c r="H49" s="1"/>
      <c r="I49" s="5">
        <v>1.49489462</v>
      </c>
      <c r="J49" s="5">
        <v>68911649</v>
      </c>
      <c r="K49" s="5" t="s">
        <v>176</v>
      </c>
      <c r="L49" s="1"/>
      <c r="M49" s="1"/>
    </row>
    <row r="50" spans="1:13">
      <c r="A50" s="1">
        <v>48</v>
      </c>
      <c r="B50" s="71" t="s">
        <v>1144</v>
      </c>
      <c r="C50" s="5">
        <v>525393938</v>
      </c>
      <c r="D50" s="5">
        <v>299</v>
      </c>
      <c r="E50" s="5" t="s">
        <v>12</v>
      </c>
      <c r="F50" s="42">
        <v>44825</v>
      </c>
      <c r="G50" s="5" t="s">
        <v>839</v>
      </c>
      <c r="H50" s="1"/>
      <c r="I50" s="5">
        <v>1.49489462</v>
      </c>
      <c r="J50" s="5">
        <v>68912177</v>
      </c>
      <c r="K50" s="5" t="s">
        <v>176</v>
      </c>
      <c r="L50" s="1"/>
      <c r="M50" s="1"/>
    </row>
    <row r="51" spans="1:13">
      <c r="A51" s="1">
        <v>49</v>
      </c>
      <c r="B51" s="136" t="s">
        <v>1145</v>
      </c>
      <c r="C51" s="10">
        <v>588206269</v>
      </c>
      <c r="D51" s="10">
        <v>199</v>
      </c>
      <c r="E51" s="10" t="s">
        <v>12</v>
      </c>
      <c r="F51" s="11">
        <v>44825</v>
      </c>
      <c r="G51" s="10" t="s">
        <v>839</v>
      </c>
      <c r="H51" s="10" t="s">
        <v>903</v>
      </c>
      <c r="I51" s="10">
        <v>1.4087143799999999</v>
      </c>
      <c r="J51" s="10">
        <v>68917786</v>
      </c>
      <c r="K51" s="10" t="s">
        <v>385</v>
      </c>
      <c r="L51" s="1"/>
      <c r="M51" s="1"/>
    </row>
    <row r="52" spans="1:13">
      <c r="A52" s="1">
        <v>50</v>
      </c>
      <c r="B52" s="98" t="s">
        <v>1146</v>
      </c>
      <c r="C52" s="53">
        <v>503824595</v>
      </c>
      <c r="D52" s="53">
        <v>299</v>
      </c>
      <c r="E52" s="53" t="s">
        <v>12</v>
      </c>
      <c r="F52" s="54">
        <v>44825</v>
      </c>
      <c r="G52" s="53" t="s">
        <v>839</v>
      </c>
      <c r="H52" s="55" t="s">
        <v>1330</v>
      </c>
      <c r="I52" s="53">
        <v>1.4248304899999999</v>
      </c>
      <c r="J52" s="53">
        <v>68917986</v>
      </c>
      <c r="K52" s="5"/>
      <c r="L52" s="1"/>
      <c r="M52" s="1"/>
    </row>
    <row r="53" spans="1:13">
      <c r="A53" s="1">
        <v>51</v>
      </c>
      <c r="B53" s="71" t="s">
        <v>1147</v>
      </c>
      <c r="C53" s="5">
        <v>544281309</v>
      </c>
      <c r="D53" s="5">
        <v>199</v>
      </c>
      <c r="E53" s="5" t="s">
        <v>12</v>
      </c>
      <c r="F53" s="42">
        <v>44829</v>
      </c>
      <c r="G53" s="5" t="s">
        <v>839</v>
      </c>
      <c r="H53" s="1"/>
      <c r="I53" s="5">
        <v>1.4957749300000001</v>
      </c>
      <c r="J53" s="5">
        <v>69016112</v>
      </c>
      <c r="K53" s="5" t="s">
        <v>1162</v>
      </c>
      <c r="L53" s="1"/>
      <c r="M53" s="1"/>
    </row>
    <row r="54" spans="1:13">
      <c r="A54" s="1">
        <v>52</v>
      </c>
      <c r="B54" s="71" t="s">
        <v>1122</v>
      </c>
      <c r="C54" s="5">
        <v>508594809</v>
      </c>
      <c r="D54" s="5">
        <v>199</v>
      </c>
      <c r="E54" s="5" t="s">
        <v>12</v>
      </c>
      <c r="F54" s="42">
        <v>44830</v>
      </c>
      <c r="G54" s="5" t="s">
        <v>839</v>
      </c>
      <c r="H54" s="1"/>
      <c r="I54" s="5">
        <v>1.3926500100000001</v>
      </c>
      <c r="J54" s="5">
        <v>69033792</v>
      </c>
      <c r="K54" s="5" t="s">
        <v>176</v>
      </c>
      <c r="L54" s="1"/>
      <c r="M54" s="1"/>
    </row>
    <row r="55" spans="1:13">
      <c r="A55" s="1">
        <v>53</v>
      </c>
      <c r="B55" s="71" t="s">
        <v>1148</v>
      </c>
      <c r="C55" s="5">
        <v>547056136</v>
      </c>
      <c r="D55" s="5">
        <v>299</v>
      </c>
      <c r="E55" s="5" t="s">
        <v>12</v>
      </c>
      <c r="F55" s="42">
        <v>44830</v>
      </c>
      <c r="G55" s="5" t="s">
        <v>839</v>
      </c>
      <c r="H55" s="1"/>
      <c r="I55" s="5">
        <v>1.4960947</v>
      </c>
      <c r="J55" s="5">
        <v>69065914</v>
      </c>
      <c r="K55" s="5" t="s">
        <v>1163</v>
      </c>
      <c r="L55" s="1"/>
      <c r="M55" s="1"/>
    </row>
    <row r="56" spans="1:13">
      <c r="A56" s="1">
        <v>54</v>
      </c>
      <c r="B56" s="71" t="s">
        <v>1149</v>
      </c>
      <c r="C56" s="5">
        <v>509576439</v>
      </c>
      <c r="D56" s="5">
        <v>199</v>
      </c>
      <c r="E56" s="5" t="s">
        <v>12</v>
      </c>
      <c r="F56" s="42">
        <v>44830</v>
      </c>
      <c r="G56" s="5" t="s">
        <v>839</v>
      </c>
      <c r="H56" s="1"/>
      <c r="I56" s="5">
        <v>1.49581202</v>
      </c>
      <c r="J56" s="5">
        <v>69026235</v>
      </c>
      <c r="K56" s="5" t="s">
        <v>1163</v>
      </c>
      <c r="L56" s="1"/>
      <c r="M56" s="1"/>
    </row>
    <row r="57" spans="1:13">
      <c r="A57" s="1">
        <v>55</v>
      </c>
      <c r="B57" s="71" t="s">
        <v>1150</v>
      </c>
      <c r="C57" s="5">
        <v>561901714</v>
      </c>
      <c r="D57" s="5">
        <v>199</v>
      </c>
      <c r="E57" s="5" t="s">
        <v>12</v>
      </c>
      <c r="F57" s="42">
        <v>44830</v>
      </c>
      <c r="G57" s="5" t="s">
        <v>839</v>
      </c>
      <c r="H57" s="1"/>
      <c r="I57" s="5">
        <v>1.49583545</v>
      </c>
      <c r="J57" s="5">
        <v>69031223</v>
      </c>
      <c r="K57" s="5"/>
      <c r="L57" s="1"/>
      <c r="M57" s="1"/>
    </row>
    <row r="58" spans="1:13">
      <c r="A58" s="1">
        <v>56</v>
      </c>
      <c r="B58" s="71" t="s">
        <v>1151</v>
      </c>
      <c r="C58" s="5">
        <v>504331661</v>
      </c>
      <c r="D58" s="5">
        <v>199</v>
      </c>
      <c r="E58" s="5" t="s">
        <v>674</v>
      </c>
      <c r="F58" s="42">
        <v>44830</v>
      </c>
      <c r="G58" s="5" t="s">
        <v>839</v>
      </c>
      <c r="H58" s="1"/>
      <c r="I58" s="5">
        <v>1.33145208</v>
      </c>
      <c r="J58" s="5">
        <v>69062757</v>
      </c>
      <c r="K58" s="5" t="s">
        <v>176</v>
      </c>
      <c r="L58" s="1"/>
      <c r="M58" s="1"/>
    </row>
    <row r="59" spans="1:13">
      <c r="A59" s="1">
        <v>57</v>
      </c>
      <c r="B59" s="71" t="s">
        <v>1152</v>
      </c>
      <c r="C59" s="5">
        <v>505252486</v>
      </c>
      <c r="D59" s="5">
        <v>199</v>
      </c>
      <c r="E59" s="5" t="s">
        <v>12</v>
      </c>
      <c r="F59" s="42">
        <v>44830</v>
      </c>
      <c r="G59" s="5" t="s">
        <v>839</v>
      </c>
      <c r="H59" s="1"/>
      <c r="I59" s="5">
        <v>1.4959949299999999</v>
      </c>
      <c r="J59" s="5">
        <v>69044460</v>
      </c>
      <c r="K59" s="5" t="s">
        <v>385</v>
      </c>
      <c r="L59" s="1"/>
      <c r="M59" s="1"/>
    </row>
    <row r="60" spans="1:13">
      <c r="A60" s="1">
        <v>58</v>
      </c>
      <c r="B60" s="71" t="s">
        <v>1153</v>
      </c>
      <c r="C60" s="5">
        <v>545893386</v>
      </c>
      <c r="D60" s="5">
        <v>199</v>
      </c>
      <c r="E60" s="5" t="s">
        <v>12</v>
      </c>
      <c r="F60" s="42">
        <v>44831</v>
      </c>
      <c r="G60" s="5" t="s">
        <v>839</v>
      </c>
      <c r="H60" s="1"/>
      <c r="I60" s="5">
        <v>1.4960781400000001</v>
      </c>
      <c r="J60" s="5">
        <v>69065063</v>
      </c>
      <c r="K60" s="5" t="s">
        <v>466</v>
      </c>
      <c r="L60" s="1"/>
      <c r="M60" s="1"/>
    </row>
    <row r="61" spans="1:13">
      <c r="A61" s="1">
        <v>59</v>
      </c>
      <c r="B61" s="71" t="s">
        <v>1154</v>
      </c>
      <c r="C61" s="5">
        <v>565721095</v>
      </c>
      <c r="D61" s="5">
        <v>199</v>
      </c>
      <c r="E61" s="5" t="s">
        <v>12</v>
      </c>
      <c r="F61" s="42">
        <v>44831</v>
      </c>
      <c r="G61" s="5" t="s">
        <v>839</v>
      </c>
      <c r="H61" s="1"/>
      <c r="I61" s="5">
        <v>1.4966646299999999</v>
      </c>
      <c r="J61" s="5">
        <v>69150267</v>
      </c>
      <c r="K61" s="5" t="s">
        <v>1162</v>
      </c>
      <c r="L61" s="1"/>
      <c r="M61" s="1"/>
    </row>
    <row r="62" spans="1:13">
      <c r="A62" s="1">
        <v>60</v>
      </c>
      <c r="B62" s="71" t="s">
        <v>1155</v>
      </c>
      <c r="C62" s="5">
        <v>501426301</v>
      </c>
      <c r="D62" s="5">
        <v>199</v>
      </c>
      <c r="E62" s="5" t="s">
        <v>12</v>
      </c>
      <c r="F62" s="42">
        <v>44831</v>
      </c>
      <c r="G62" s="5" t="s">
        <v>839</v>
      </c>
      <c r="H62" s="1"/>
      <c r="I62" s="5">
        <v>1.4966510900000001</v>
      </c>
      <c r="J62" s="5">
        <v>69145613</v>
      </c>
      <c r="K62" s="5" t="s">
        <v>385</v>
      </c>
      <c r="L62" s="1"/>
      <c r="M62" s="1"/>
    </row>
    <row r="63" spans="1:13">
      <c r="A63" s="1">
        <v>61</v>
      </c>
      <c r="B63" s="71" t="s">
        <v>1156</v>
      </c>
      <c r="C63" s="5">
        <v>554326726</v>
      </c>
      <c r="D63" s="5">
        <v>199</v>
      </c>
      <c r="E63" s="5" t="s">
        <v>12</v>
      </c>
      <c r="F63" s="42">
        <v>44831</v>
      </c>
      <c r="G63" s="5" t="s">
        <v>839</v>
      </c>
      <c r="H63" s="1"/>
      <c r="I63" s="5">
        <v>1.49668238</v>
      </c>
      <c r="J63" s="5">
        <v>69155121</v>
      </c>
      <c r="K63" s="5"/>
      <c r="L63" s="1"/>
      <c r="M63" s="1"/>
    </row>
    <row r="64" spans="1:13">
      <c r="A64" s="1">
        <v>62</v>
      </c>
      <c r="B64" s="71" t="s">
        <v>1157</v>
      </c>
      <c r="C64" s="5">
        <v>526255492</v>
      </c>
      <c r="D64" s="5">
        <v>199</v>
      </c>
      <c r="E64" s="5" t="s">
        <v>12</v>
      </c>
      <c r="F64" s="42">
        <v>44832</v>
      </c>
      <c r="G64" s="5" t="s">
        <v>839</v>
      </c>
      <c r="H64" s="1"/>
      <c r="I64" s="5">
        <v>1.49684079</v>
      </c>
      <c r="J64" s="5">
        <v>69174564</v>
      </c>
      <c r="K64" s="5" t="s">
        <v>1162</v>
      </c>
      <c r="L64" s="1"/>
      <c r="M64" s="1"/>
    </row>
    <row r="65" spans="1:13">
      <c r="A65" s="1">
        <v>63</v>
      </c>
      <c r="B65" s="71" t="s">
        <v>1158</v>
      </c>
      <c r="C65" s="5">
        <v>544590172</v>
      </c>
      <c r="D65" s="5">
        <v>199</v>
      </c>
      <c r="E65" s="5" t="s">
        <v>12</v>
      </c>
      <c r="F65" s="42">
        <v>44834</v>
      </c>
      <c r="G65" s="5" t="s">
        <v>839</v>
      </c>
      <c r="H65" s="1"/>
      <c r="I65" s="5">
        <v>1.49729668</v>
      </c>
      <c r="J65" s="5">
        <v>69233914</v>
      </c>
      <c r="K65" s="5"/>
      <c r="L65" s="1"/>
      <c r="M65" s="1"/>
    </row>
  </sheetData>
  <autoFilter ref="A2:M65" xr:uid="{00000000-0009-0000-0000-00000B000000}"/>
  <mergeCells count="1">
    <mergeCell ref="A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65"/>
  <sheetViews>
    <sheetView workbookViewId="0">
      <selection activeCell="C3" sqref="C3"/>
    </sheetView>
  </sheetViews>
  <sheetFormatPr defaultRowHeight="14.5"/>
  <cols>
    <col min="1" max="1" width="4.453125" bestFit="1" customWidth="1"/>
    <col min="2" max="2" width="41.54296875" bestFit="1" customWidth="1"/>
    <col min="3" max="3" width="25" bestFit="1" customWidth="1"/>
    <col min="4" max="4" width="13.81640625" bestFit="1" customWidth="1"/>
    <col min="5" max="5" width="12.453125" bestFit="1" customWidth="1"/>
    <col min="6" max="6" width="15.81640625" bestFit="1" customWidth="1"/>
    <col min="7" max="7" width="16.453125" bestFit="1" customWidth="1"/>
    <col min="8" max="8" width="16.7265625" customWidth="1"/>
    <col min="9" max="9" width="20.54296875" bestFit="1" customWidth="1"/>
    <col min="10" max="10" width="9" bestFit="1" customWidth="1"/>
    <col min="11" max="11" width="7.54296875" bestFit="1" customWidth="1"/>
    <col min="12" max="12" width="17" bestFit="1" customWidth="1"/>
    <col min="13" max="13" width="16.453125" bestFit="1" customWidth="1"/>
  </cols>
  <sheetData>
    <row r="1" spans="1:13" ht="46">
      <c r="A1" s="622" t="s">
        <v>40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</row>
    <row r="2" spans="1:13" ht="15.5">
      <c r="A2" s="2" t="s">
        <v>0</v>
      </c>
      <c r="B2" s="38" t="s">
        <v>1</v>
      </c>
      <c r="C2" s="38" t="s">
        <v>2</v>
      </c>
      <c r="D2" s="38" t="s">
        <v>3</v>
      </c>
      <c r="E2" s="38" t="s">
        <v>4</v>
      </c>
      <c r="F2" s="38" t="s">
        <v>6</v>
      </c>
      <c r="G2" s="38" t="s">
        <v>8</v>
      </c>
      <c r="H2" s="38" t="s">
        <v>9</v>
      </c>
      <c r="I2" s="38" t="s">
        <v>901</v>
      </c>
      <c r="J2" s="38" t="s">
        <v>293</v>
      </c>
      <c r="K2" s="38" t="s">
        <v>321</v>
      </c>
      <c r="L2" s="38" t="s">
        <v>327</v>
      </c>
      <c r="M2" s="38" t="s">
        <v>243</v>
      </c>
    </row>
    <row r="3" spans="1:13">
      <c r="A3" s="1">
        <v>1</v>
      </c>
      <c r="B3" s="71" t="s">
        <v>1165</v>
      </c>
      <c r="C3" s="5">
        <v>544590172</v>
      </c>
      <c r="D3" s="5">
        <v>199</v>
      </c>
      <c r="E3" s="99" t="s">
        <v>12</v>
      </c>
      <c r="F3" s="42">
        <v>44836</v>
      </c>
      <c r="G3" s="5" t="s">
        <v>839</v>
      </c>
      <c r="H3" s="5"/>
      <c r="I3" s="43">
        <v>1.49729668</v>
      </c>
      <c r="J3" s="43">
        <v>69233914</v>
      </c>
      <c r="K3" s="5"/>
      <c r="L3" s="5"/>
      <c r="M3" s="1"/>
    </row>
    <row r="4" spans="1:13">
      <c r="A4" s="1">
        <v>2</v>
      </c>
      <c r="B4" s="71" t="s">
        <v>1166</v>
      </c>
      <c r="C4" s="5">
        <v>504843851</v>
      </c>
      <c r="D4" s="5">
        <v>199</v>
      </c>
      <c r="E4" s="99" t="s">
        <v>61</v>
      </c>
      <c r="F4" s="42">
        <v>44836</v>
      </c>
      <c r="G4" s="5" t="s">
        <v>839</v>
      </c>
      <c r="H4" s="5"/>
      <c r="I4" s="5">
        <v>1.49735401</v>
      </c>
      <c r="J4" s="5">
        <v>69247913</v>
      </c>
      <c r="K4" s="5"/>
      <c r="L4" s="1" t="s">
        <v>1219</v>
      </c>
      <c r="M4" s="1">
        <v>150</v>
      </c>
    </row>
    <row r="5" spans="1:13">
      <c r="A5" s="1">
        <v>3</v>
      </c>
      <c r="B5" s="71" t="s">
        <v>1167</v>
      </c>
      <c r="C5" s="5">
        <v>551501145</v>
      </c>
      <c r="D5" s="5">
        <v>299</v>
      </c>
      <c r="E5" s="99" t="s">
        <v>12</v>
      </c>
      <c r="F5" s="42">
        <v>44836</v>
      </c>
      <c r="G5" s="5" t="s">
        <v>839</v>
      </c>
      <c r="H5" s="5"/>
      <c r="I5" s="5">
        <v>1.4973983900000001</v>
      </c>
      <c r="J5" s="43" t="s">
        <v>132</v>
      </c>
      <c r="K5" s="5"/>
      <c r="L5" s="1"/>
      <c r="M5" s="1"/>
    </row>
    <row r="6" spans="1:13">
      <c r="A6" s="1">
        <v>4</v>
      </c>
      <c r="B6" s="98" t="s">
        <v>1168</v>
      </c>
      <c r="C6" s="53">
        <v>524860632</v>
      </c>
      <c r="D6" s="53">
        <v>299</v>
      </c>
      <c r="E6" s="53" t="s">
        <v>12</v>
      </c>
      <c r="F6" s="54">
        <v>44836</v>
      </c>
      <c r="G6" s="53" t="s">
        <v>839</v>
      </c>
      <c r="H6" s="53" t="s">
        <v>1332</v>
      </c>
      <c r="I6" s="53">
        <v>1.3241535269257301</v>
      </c>
      <c r="J6" s="53">
        <v>69257357</v>
      </c>
      <c r="K6" s="5"/>
      <c r="L6" s="1" t="s">
        <v>1221</v>
      </c>
      <c r="M6" s="1">
        <v>200</v>
      </c>
    </row>
    <row r="7" spans="1:13">
      <c r="A7" s="1">
        <v>5</v>
      </c>
      <c r="B7" s="71" t="s">
        <v>1169</v>
      </c>
      <c r="C7" s="5">
        <v>569169388</v>
      </c>
      <c r="D7" s="5">
        <v>199</v>
      </c>
      <c r="E7" s="5" t="s">
        <v>12</v>
      </c>
      <c r="F7" s="42">
        <v>44836</v>
      </c>
      <c r="G7" s="5" t="s">
        <v>839</v>
      </c>
      <c r="H7" s="5"/>
      <c r="I7" s="5">
        <v>1.49732072</v>
      </c>
      <c r="J7" s="5">
        <v>69238528</v>
      </c>
      <c r="K7" s="5" t="s">
        <v>466</v>
      </c>
      <c r="L7" s="1"/>
      <c r="M7" s="1"/>
    </row>
    <row r="8" spans="1:13">
      <c r="A8" s="1">
        <v>6</v>
      </c>
      <c r="B8" s="71" t="s">
        <v>1170</v>
      </c>
      <c r="C8" s="5">
        <v>567071168</v>
      </c>
      <c r="D8" s="5">
        <v>299</v>
      </c>
      <c r="E8" s="5" t="s">
        <v>12</v>
      </c>
      <c r="F8" s="42">
        <v>44838</v>
      </c>
      <c r="G8" s="5" t="s">
        <v>839</v>
      </c>
      <c r="H8" s="5"/>
      <c r="I8" s="5">
        <v>1.4977701800000001</v>
      </c>
      <c r="J8" s="5">
        <v>69293692</v>
      </c>
      <c r="K8" s="5" t="s">
        <v>466</v>
      </c>
      <c r="L8" s="1"/>
      <c r="M8" s="1"/>
    </row>
    <row r="9" spans="1:13">
      <c r="A9" s="1">
        <v>7</v>
      </c>
      <c r="B9" s="71" t="s">
        <v>1171</v>
      </c>
      <c r="C9" s="5">
        <v>506719801</v>
      </c>
      <c r="D9" s="5">
        <v>199</v>
      </c>
      <c r="E9" s="5" t="s">
        <v>12</v>
      </c>
      <c r="F9" s="42">
        <v>44838</v>
      </c>
      <c r="G9" s="5" t="s">
        <v>839</v>
      </c>
      <c r="H9" s="5"/>
      <c r="I9" s="5">
        <v>1.49822627</v>
      </c>
      <c r="J9" s="5">
        <v>69364199</v>
      </c>
      <c r="K9" s="5"/>
      <c r="L9" s="1" t="s">
        <v>1219</v>
      </c>
      <c r="M9" s="1">
        <v>150</v>
      </c>
    </row>
    <row r="10" spans="1:13">
      <c r="A10" s="1">
        <v>8</v>
      </c>
      <c r="B10" s="71" t="s">
        <v>1172</v>
      </c>
      <c r="C10" s="5">
        <v>543522217</v>
      </c>
      <c r="D10" s="5">
        <v>199</v>
      </c>
      <c r="E10" s="5" t="s">
        <v>192</v>
      </c>
      <c r="F10" s="42">
        <v>44838</v>
      </c>
      <c r="G10" s="5" t="s">
        <v>839</v>
      </c>
      <c r="H10" s="5"/>
      <c r="I10" s="5">
        <v>1.4980793999999999</v>
      </c>
      <c r="J10" s="5">
        <v>69345971</v>
      </c>
      <c r="K10" s="5"/>
      <c r="L10" s="1" t="s">
        <v>1220</v>
      </c>
      <c r="M10" s="1">
        <v>150</v>
      </c>
    </row>
    <row r="11" spans="1:13">
      <c r="A11" s="1">
        <v>9</v>
      </c>
      <c r="B11" s="71" t="s">
        <v>1173</v>
      </c>
      <c r="C11" s="5">
        <v>501020353</v>
      </c>
      <c r="D11" s="5">
        <v>299</v>
      </c>
      <c r="E11" s="5" t="s">
        <v>1174</v>
      </c>
      <c r="F11" s="42">
        <v>44838</v>
      </c>
      <c r="G11" s="5" t="s">
        <v>839</v>
      </c>
      <c r="H11" s="5"/>
      <c r="I11" s="5">
        <v>1.4982447400000001</v>
      </c>
      <c r="J11" s="5">
        <v>69368287</v>
      </c>
      <c r="K11" s="5"/>
      <c r="L11" s="1"/>
      <c r="M11" s="1"/>
    </row>
    <row r="12" spans="1:13">
      <c r="A12" s="1">
        <v>10</v>
      </c>
      <c r="B12" s="71" t="s">
        <v>1175</v>
      </c>
      <c r="C12" s="5">
        <v>509898897</v>
      </c>
      <c r="D12" s="5">
        <v>299</v>
      </c>
      <c r="E12" s="5" t="s">
        <v>1174</v>
      </c>
      <c r="F12" s="42">
        <v>44839</v>
      </c>
      <c r="G12" s="5" t="s">
        <v>839</v>
      </c>
      <c r="H12" s="5"/>
      <c r="I12" s="5">
        <v>1.49802345</v>
      </c>
      <c r="J12" s="5">
        <v>69334982</v>
      </c>
      <c r="K12" s="5"/>
      <c r="L12" s="1"/>
      <c r="M12" s="1"/>
    </row>
    <row r="13" spans="1:13">
      <c r="A13" s="1">
        <v>11</v>
      </c>
      <c r="B13" s="71" t="s">
        <v>1176</v>
      </c>
      <c r="C13" s="5">
        <v>565683972</v>
      </c>
      <c r="D13" s="5">
        <v>199</v>
      </c>
      <c r="E13" s="5" t="s">
        <v>1174</v>
      </c>
      <c r="F13" s="42">
        <v>44839</v>
      </c>
      <c r="G13" s="5" t="s">
        <v>839</v>
      </c>
      <c r="H13" s="5"/>
      <c r="I13" s="5">
        <v>1.49800891</v>
      </c>
      <c r="J13" s="5">
        <v>69330930</v>
      </c>
      <c r="K13" s="5"/>
      <c r="L13" s="1"/>
      <c r="M13" s="1"/>
    </row>
    <row r="14" spans="1:13">
      <c r="A14" s="1">
        <v>12</v>
      </c>
      <c r="B14" s="71" t="s">
        <v>1177</v>
      </c>
      <c r="C14" s="5">
        <v>563846543</v>
      </c>
      <c r="D14" s="5">
        <v>299</v>
      </c>
      <c r="E14" s="5" t="s">
        <v>12</v>
      </c>
      <c r="F14" s="42">
        <v>44842</v>
      </c>
      <c r="G14" s="5" t="s">
        <v>839</v>
      </c>
      <c r="H14" s="5"/>
      <c r="I14" s="5">
        <v>1.4986189000000001</v>
      </c>
      <c r="J14" s="5">
        <v>69411601</v>
      </c>
      <c r="K14" s="5"/>
      <c r="L14" s="1"/>
      <c r="M14" s="1"/>
    </row>
    <row r="15" spans="1:13">
      <c r="A15" s="1">
        <v>13</v>
      </c>
      <c r="B15" s="71" t="s">
        <v>1178</v>
      </c>
      <c r="C15" s="5">
        <v>565303423</v>
      </c>
      <c r="D15" s="5">
        <v>299</v>
      </c>
      <c r="E15" s="5" t="s">
        <v>12</v>
      </c>
      <c r="F15" s="42">
        <v>44842</v>
      </c>
      <c r="G15" s="5" t="s">
        <v>839</v>
      </c>
      <c r="H15" s="5"/>
      <c r="I15" s="5">
        <v>1.4986665100000001</v>
      </c>
      <c r="J15" s="5">
        <v>69412629</v>
      </c>
      <c r="K15" s="5" t="s">
        <v>466</v>
      </c>
      <c r="L15" s="1"/>
      <c r="M15" s="1"/>
    </row>
    <row r="16" spans="1:13">
      <c r="A16" s="1">
        <v>14</v>
      </c>
      <c r="B16" s="71" t="s">
        <v>1179</v>
      </c>
      <c r="C16" s="5">
        <v>589575248</v>
      </c>
      <c r="D16" s="5">
        <v>199</v>
      </c>
      <c r="E16" s="5" t="s">
        <v>12</v>
      </c>
      <c r="F16" s="42">
        <v>44842</v>
      </c>
      <c r="G16" s="5" t="s">
        <v>839</v>
      </c>
      <c r="H16" s="5" t="s">
        <v>331</v>
      </c>
      <c r="I16" s="5">
        <v>1.49867872</v>
      </c>
      <c r="J16" s="5">
        <v>69415175</v>
      </c>
      <c r="K16" s="5" t="s">
        <v>176</v>
      </c>
      <c r="L16" s="1"/>
      <c r="M16" s="1"/>
    </row>
    <row r="17" spans="1:13">
      <c r="A17" s="1">
        <v>15</v>
      </c>
      <c r="B17" s="71" t="s">
        <v>1180</v>
      </c>
      <c r="C17" s="5">
        <v>502632337</v>
      </c>
      <c r="D17" s="5">
        <v>199</v>
      </c>
      <c r="E17" s="5" t="s">
        <v>12</v>
      </c>
      <c r="F17" s="42">
        <v>44842</v>
      </c>
      <c r="G17" s="5" t="s">
        <v>839</v>
      </c>
      <c r="H17" s="5"/>
      <c r="I17" s="5">
        <v>1.34224787</v>
      </c>
      <c r="J17" s="5">
        <v>69441636</v>
      </c>
      <c r="K17" s="5"/>
      <c r="L17" s="1"/>
      <c r="M17" s="1"/>
    </row>
    <row r="18" spans="1:13">
      <c r="A18" s="1">
        <v>16</v>
      </c>
      <c r="B18" s="71" t="s">
        <v>1181</v>
      </c>
      <c r="C18" s="5">
        <v>523531610</v>
      </c>
      <c r="D18" s="5">
        <v>199</v>
      </c>
      <c r="E18" s="5" t="s">
        <v>12</v>
      </c>
      <c r="F18" s="42">
        <v>44842</v>
      </c>
      <c r="G18" s="5" t="s">
        <v>839</v>
      </c>
      <c r="H18" s="5"/>
      <c r="I18" s="5">
        <v>1.49844388</v>
      </c>
      <c r="J18" s="5">
        <v>69385836</v>
      </c>
      <c r="K18" s="5" t="s">
        <v>1162</v>
      </c>
      <c r="L18" s="1"/>
      <c r="M18" s="1"/>
    </row>
    <row r="19" spans="1:13">
      <c r="A19" s="1">
        <v>17</v>
      </c>
      <c r="B19" s="71" t="s">
        <v>1182</v>
      </c>
      <c r="C19" s="5">
        <v>564521052</v>
      </c>
      <c r="D19" s="5">
        <v>199</v>
      </c>
      <c r="E19" s="5" t="s">
        <v>12</v>
      </c>
      <c r="F19" s="42">
        <v>44842</v>
      </c>
      <c r="G19" s="5" t="s">
        <v>839</v>
      </c>
      <c r="H19" s="5"/>
      <c r="I19" s="5">
        <v>1.4991582699999999</v>
      </c>
      <c r="J19" s="5">
        <v>69469244</v>
      </c>
      <c r="K19" s="5" t="s">
        <v>176</v>
      </c>
      <c r="L19" s="1"/>
      <c r="M19" s="1"/>
    </row>
    <row r="20" spans="1:13">
      <c r="A20" s="1">
        <v>18</v>
      </c>
      <c r="B20" s="71" t="s">
        <v>1183</v>
      </c>
      <c r="C20" s="5">
        <v>502880333</v>
      </c>
      <c r="D20" s="5">
        <v>299</v>
      </c>
      <c r="E20" s="5" t="s">
        <v>12</v>
      </c>
      <c r="F20" s="42">
        <v>44842</v>
      </c>
      <c r="G20" s="5" t="s">
        <v>839</v>
      </c>
      <c r="H20" s="5"/>
      <c r="I20" s="5">
        <v>1.49938595</v>
      </c>
      <c r="J20" s="5">
        <v>69498111</v>
      </c>
      <c r="K20" s="5" t="s">
        <v>176</v>
      </c>
      <c r="L20" s="1"/>
      <c r="M20" s="1"/>
    </row>
    <row r="21" spans="1:13">
      <c r="A21" s="1">
        <v>19</v>
      </c>
      <c r="B21" s="98" t="s">
        <v>1184</v>
      </c>
      <c r="C21" s="53">
        <v>502637198</v>
      </c>
      <c r="D21" s="53">
        <v>299</v>
      </c>
      <c r="E21" s="53" t="s">
        <v>12</v>
      </c>
      <c r="F21" s="54">
        <v>44846</v>
      </c>
      <c r="G21" s="53" t="s">
        <v>839</v>
      </c>
      <c r="H21" s="53" t="s">
        <v>1332</v>
      </c>
      <c r="I21" s="53">
        <v>1.49947075</v>
      </c>
      <c r="J21" s="53">
        <v>69516796</v>
      </c>
      <c r="K21" s="5" t="s">
        <v>1162</v>
      </c>
      <c r="L21" s="1"/>
      <c r="M21" s="1"/>
    </row>
    <row r="22" spans="1:13">
      <c r="A22" s="1">
        <v>20</v>
      </c>
      <c r="B22" s="71" t="s">
        <v>1184</v>
      </c>
      <c r="C22" s="5">
        <v>502637198</v>
      </c>
      <c r="D22" s="5">
        <v>299</v>
      </c>
      <c r="E22" s="5" t="s">
        <v>12</v>
      </c>
      <c r="F22" s="42">
        <v>44846</v>
      </c>
      <c r="G22" s="5" t="s">
        <v>839</v>
      </c>
      <c r="H22" s="5"/>
      <c r="I22" s="5">
        <v>1.49947075</v>
      </c>
      <c r="J22" s="5">
        <v>69517333</v>
      </c>
      <c r="K22" s="5" t="s">
        <v>1162</v>
      </c>
      <c r="L22" s="1"/>
      <c r="M22" s="1"/>
    </row>
    <row r="23" spans="1:13">
      <c r="A23" s="1">
        <v>21</v>
      </c>
      <c r="B23" s="71" t="s">
        <v>1185</v>
      </c>
      <c r="C23" s="5">
        <v>505680034</v>
      </c>
      <c r="D23" s="5">
        <v>199</v>
      </c>
      <c r="E23" s="5" t="s">
        <v>1186</v>
      </c>
      <c r="F23" s="42">
        <v>44846</v>
      </c>
      <c r="G23" s="5" t="s">
        <v>839</v>
      </c>
      <c r="H23" s="5"/>
      <c r="I23" s="5">
        <v>1.49991064</v>
      </c>
      <c r="J23" s="5">
        <v>69567596</v>
      </c>
      <c r="K23" s="5"/>
      <c r="L23" s="1"/>
      <c r="M23" s="1"/>
    </row>
    <row r="24" spans="1:13">
      <c r="A24" s="1">
        <v>22</v>
      </c>
      <c r="B24" s="71" t="s">
        <v>1187</v>
      </c>
      <c r="C24" s="5">
        <v>562732378</v>
      </c>
      <c r="D24" s="5">
        <v>299</v>
      </c>
      <c r="E24" s="5" t="s">
        <v>12</v>
      </c>
      <c r="F24" s="42">
        <v>44846</v>
      </c>
      <c r="G24" s="5" t="s">
        <v>839</v>
      </c>
      <c r="H24" s="5"/>
      <c r="I24" s="5">
        <v>1.4999455900000001</v>
      </c>
      <c r="J24" s="5">
        <v>69573905</v>
      </c>
      <c r="K24" s="5"/>
      <c r="L24" s="1"/>
      <c r="M24" s="1"/>
    </row>
    <row r="25" spans="1:13">
      <c r="A25" s="1">
        <v>23</v>
      </c>
      <c r="B25" s="98" t="s">
        <v>1188</v>
      </c>
      <c r="C25" s="53">
        <v>568181829</v>
      </c>
      <c r="D25" s="53">
        <v>199</v>
      </c>
      <c r="E25" s="53" t="s">
        <v>12</v>
      </c>
      <c r="F25" s="54">
        <v>44847</v>
      </c>
      <c r="G25" s="53" t="s">
        <v>839</v>
      </c>
      <c r="H25" s="53" t="s">
        <v>1332</v>
      </c>
      <c r="I25" s="53">
        <v>1.49995678</v>
      </c>
      <c r="J25" s="53">
        <v>69574899</v>
      </c>
      <c r="K25" s="5" t="s">
        <v>1162</v>
      </c>
      <c r="L25" s="1"/>
      <c r="M25" s="1"/>
    </row>
    <row r="26" spans="1:13">
      <c r="A26" s="1">
        <v>24</v>
      </c>
      <c r="B26" s="98" t="s">
        <v>1189</v>
      </c>
      <c r="C26" s="53">
        <v>528070392</v>
      </c>
      <c r="D26" s="53">
        <v>299</v>
      </c>
      <c r="E26" s="53" t="s">
        <v>12</v>
      </c>
      <c r="F26" s="54">
        <v>44847</v>
      </c>
      <c r="G26" s="53" t="s">
        <v>839</v>
      </c>
      <c r="H26" s="53" t="s">
        <v>1332</v>
      </c>
      <c r="I26" s="53">
        <v>1.37766298</v>
      </c>
      <c r="J26" s="53">
        <v>69545529</v>
      </c>
      <c r="K26" s="5" t="s">
        <v>466</v>
      </c>
      <c r="L26" s="1"/>
      <c r="M26" s="1"/>
    </row>
    <row r="27" spans="1:13">
      <c r="A27" s="1">
        <v>25</v>
      </c>
      <c r="B27" s="71" t="s">
        <v>1190</v>
      </c>
      <c r="C27" s="5">
        <v>501710017</v>
      </c>
      <c r="D27" s="5">
        <v>399</v>
      </c>
      <c r="E27" s="5" t="s">
        <v>12</v>
      </c>
      <c r="F27" s="42">
        <v>44847</v>
      </c>
      <c r="G27" s="5" t="s">
        <v>839</v>
      </c>
      <c r="H27" s="5"/>
      <c r="I27" s="5" t="s">
        <v>1191</v>
      </c>
      <c r="J27" s="43" t="s">
        <v>132</v>
      </c>
      <c r="K27" s="5" t="s">
        <v>1162</v>
      </c>
      <c r="L27" s="1"/>
      <c r="M27" s="1"/>
    </row>
    <row r="28" spans="1:13">
      <c r="A28" s="1">
        <v>26</v>
      </c>
      <c r="B28" s="98" t="s">
        <v>1224</v>
      </c>
      <c r="C28" s="53">
        <v>544019582</v>
      </c>
      <c r="D28" s="53">
        <v>199</v>
      </c>
      <c r="E28" s="53" t="s">
        <v>12</v>
      </c>
      <c r="F28" s="54">
        <v>44847</v>
      </c>
      <c r="G28" s="53" t="s">
        <v>839</v>
      </c>
      <c r="H28" s="53" t="s">
        <v>1332</v>
      </c>
      <c r="I28" s="53">
        <v>1.4996512200000001</v>
      </c>
      <c r="J28" s="53">
        <v>69534197</v>
      </c>
      <c r="K28" s="5"/>
      <c r="L28" s="1"/>
      <c r="M28" s="1"/>
    </row>
    <row r="29" spans="1:13">
      <c r="A29" s="1">
        <v>27</v>
      </c>
      <c r="B29" s="71" t="s">
        <v>619</v>
      </c>
      <c r="C29" s="5">
        <v>562786814</v>
      </c>
      <c r="D29" s="5">
        <v>299</v>
      </c>
      <c r="E29" s="5" t="s">
        <v>12</v>
      </c>
      <c r="F29" s="42">
        <v>44848</v>
      </c>
      <c r="G29" s="5" t="s">
        <v>839</v>
      </c>
      <c r="H29" s="5"/>
      <c r="I29" s="5">
        <v>1.46980903</v>
      </c>
      <c r="J29" s="5">
        <v>69587037</v>
      </c>
      <c r="K29" s="5" t="s">
        <v>176</v>
      </c>
      <c r="L29" s="1"/>
      <c r="M29" s="1"/>
    </row>
    <row r="30" spans="1:13">
      <c r="A30" s="1">
        <v>28</v>
      </c>
      <c r="B30" s="98" t="s">
        <v>1192</v>
      </c>
      <c r="C30" s="53">
        <v>558359697</v>
      </c>
      <c r="D30" s="53">
        <v>199</v>
      </c>
      <c r="E30" s="53" t="s">
        <v>12</v>
      </c>
      <c r="F30" s="54">
        <v>44848</v>
      </c>
      <c r="G30" s="53" t="s">
        <v>839</v>
      </c>
      <c r="H30" s="53" t="s">
        <v>1332</v>
      </c>
      <c r="I30" s="53">
        <v>1.5008055199999999</v>
      </c>
      <c r="J30" s="122" t="s">
        <v>132</v>
      </c>
      <c r="K30" s="5" t="s">
        <v>1162</v>
      </c>
      <c r="L30" s="1"/>
      <c r="M30" s="1"/>
    </row>
    <row r="31" spans="1:13">
      <c r="A31" s="1">
        <v>29</v>
      </c>
      <c r="B31" s="71" t="s">
        <v>1193</v>
      </c>
      <c r="C31" s="5">
        <v>585837356</v>
      </c>
      <c r="D31" s="5">
        <v>199</v>
      </c>
      <c r="E31" s="5" t="s">
        <v>12</v>
      </c>
      <c r="F31" s="42">
        <v>44848</v>
      </c>
      <c r="G31" s="5" t="s">
        <v>839</v>
      </c>
      <c r="H31" s="5"/>
      <c r="I31" s="5">
        <v>1.5010451499999999</v>
      </c>
      <c r="J31" s="5">
        <v>69708821</v>
      </c>
      <c r="K31" s="5"/>
      <c r="L31" s="1" t="s">
        <v>1221</v>
      </c>
      <c r="M31" s="1">
        <v>100</v>
      </c>
    </row>
    <row r="32" spans="1:13">
      <c r="A32" s="1">
        <v>30</v>
      </c>
      <c r="B32" s="71" t="s">
        <v>1194</v>
      </c>
      <c r="C32" s="5">
        <v>545057428</v>
      </c>
      <c r="D32" s="5">
        <v>299</v>
      </c>
      <c r="E32" s="5" t="s">
        <v>12</v>
      </c>
      <c r="F32" s="42">
        <v>44848</v>
      </c>
      <c r="G32" s="5" t="s">
        <v>839</v>
      </c>
      <c r="H32" s="5"/>
      <c r="I32" s="5">
        <v>1.5010399999999999</v>
      </c>
      <c r="J32" s="5">
        <v>69707118</v>
      </c>
      <c r="K32" s="5" t="s">
        <v>466</v>
      </c>
      <c r="L32" s="1"/>
      <c r="M32" s="1"/>
    </row>
    <row r="33" spans="1:13">
      <c r="A33" s="1">
        <v>31</v>
      </c>
      <c r="B33" s="71" t="s">
        <v>1195</v>
      </c>
      <c r="C33" s="5">
        <v>564216172</v>
      </c>
      <c r="D33" s="5">
        <v>299</v>
      </c>
      <c r="E33" s="5" t="s">
        <v>12</v>
      </c>
      <c r="F33" s="42">
        <v>44849</v>
      </c>
      <c r="G33" s="5" t="s">
        <v>839</v>
      </c>
      <c r="H33" s="5"/>
      <c r="I33" s="5">
        <v>1.50088292</v>
      </c>
      <c r="J33" s="5">
        <v>69693605</v>
      </c>
      <c r="K33" s="5" t="s">
        <v>176</v>
      </c>
      <c r="L33" s="1"/>
      <c r="M33" s="1"/>
    </row>
    <row r="34" spans="1:13">
      <c r="A34" s="1">
        <v>32</v>
      </c>
      <c r="B34" s="71" t="s">
        <v>1196</v>
      </c>
      <c r="C34" s="5">
        <v>566332074</v>
      </c>
      <c r="D34" s="5">
        <v>199</v>
      </c>
      <c r="E34" s="5" t="s">
        <v>12</v>
      </c>
      <c r="F34" s="42">
        <v>44850</v>
      </c>
      <c r="G34" s="5" t="s">
        <v>839</v>
      </c>
      <c r="H34" s="5"/>
      <c r="I34" s="5">
        <v>1.5008168</v>
      </c>
      <c r="J34" s="5">
        <v>69677084</v>
      </c>
      <c r="K34" s="5" t="s">
        <v>176</v>
      </c>
      <c r="L34" s="1"/>
      <c r="M34" s="1"/>
    </row>
    <row r="35" spans="1:13">
      <c r="A35" s="1">
        <v>33</v>
      </c>
      <c r="B35" s="71" t="s">
        <v>1197</v>
      </c>
      <c r="C35" s="5">
        <v>503899694</v>
      </c>
      <c r="D35" s="5">
        <v>199</v>
      </c>
      <c r="E35" s="5" t="s">
        <v>12</v>
      </c>
      <c r="F35" s="42">
        <v>44854</v>
      </c>
      <c r="G35" s="5" t="s">
        <v>839</v>
      </c>
      <c r="H35" s="5"/>
      <c r="I35" s="5">
        <v>1.5014495999999999</v>
      </c>
      <c r="J35" s="5">
        <v>69767288</v>
      </c>
      <c r="K35" s="5"/>
      <c r="L35" s="1"/>
      <c r="M35" s="1"/>
    </row>
    <row r="36" spans="1:13">
      <c r="A36" s="1">
        <v>34</v>
      </c>
      <c r="B36" s="71" t="s">
        <v>1198</v>
      </c>
      <c r="C36" s="5">
        <v>547488536</v>
      </c>
      <c r="D36" s="5">
        <v>199</v>
      </c>
      <c r="E36" s="5" t="s">
        <v>12</v>
      </c>
      <c r="F36" s="42">
        <v>44854</v>
      </c>
      <c r="G36" s="5" t="s">
        <v>839</v>
      </c>
      <c r="H36" s="5"/>
      <c r="I36" s="5">
        <v>1.50126618</v>
      </c>
      <c r="J36" s="5">
        <v>69738406</v>
      </c>
      <c r="K36" s="5" t="s">
        <v>466</v>
      </c>
      <c r="L36" s="1"/>
      <c r="M36" s="1"/>
    </row>
    <row r="37" spans="1:13">
      <c r="A37" s="1">
        <v>35</v>
      </c>
      <c r="B37" s="71" t="s">
        <v>1199</v>
      </c>
      <c r="C37" s="5">
        <v>502920692</v>
      </c>
      <c r="D37" s="5">
        <v>299</v>
      </c>
      <c r="E37" s="5" t="s">
        <v>12</v>
      </c>
      <c r="F37" s="42">
        <v>44855</v>
      </c>
      <c r="G37" s="5" t="s">
        <v>839</v>
      </c>
      <c r="H37" s="5"/>
      <c r="I37" s="5">
        <v>1.3776655600000001</v>
      </c>
      <c r="J37" s="5">
        <v>69798368</v>
      </c>
      <c r="K37" s="5" t="s">
        <v>193</v>
      </c>
      <c r="L37" s="1"/>
      <c r="M37" s="1"/>
    </row>
    <row r="38" spans="1:13">
      <c r="A38" s="1">
        <v>36</v>
      </c>
      <c r="B38" s="71" t="s">
        <v>1200</v>
      </c>
      <c r="C38" s="5">
        <v>524663847</v>
      </c>
      <c r="D38" s="5">
        <v>199</v>
      </c>
      <c r="E38" s="5" t="s">
        <v>12</v>
      </c>
      <c r="F38" s="42">
        <v>44855</v>
      </c>
      <c r="G38" s="5" t="s">
        <v>839</v>
      </c>
      <c r="H38" s="5"/>
      <c r="I38" s="72" t="s">
        <v>1201</v>
      </c>
      <c r="J38" s="5">
        <v>69800840</v>
      </c>
      <c r="K38" s="5" t="s">
        <v>193</v>
      </c>
      <c r="L38" s="1"/>
      <c r="M38" s="1"/>
    </row>
    <row r="39" spans="1:13">
      <c r="A39" s="1">
        <v>37</v>
      </c>
      <c r="B39" s="71" t="s">
        <v>1202</v>
      </c>
      <c r="C39" s="5">
        <v>566179974</v>
      </c>
      <c r="D39" s="5">
        <v>199</v>
      </c>
      <c r="E39" s="5" t="s">
        <v>12</v>
      </c>
      <c r="F39" s="42">
        <v>44855</v>
      </c>
      <c r="G39" s="5" t="s">
        <v>839</v>
      </c>
      <c r="H39" s="5"/>
      <c r="I39" s="5">
        <v>1.5024741100000001</v>
      </c>
      <c r="J39" s="5">
        <v>69889158</v>
      </c>
      <c r="K39" s="5" t="s">
        <v>466</v>
      </c>
      <c r="L39" s="1"/>
      <c r="M39" s="1"/>
    </row>
    <row r="40" spans="1:13">
      <c r="A40" s="1">
        <v>38</v>
      </c>
      <c r="B40" s="71" t="s">
        <v>1203</v>
      </c>
      <c r="C40" s="5">
        <v>509524358</v>
      </c>
      <c r="D40" s="5">
        <v>199</v>
      </c>
      <c r="E40" s="5" t="s">
        <v>12</v>
      </c>
      <c r="F40" s="42">
        <v>44859</v>
      </c>
      <c r="G40" s="5" t="s">
        <v>839</v>
      </c>
      <c r="H40" s="5"/>
      <c r="I40" s="5">
        <v>1.5026474700000001</v>
      </c>
      <c r="J40" s="5">
        <v>69911240</v>
      </c>
      <c r="K40" s="5" t="s">
        <v>176</v>
      </c>
      <c r="L40" s="1"/>
      <c r="M40" s="1"/>
    </row>
    <row r="41" spans="1:13">
      <c r="A41" s="1">
        <v>39</v>
      </c>
      <c r="B41" s="71" t="s">
        <v>1204</v>
      </c>
      <c r="C41" s="5">
        <v>505779696</v>
      </c>
      <c r="D41" s="5">
        <v>199</v>
      </c>
      <c r="E41" s="5" t="s">
        <v>12</v>
      </c>
      <c r="F41" s="42">
        <v>44859</v>
      </c>
      <c r="G41" s="5" t="s">
        <v>839</v>
      </c>
      <c r="H41" s="5"/>
      <c r="I41" s="5">
        <v>1.50266465</v>
      </c>
      <c r="J41" s="5">
        <v>69915635</v>
      </c>
      <c r="K41" s="5" t="s">
        <v>466</v>
      </c>
      <c r="L41" s="1"/>
      <c r="M41" s="1"/>
    </row>
    <row r="42" spans="1:13">
      <c r="A42" s="1">
        <v>40</v>
      </c>
      <c r="B42" s="71" t="s">
        <v>1205</v>
      </c>
      <c r="C42" s="59">
        <v>557178232</v>
      </c>
      <c r="D42" s="5">
        <v>199</v>
      </c>
      <c r="E42" s="5" t="s">
        <v>61</v>
      </c>
      <c r="F42" s="42">
        <v>44859</v>
      </c>
      <c r="G42" s="5" t="s">
        <v>839</v>
      </c>
      <c r="H42" s="5"/>
      <c r="I42" s="5">
        <v>1.2807489599999999</v>
      </c>
      <c r="J42" s="5">
        <v>69995670</v>
      </c>
      <c r="K42" s="5"/>
      <c r="L42" s="1"/>
      <c r="M42" s="1"/>
    </row>
    <row r="43" spans="1:13">
      <c r="A43" s="1">
        <v>41</v>
      </c>
      <c r="B43" s="98" t="s">
        <v>1206</v>
      </c>
      <c r="C43" s="53">
        <v>508858699</v>
      </c>
      <c r="D43" s="53">
        <v>199</v>
      </c>
      <c r="E43" s="53" t="s">
        <v>61</v>
      </c>
      <c r="F43" s="54">
        <v>44859</v>
      </c>
      <c r="G43" s="53" t="s">
        <v>839</v>
      </c>
      <c r="H43" s="53" t="s">
        <v>1332</v>
      </c>
      <c r="I43" s="53">
        <v>1.41429703</v>
      </c>
      <c r="J43" s="53">
        <v>69998559</v>
      </c>
      <c r="K43" s="5"/>
      <c r="L43" s="1"/>
      <c r="M43" s="1"/>
    </row>
    <row r="44" spans="1:13">
      <c r="A44" s="1">
        <v>42</v>
      </c>
      <c r="B44" s="71" t="s">
        <v>1207</v>
      </c>
      <c r="C44" s="5">
        <v>524005553</v>
      </c>
      <c r="D44" s="5">
        <v>299</v>
      </c>
      <c r="E44" s="5" t="s">
        <v>1208</v>
      </c>
      <c r="F44" s="42">
        <v>44862</v>
      </c>
      <c r="G44" s="5" t="s">
        <v>839</v>
      </c>
      <c r="H44" s="5"/>
      <c r="I44" s="5">
        <v>1.4108867899999999</v>
      </c>
      <c r="J44" s="5">
        <v>70005959</v>
      </c>
      <c r="K44" s="5"/>
      <c r="L44" s="1"/>
      <c r="M44" s="1"/>
    </row>
    <row r="45" spans="1:13">
      <c r="A45" s="1">
        <v>43</v>
      </c>
      <c r="B45" s="71" t="s">
        <v>1209</v>
      </c>
      <c r="C45" s="5">
        <v>503907250</v>
      </c>
      <c r="D45" s="5">
        <v>199</v>
      </c>
      <c r="E45" s="5" t="s">
        <v>12</v>
      </c>
      <c r="F45" s="42">
        <v>44862</v>
      </c>
      <c r="G45" s="5" t="s">
        <v>839</v>
      </c>
      <c r="H45" s="5"/>
      <c r="I45" s="5">
        <v>1.4329890199999999</v>
      </c>
      <c r="J45" s="5">
        <v>70011117</v>
      </c>
      <c r="K45" s="5"/>
      <c r="L45" s="1" t="s">
        <v>1222</v>
      </c>
      <c r="M45" s="1">
        <v>150</v>
      </c>
    </row>
    <row r="46" spans="1:13">
      <c r="A46" s="1">
        <v>44</v>
      </c>
      <c r="B46" s="71" t="s">
        <v>1210</v>
      </c>
      <c r="C46" s="5">
        <v>565732327</v>
      </c>
      <c r="D46" s="5">
        <v>299</v>
      </c>
      <c r="E46" s="5" t="s">
        <v>12</v>
      </c>
      <c r="F46" s="42">
        <v>44864</v>
      </c>
      <c r="G46" s="5" t="s">
        <v>839</v>
      </c>
      <c r="H46" s="5"/>
      <c r="I46" s="5">
        <v>1.46784826</v>
      </c>
      <c r="J46" s="5">
        <v>70083181</v>
      </c>
      <c r="K46" s="5" t="s">
        <v>176</v>
      </c>
      <c r="L46" s="1"/>
      <c r="M46" s="1"/>
    </row>
    <row r="47" spans="1:13">
      <c r="A47" s="1">
        <v>45</v>
      </c>
      <c r="B47" s="71" t="s">
        <v>1211</v>
      </c>
      <c r="C47" s="5">
        <v>568689459</v>
      </c>
      <c r="D47" s="5">
        <v>199</v>
      </c>
      <c r="E47" s="5" t="s">
        <v>12</v>
      </c>
      <c r="F47" s="42">
        <v>44864</v>
      </c>
      <c r="G47" s="5" t="s">
        <v>839</v>
      </c>
      <c r="H47" s="5"/>
      <c r="I47" s="5">
        <v>1.50313213</v>
      </c>
      <c r="J47" s="5">
        <v>69970949</v>
      </c>
      <c r="K47" s="5" t="s">
        <v>176</v>
      </c>
      <c r="L47" s="1"/>
      <c r="M47" s="1"/>
    </row>
    <row r="48" spans="1:13">
      <c r="A48" s="1">
        <v>46</v>
      </c>
      <c r="B48" s="71" t="s">
        <v>1217</v>
      </c>
      <c r="C48" s="5">
        <v>582657366</v>
      </c>
      <c r="D48" s="5">
        <v>199</v>
      </c>
      <c r="E48" s="5" t="s">
        <v>12</v>
      </c>
      <c r="F48" s="42">
        <v>44864</v>
      </c>
      <c r="G48" s="5" t="s">
        <v>839</v>
      </c>
      <c r="H48" s="5"/>
      <c r="I48" s="5">
        <v>1.5033598100000001</v>
      </c>
      <c r="J48" s="5">
        <v>69998978</v>
      </c>
      <c r="K48" s="5" t="s">
        <v>193</v>
      </c>
      <c r="L48" s="1"/>
      <c r="M48" s="1"/>
    </row>
    <row r="49" spans="1:13">
      <c r="A49" s="1">
        <v>47</v>
      </c>
      <c r="B49" s="71" t="s">
        <v>1212</v>
      </c>
      <c r="C49" s="5">
        <v>525694366</v>
      </c>
      <c r="D49" s="5">
        <v>199</v>
      </c>
      <c r="E49" s="5" t="s">
        <v>12</v>
      </c>
      <c r="F49" s="42">
        <v>44865</v>
      </c>
      <c r="G49" s="5" t="s">
        <v>839</v>
      </c>
      <c r="H49" s="5"/>
      <c r="I49" s="72" t="s">
        <v>1213</v>
      </c>
      <c r="J49" s="5">
        <v>70113833</v>
      </c>
      <c r="K49" s="5"/>
      <c r="L49" s="1"/>
      <c r="M49" s="1"/>
    </row>
    <row r="50" spans="1:13">
      <c r="A50" s="1">
        <v>48</v>
      </c>
      <c r="B50" s="71" t="s">
        <v>1214</v>
      </c>
      <c r="C50" s="5">
        <v>557195961</v>
      </c>
      <c r="D50" s="5">
        <v>199</v>
      </c>
      <c r="E50" s="5" t="s">
        <v>12</v>
      </c>
      <c r="F50" s="42">
        <v>44865</v>
      </c>
      <c r="G50" s="5" t="s">
        <v>839</v>
      </c>
      <c r="H50" s="5"/>
      <c r="I50" s="5">
        <v>1.5041046</v>
      </c>
      <c r="J50" s="5">
        <v>70103843</v>
      </c>
      <c r="K50" s="5" t="s">
        <v>176</v>
      </c>
      <c r="L50" s="1"/>
      <c r="M50" s="1"/>
    </row>
    <row r="51" spans="1:13">
      <c r="A51" s="1">
        <v>49</v>
      </c>
      <c r="B51" s="71" t="s">
        <v>1215</v>
      </c>
      <c r="C51" s="5">
        <v>554221836</v>
      </c>
      <c r="D51" s="5">
        <v>299</v>
      </c>
      <c r="E51" s="5" t="s">
        <v>12</v>
      </c>
      <c r="F51" s="42">
        <v>44865</v>
      </c>
      <c r="G51" s="5" t="s">
        <v>839</v>
      </c>
      <c r="H51" s="5"/>
      <c r="I51" s="5">
        <v>1.50406072</v>
      </c>
      <c r="J51" s="5">
        <v>70092458</v>
      </c>
      <c r="K51" s="5" t="s">
        <v>176</v>
      </c>
      <c r="L51" s="1"/>
      <c r="M51" s="1"/>
    </row>
    <row r="52" spans="1:13">
      <c r="A52" s="1">
        <v>50</v>
      </c>
      <c r="B52" s="71" t="s">
        <v>1216</v>
      </c>
      <c r="C52" s="5">
        <v>552755313</v>
      </c>
      <c r="D52" s="5">
        <v>299</v>
      </c>
      <c r="E52" s="5" t="s">
        <v>12</v>
      </c>
      <c r="F52" s="42">
        <v>44865</v>
      </c>
      <c r="G52" s="5" t="s">
        <v>839</v>
      </c>
      <c r="H52" s="52"/>
      <c r="I52" s="5">
        <v>1.5038399600000001</v>
      </c>
      <c r="J52" s="5">
        <v>69257357</v>
      </c>
      <c r="K52" s="5" t="s">
        <v>193</v>
      </c>
      <c r="L52" s="1"/>
      <c r="M52" s="1"/>
    </row>
    <row r="53" spans="1:13">
      <c r="A53" s="1">
        <v>51</v>
      </c>
      <c r="B53" s="71" t="s">
        <v>1218</v>
      </c>
      <c r="C53" s="5">
        <v>566272529</v>
      </c>
      <c r="D53" s="5">
        <v>199</v>
      </c>
      <c r="E53" s="5" t="s">
        <v>12</v>
      </c>
      <c r="F53" s="42">
        <v>44865</v>
      </c>
      <c r="G53" s="5" t="s">
        <v>839</v>
      </c>
      <c r="H53" s="5" t="s">
        <v>331</v>
      </c>
      <c r="I53" s="5">
        <v>1.50412572</v>
      </c>
      <c r="J53" s="5">
        <v>70108006</v>
      </c>
      <c r="K53" s="5" t="s">
        <v>466</v>
      </c>
      <c r="L53" s="1"/>
      <c r="M53" s="1"/>
    </row>
    <row r="54" spans="1:13">
      <c r="A54" s="1"/>
      <c r="B54" s="71"/>
      <c r="C54" s="5"/>
      <c r="D54" s="5"/>
      <c r="E54" s="5"/>
      <c r="F54" s="42"/>
      <c r="G54" s="5"/>
      <c r="H54" s="1"/>
      <c r="I54" s="5"/>
      <c r="J54" s="5"/>
      <c r="K54" s="5"/>
      <c r="L54" s="1"/>
      <c r="M54" s="1"/>
    </row>
    <row r="55" spans="1:13">
      <c r="A55" s="1"/>
      <c r="B55" s="71"/>
      <c r="C55" s="5"/>
      <c r="D55" s="5"/>
      <c r="E55" s="5"/>
      <c r="F55" s="42"/>
      <c r="G55" s="5"/>
      <c r="H55" s="1"/>
      <c r="I55" s="5"/>
      <c r="J55" s="5"/>
      <c r="K55" s="5"/>
      <c r="L55" s="1"/>
      <c r="M55" s="1"/>
    </row>
    <row r="56" spans="1:13">
      <c r="A56" s="1"/>
      <c r="B56" s="71"/>
      <c r="C56" s="5"/>
      <c r="D56" s="5"/>
      <c r="E56" s="5"/>
      <c r="F56" s="42"/>
      <c r="G56" s="5"/>
      <c r="H56" s="1"/>
      <c r="I56" s="5"/>
      <c r="J56" s="5"/>
      <c r="K56" s="5"/>
      <c r="L56" s="1"/>
      <c r="M56" s="1"/>
    </row>
    <row r="57" spans="1:13">
      <c r="A57" s="1"/>
      <c r="B57" s="71"/>
      <c r="C57" s="5"/>
      <c r="D57" s="5"/>
      <c r="E57" s="5"/>
      <c r="F57" s="42"/>
      <c r="G57" s="5"/>
      <c r="H57" s="1"/>
      <c r="I57" s="5"/>
      <c r="J57" s="5"/>
      <c r="K57" s="5"/>
      <c r="L57" s="1"/>
      <c r="M57" s="1"/>
    </row>
    <row r="58" spans="1:13">
      <c r="A58" s="1"/>
      <c r="B58" s="71"/>
      <c r="C58" s="5"/>
      <c r="D58" s="5"/>
      <c r="E58" s="5"/>
      <c r="F58" s="42"/>
      <c r="G58" s="5"/>
      <c r="H58" s="1"/>
      <c r="I58" s="5"/>
      <c r="J58" s="5"/>
      <c r="K58" s="5"/>
      <c r="L58" s="1"/>
      <c r="M58" s="1"/>
    </row>
    <row r="59" spans="1:13">
      <c r="A59" s="1"/>
      <c r="B59" s="71"/>
      <c r="C59" s="5"/>
      <c r="D59" s="5"/>
      <c r="E59" s="5"/>
      <c r="F59" s="42"/>
      <c r="G59" s="5"/>
      <c r="H59" s="1"/>
      <c r="I59" s="5"/>
      <c r="J59" s="5"/>
      <c r="K59" s="5"/>
      <c r="L59" s="1"/>
      <c r="M59" s="1"/>
    </row>
    <row r="60" spans="1:13">
      <c r="A60" s="1"/>
      <c r="B60" s="71"/>
      <c r="C60" s="5"/>
      <c r="D60" s="5"/>
      <c r="E60" s="5"/>
      <c r="F60" s="42"/>
      <c r="G60" s="5"/>
      <c r="H60" s="1"/>
      <c r="I60" s="5"/>
      <c r="J60" s="5"/>
      <c r="K60" s="5"/>
      <c r="L60" s="1"/>
      <c r="M60" s="1"/>
    </row>
    <row r="61" spans="1:13">
      <c r="A61" s="1"/>
      <c r="B61" s="71"/>
      <c r="C61" s="5"/>
      <c r="D61" s="5"/>
      <c r="E61" s="5"/>
      <c r="F61" s="42"/>
      <c r="G61" s="5"/>
      <c r="H61" s="1"/>
      <c r="I61" s="5"/>
      <c r="J61" s="5"/>
      <c r="K61" s="5"/>
      <c r="L61" s="1"/>
      <c r="M61" s="1"/>
    </row>
    <row r="62" spans="1:13">
      <c r="A62" s="1"/>
      <c r="B62" s="71"/>
      <c r="C62" s="5"/>
      <c r="D62" s="5"/>
      <c r="E62" s="5"/>
      <c r="F62" s="42"/>
      <c r="G62" s="5"/>
      <c r="H62" s="1"/>
      <c r="I62" s="5"/>
      <c r="J62" s="5"/>
      <c r="K62" s="5"/>
      <c r="L62" s="1"/>
      <c r="M62" s="1"/>
    </row>
    <row r="63" spans="1:13">
      <c r="A63" s="1"/>
      <c r="B63" s="71"/>
      <c r="C63" s="5"/>
      <c r="D63" s="5"/>
      <c r="E63" s="5"/>
      <c r="F63" s="42"/>
      <c r="G63" s="5"/>
      <c r="H63" s="1"/>
      <c r="I63" s="5"/>
      <c r="J63" s="5"/>
      <c r="K63" s="5"/>
      <c r="L63" s="1"/>
      <c r="M63" s="1"/>
    </row>
    <row r="64" spans="1:13">
      <c r="A64" s="1"/>
      <c r="B64" s="71"/>
      <c r="C64" s="5"/>
      <c r="D64" s="5"/>
      <c r="E64" s="5"/>
      <c r="F64" s="42"/>
      <c r="G64" s="5"/>
      <c r="H64" s="1"/>
      <c r="I64" s="5"/>
      <c r="J64" s="5"/>
      <c r="K64" s="5"/>
      <c r="L64" s="1"/>
      <c r="M64" s="1"/>
    </row>
    <row r="65" spans="1:13">
      <c r="A65" s="1"/>
      <c r="B65" s="71"/>
      <c r="C65" s="5"/>
      <c r="D65" s="5"/>
      <c r="E65" s="5"/>
      <c r="F65" s="42"/>
      <c r="G65" s="5"/>
      <c r="H65" s="1"/>
      <c r="I65" s="5"/>
      <c r="J65" s="5"/>
      <c r="K65" s="5"/>
      <c r="L65" s="1"/>
      <c r="M65" s="1"/>
    </row>
  </sheetData>
  <autoFilter ref="A2:M53" xr:uid="{00000000-0009-0000-0000-00000C000000}"/>
  <mergeCells count="1">
    <mergeCell ref="A1:M1"/>
  </mergeCells>
  <conditionalFormatting sqref="I52">
    <cfRule type="duplicateValues" dxfId="503" priority="1"/>
    <cfRule type="duplicateValues" dxfId="502" priority="2"/>
  </conditionalFormatting>
  <conditionalFormatting sqref="I52:J52">
    <cfRule type="duplicateValues" dxfId="501" priority="3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40"/>
  <sheetViews>
    <sheetView zoomScale="70" zoomScaleNormal="70" workbookViewId="0">
      <selection activeCell="C3" sqref="C3:C40"/>
    </sheetView>
  </sheetViews>
  <sheetFormatPr defaultRowHeight="14.5"/>
  <cols>
    <col min="1" max="1" width="4.453125" bestFit="1" customWidth="1"/>
    <col min="2" max="2" width="30.54296875" bestFit="1" customWidth="1"/>
    <col min="3" max="3" width="29.453125" bestFit="1" customWidth="1"/>
    <col min="4" max="4" width="18.453125" bestFit="1" customWidth="1"/>
    <col min="5" max="5" width="12.453125" bestFit="1" customWidth="1"/>
    <col min="6" max="6" width="15.81640625" bestFit="1" customWidth="1"/>
    <col min="7" max="7" width="16.453125" bestFit="1" customWidth="1"/>
    <col min="8" max="8" width="15.54296875" customWidth="1"/>
    <col min="9" max="9" width="22.453125" bestFit="1" customWidth="1"/>
    <col min="10" max="10" width="11.54296875" bestFit="1" customWidth="1"/>
    <col min="13" max="13" width="11.453125" bestFit="1" customWidth="1"/>
  </cols>
  <sheetData>
    <row r="1" spans="1:13" ht="46">
      <c r="A1" s="622" t="s">
        <v>40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</row>
    <row r="2" spans="1:13" ht="15.5">
      <c r="A2" s="2" t="s">
        <v>0</v>
      </c>
      <c r="B2" s="38" t="s">
        <v>1</v>
      </c>
      <c r="C2" s="38" t="s">
        <v>2</v>
      </c>
      <c r="D2" s="38" t="s">
        <v>3</v>
      </c>
      <c r="E2" s="38" t="s">
        <v>4</v>
      </c>
      <c r="F2" s="38" t="s">
        <v>6</v>
      </c>
      <c r="G2" s="38" t="s">
        <v>8</v>
      </c>
      <c r="H2" s="38" t="s">
        <v>9</v>
      </c>
      <c r="I2" s="38" t="s">
        <v>901</v>
      </c>
      <c r="J2" s="38" t="s">
        <v>293</v>
      </c>
      <c r="K2" s="38" t="s">
        <v>321</v>
      </c>
      <c r="L2" s="38" t="s">
        <v>327</v>
      </c>
      <c r="M2" s="38" t="s">
        <v>243</v>
      </c>
    </row>
    <row r="3" spans="1:13">
      <c r="A3" s="1">
        <v>1</v>
      </c>
      <c r="B3" s="71" t="s">
        <v>1225</v>
      </c>
      <c r="C3" s="5">
        <v>586588166</v>
      </c>
      <c r="D3" s="5">
        <v>199</v>
      </c>
      <c r="E3" s="99" t="s">
        <v>12</v>
      </c>
      <c r="F3" s="42">
        <v>44866</v>
      </c>
      <c r="G3" s="5" t="s">
        <v>839</v>
      </c>
      <c r="H3" s="1"/>
      <c r="I3" s="43">
        <v>1.5042908800000001</v>
      </c>
      <c r="J3" s="43">
        <v>70126705</v>
      </c>
      <c r="K3" s="1" t="s">
        <v>385</v>
      </c>
      <c r="L3" s="1"/>
      <c r="M3" s="1"/>
    </row>
    <row r="4" spans="1:13">
      <c r="A4" s="1">
        <v>2</v>
      </c>
      <c r="B4" s="71" t="s">
        <v>1226</v>
      </c>
      <c r="C4" s="5">
        <v>557195961</v>
      </c>
      <c r="D4" s="5">
        <v>199</v>
      </c>
      <c r="E4" s="99" t="s">
        <v>12</v>
      </c>
      <c r="F4" s="42">
        <v>44866</v>
      </c>
      <c r="G4" s="5" t="s">
        <v>839</v>
      </c>
      <c r="H4" s="1"/>
      <c r="I4" s="72" t="s">
        <v>1227</v>
      </c>
      <c r="J4" s="5">
        <v>70103843</v>
      </c>
      <c r="K4" s="1"/>
      <c r="L4" s="1"/>
      <c r="M4" s="1"/>
    </row>
    <row r="5" spans="1:13">
      <c r="A5" s="1">
        <v>3</v>
      </c>
      <c r="B5" s="71" t="s">
        <v>1228</v>
      </c>
      <c r="C5" s="5">
        <v>552755313</v>
      </c>
      <c r="D5" s="5">
        <v>299</v>
      </c>
      <c r="E5" s="99" t="s">
        <v>12</v>
      </c>
      <c r="F5" s="42">
        <v>44866</v>
      </c>
      <c r="G5" s="5" t="s">
        <v>839</v>
      </c>
      <c r="H5" s="1"/>
      <c r="I5" s="5">
        <v>1.5038399600000001</v>
      </c>
      <c r="J5" s="43"/>
      <c r="K5" s="1"/>
      <c r="L5" s="1"/>
      <c r="M5" s="1"/>
    </row>
    <row r="6" spans="1:13">
      <c r="A6" s="1">
        <v>4</v>
      </c>
      <c r="B6" s="71" t="s">
        <v>1229</v>
      </c>
      <c r="C6" s="5">
        <v>588151091</v>
      </c>
      <c r="D6" s="5">
        <v>199</v>
      </c>
      <c r="E6" s="99" t="s">
        <v>12</v>
      </c>
      <c r="F6" s="42">
        <v>44866</v>
      </c>
      <c r="G6" s="5" t="s">
        <v>839</v>
      </c>
      <c r="H6" s="1"/>
      <c r="I6" s="5">
        <v>1.5043542400000001</v>
      </c>
      <c r="J6" s="5">
        <v>70139478</v>
      </c>
      <c r="K6" s="1"/>
      <c r="L6" s="1"/>
      <c r="M6" s="1"/>
    </row>
    <row r="7" spans="1:13">
      <c r="A7" s="1">
        <v>5</v>
      </c>
      <c r="B7" s="71" t="s">
        <v>1218</v>
      </c>
      <c r="C7" s="5">
        <v>505067566</v>
      </c>
      <c r="D7" s="5">
        <v>199</v>
      </c>
      <c r="E7" s="99" t="s">
        <v>12</v>
      </c>
      <c r="F7" s="42">
        <v>44866</v>
      </c>
      <c r="G7" s="5" t="s">
        <v>839</v>
      </c>
      <c r="H7" s="1"/>
      <c r="I7" s="5">
        <v>1.50412575</v>
      </c>
      <c r="J7" s="5">
        <v>70108006</v>
      </c>
      <c r="K7" s="1" t="s">
        <v>641</v>
      </c>
      <c r="L7" s="1"/>
      <c r="M7" s="1"/>
    </row>
    <row r="8" spans="1:13">
      <c r="A8" s="1">
        <v>6</v>
      </c>
      <c r="B8" s="71" t="s">
        <v>1230</v>
      </c>
      <c r="C8" s="5">
        <v>554221836</v>
      </c>
      <c r="D8" s="5">
        <v>299</v>
      </c>
      <c r="E8" s="5" t="s">
        <v>12</v>
      </c>
      <c r="F8" s="42">
        <v>44866</v>
      </c>
      <c r="G8" s="5" t="s">
        <v>839</v>
      </c>
      <c r="H8" s="1"/>
      <c r="I8" s="5">
        <v>1.50406072</v>
      </c>
      <c r="J8" s="5">
        <v>70092458</v>
      </c>
      <c r="K8" s="1"/>
      <c r="L8" s="1"/>
      <c r="M8" s="1"/>
    </row>
    <row r="9" spans="1:13">
      <c r="A9" s="1">
        <v>7</v>
      </c>
      <c r="B9" s="71" t="s">
        <v>1231</v>
      </c>
      <c r="C9" s="5">
        <v>582272772</v>
      </c>
      <c r="D9" s="5">
        <v>199</v>
      </c>
      <c r="E9" s="5" t="s">
        <v>12</v>
      </c>
      <c r="F9" s="42">
        <v>44866</v>
      </c>
      <c r="G9" s="5" t="s">
        <v>839</v>
      </c>
      <c r="H9" s="1"/>
      <c r="I9" s="5">
        <v>1.5045905100000001</v>
      </c>
      <c r="J9" s="5">
        <v>70167844</v>
      </c>
      <c r="K9" s="1" t="s">
        <v>386</v>
      </c>
      <c r="L9" s="1"/>
      <c r="M9" s="1"/>
    </row>
    <row r="10" spans="1:13">
      <c r="A10" s="1">
        <v>8</v>
      </c>
      <c r="B10" s="71" t="s">
        <v>1232</v>
      </c>
      <c r="C10" s="5">
        <v>544308782</v>
      </c>
      <c r="D10" s="5">
        <v>199</v>
      </c>
      <c r="E10" s="5" t="s">
        <v>12</v>
      </c>
      <c r="F10" s="42">
        <v>44866</v>
      </c>
      <c r="G10" s="5" t="s">
        <v>839</v>
      </c>
      <c r="H10" s="1"/>
      <c r="I10" s="5">
        <v>1.5047883799999999</v>
      </c>
      <c r="J10" s="5">
        <v>70184704</v>
      </c>
      <c r="K10" s="1" t="s">
        <v>386</v>
      </c>
      <c r="L10" s="1"/>
      <c r="M10" s="1"/>
    </row>
    <row r="11" spans="1:13">
      <c r="A11" s="1">
        <v>9</v>
      </c>
      <c r="B11" s="71" t="s">
        <v>1233</v>
      </c>
      <c r="C11" s="5">
        <v>501042812</v>
      </c>
      <c r="D11" s="5">
        <v>299</v>
      </c>
      <c r="E11" s="5" t="s">
        <v>12</v>
      </c>
      <c r="F11" s="42">
        <v>44866</v>
      </c>
      <c r="G11" s="5" t="s">
        <v>839</v>
      </c>
      <c r="H11" s="1"/>
      <c r="I11" s="5">
        <v>1.5048500899999999</v>
      </c>
      <c r="J11" s="5">
        <v>70196222</v>
      </c>
      <c r="K11" s="1"/>
      <c r="L11" s="1"/>
      <c r="M11" s="1"/>
    </row>
    <row r="12" spans="1:13">
      <c r="A12" s="1">
        <v>10</v>
      </c>
      <c r="B12" s="98" t="s">
        <v>1234</v>
      </c>
      <c r="C12" s="53">
        <v>524522711</v>
      </c>
      <c r="D12" s="53">
        <v>199</v>
      </c>
      <c r="E12" s="53" t="s">
        <v>12</v>
      </c>
      <c r="F12" s="54">
        <v>44868</v>
      </c>
      <c r="G12" s="53" t="s">
        <v>331</v>
      </c>
      <c r="H12" s="114"/>
      <c r="I12" s="53">
        <v>1.50490451</v>
      </c>
      <c r="J12" s="53">
        <v>702204812</v>
      </c>
      <c r="K12" s="1" t="s">
        <v>385</v>
      </c>
      <c r="L12" s="1"/>
      <c r="M12" s="1"/>
    </row>
    <row r="13" spans="1:13">
      <c r="A13" s="1">
        <v>11</v>
      </c>
      <c r="B13" s="71" t="s">
        <v>1235</v>
      </c>
      <c r="C13" s="5">
        <v>551249920</v>
      </c>
      <c r="D13" s="5">
        <v>199</v>
      </c>
      <c r="E13" s="5" t="s">
        <v>12</v>
      </c>
      <c r="F13" s="42">
        <v>44868</v>
      </c>
      <c r="G13" s="5" t="s">
        <v>839</v>
      </c>
      <c r="H13" s="1"/>
      <c r="I13" s="5">
        <v>1.5056493500000001</v>
      </c>
      <c r="J13" s="5">
        <v>70301285</v>
      </c>
      <c r="K13" s="1"/>
      <c r="L13" s="1"/>
      <c r="M13" s="1"/>
    </row>
    <row r="14" spans="1:13">
      <c r="A14" s="1">
        <v>12</v>
      </c>
      <c r="B14" s="71" t="s">
        <v>1236</v>
      </c>
      <c r="C14" s="5">
        <v>502227535</v>
      </c>
      <c r="D14" s="5">
        <v>199</v>
      </c>
      <c r="E14" s="5" t="s">
        <v>12</v>
      </c>
      <c r="F14" s="42">
        <v>44868</v>
      </c>
      <c r="G14" s="5" t="s">
        <v>839</v>
      </c>
      <c r="H14" s="1"/>
      <c r="I14" s="5">
        <v>1.5058319499999999</v>
      </c>
      <c r="J14" s="5">
        <v>70313267</v>
      </c>
      <c r="K14" s="1"/>
      <c r="L14" s="1"/>
      <c r="M14" s="1"/>
    </row>
    <row r="15" spans="1:13">
      <c r="A15" s="1">
        <v>13</v>
      </c>
      <c r="B15" s="71" t="s">
        <v>1237</v>
      </c>
      <c r="C15" s="5">
        <v>552685838</v>
      </c>
      <c r="D15" s="5">
        <v>199</v>
      </c>
      <c r="E15" s="5" t="s">
        <v>12</v>
      </c>
      <c r="F15" s="42">
        <v>44868</v>
      </c>
      <c r="G15" s="5" t="s">
        <v>839</v>
      </c>
      <c r="H15" s="1"/>
      <c r="I15" s="5">
        <v>1.31349999</v>
      </c>
      <c r="J15" s="5">
        <v>70345724</v>
      </c>
      <c r="K15" s="1"/>
      <c r="L15" s="1"/>
      <c r="M15" s="1"/>
    </row>
    <row r="16" spans="1:13">
      <c r="A16" s="1">
        <v>14</v>
      </c>
      <c r="B16" s="71" t="s">
        <v>1238</v>
      </c>
      <c r="C16" s="5">
        <v>503111234</v>
      </c>
      <c r="D16" s="5">
        <v>199</v>
      </c>
      <c r="E16" s="5" t="s">
        <v>12</v>
      </c>
      <c r="F16" s="42">
        <v>44873</v>
      </c>
      <c r="G16" s="5" t="s">
        <v>839</v>
      </c>
      <c r="H16" s="1"/>
      <c r="I16" s="5">
        <v>1.2457740900000001</v>
      </c>
      <c r="J16" s="5">
        <v>70352269</v>
      </c>
      <c r="K16" s="1"/>
      <c r="L16" s="1"/>
      <c r="M16" s="1"/>
    </row>
    <row r="17" spans="1:13">
      <c r="A17" s="1">
        <v>15</v>
      </c>
      <c r="B17" s="71" t="s">
        <v>1239</v>
      </c>
      <c r="C17" s="5">
        <v>545444044</v>
      </c>
      <c r="D17" s="5">
        <v>299</v>
      </c>
      <c r="E17" s="5" t="s">
        <v>102</v>
      </c>
      <c r="F17" s="42">
        <v>44873</v>
      </c>
      <c r="G17" s="5" t="s">
        <v>839</v>
      </c>
      <c r="H17" s="1"/>
      <c r="I17" s="5">
        <v>1.5063694700000001</v>
      </c>
      <c r="J17" s="5">
        <v>70374159</v>
      </c>
      <c r="K17" s="1"/>
      <c r="L17" s="1"/>
      <c r="M17" s="1"/>
    </row>
    <row r="18" spans="1:13">
      <c r="A18" s="1">
        <v>16</v>
      </c>
      <c r="B18" s="71" t="s">
        <v>1240</v>
      </c>
      <c r="C18" s="5">
        <v>524482185</v>
      </c>
      <c r="D18" s="5">
        <v>299</v>
      </c>
      <c r="E18" s="5" t="s">
        <v>12</v>
      </c>
      <c r="F18" s="42">
        <v>44873</v>
      </c>
      <c r="G18" s="5" t="s">
        <v>839</v>
      </c>
      <c r="H18" s="1"/>
      <c r="I18" s="5">
        <v>1.50640347</v>
      </c>
      <c r="J18" s="5">
        <v>70382473</v>
      </c>
      <c r="K18" s="1"/>
      <c r="L18" s="1"/>
      <c r="M18" s="1"/>
    </row>
    <row r="19" spans="1:13">
      <c r="A19" s="1">
        <v>17</v>
      </c>
      <c r="B19" s="71" t="s">
        <v>1241</v>
      </c>
      <c r="C19" s="5">
        <v>526874917</v>
      </c>
      <c r="D19" s="5">
        <v>199</v>
      </c>
      <c r="E19" s="5" t="s">
        <v>12</v>
      </c>
      <c r="F19" s="42">
        <v>44873</v>
      </c>
      <c r="G19" s="5" t="s">
        <v>839</v>
      </c>
      <c r="H19" s="1"/>
      <c r="I19" s="5">
        <v>1.5064454</v>
      </c>
      <c r="J19" s="5">
        <v>70387264</v>
      </c>
      <c r="K19" s="1" t="s">
        <v>641</v>
      </c>
      <c r="L19" s="1"/>
      <c r="M19" s="1"/>
    </row>
    <row r="20" spans="1:13">
      <c r="A20" s="1">
        <v>18</v>
      </c>
      <c r="B20" s="71" t="s">
        <v>1242</v>
      </c>
      <c r="C20" s="5">
        <v>547644556</v>
      </c>
      <c r="D20" s="5">
        <v>199</v>
      </c>
      <c r="E20" s="5" t="s">
        <v>12</v>
      </c>
      <c r="F20" s="42">
        <v>44873</v>
      </c>
      <c r="G20" s="5" t="s">
        <v>839</v>
      </c>
      <c r="H20" s="1"/>
      <c r="I20" s="5">
        <v>1.5066370600000001</v>
      </c>
      <c r="J20" s="5">
        <v>70402666</v>
      </c>
      <c r="K20" s="1"/>
      <c r="L20" s="1"/>
      <c r="M20" s="1"/>
    </row>
    <row r="21" spans="1:13">
      <c r="A21" s="1">
        <v>19</v>
      </c>
      <c r="B21" s="71" t="s">
        <v>1243</v>
      </c>
      <c r="C21" s="5">
        <v>527468968</v>
      </c>
      <c r="D21" s="5">
        <v>199</v>
      </c>
      <c r="E21" s="5" t="s">
        <v>12</v>
      </c>
      <c r="F21" s="42">
        <v>44875</v>
      </c>
      <c r="G21" s="5" t="s">
        <v>839</v>
      </c>
      <c r="H21" s="1"/>
      <c r="I21" s="5">
        <v>1.4537736800000001</v>
      </c>
      <c r="J21" s="5">
        <v>70406247</v>
      </c>
      <c r="K21" s="1"/>
      <c r="L21" s="1"/>
      <c r="M21" s="1"/>
    </row>
    <row r="22" spans="1:13">
      <c r="A22" s="1">
        <v>20</v>
      </c>
      <c r="B22" s="71" t="s">
        <v>1244</v>
      </c>
      <c r="C22" s="5">
        <v>589702145</v>
      </c>
      <c r="D22" s="5">
        <v>199</v>
      </c>
      <c r="E22" s="5" t="s">
        <v>12</v>
      </c>
      <c r="F22" s="42">
        <v>44875</v>
      </c>
      <c r="G22" s="5" t="s">
        <v>331</v>
      </c>
      <c r="H22" s="1"/>
      <c r="I22" s="5">
        <v>1.5069652899999999</v>
      </c>
      <c r="J22" s="5">
        <v>70439538</v>
      </c>
      <c r="K22" s="1"/>
      <c r="L22" s="1"/>
      <c r="M22" s="1"/>
    </row>
    <row r="23" spans="1:13">
      <c r="A23" s="1">
        <v>21</v>
      </c>
      <c r="B23" s="71" t="s">
        <v>1245</v>
      </c>
      <c r="C23" s="5">
        <v>561390502</v>
      </c>
      <c r="D23" s="5">
        <v>199</v>
      </c>
      <c r="E23" s="5" t="s">
        <v>12</v>
      </c>
      <c r="F23" s="42">
        <v>44875</v>
      </c>
      <c r="G23" s="5" t="s">
        <v>839</v>
      </c>
      <c r="H23" s="1"/>
      <c r="I23" s="5">
        <v>1.42451331</v>
      </c>
      <c r="J23" s="5">
        <v>70451126</v>
      </c>
      <c r="K23" s="1"/>
      <c r="L23" s="1"/>
      <c r="M23" s="1"/>
    </row>
    <row r="24" spans="1:13">
      <c r="A24" s="1">
        <v>22</v>
      </c>
      <c r="B24" s="71" t="s">
        <v>1246</v>
      </c>
      <c r="C24" s="5">
        <v>552205656</v>
      </c>
      <c r="D24" s="5">
        <v>199</v>
      </c>
      <c r="E24" s="5" t="s">
        <v>12</v>
      </c>
      <c r="F24" s="42">
        <v>44875</v>
      </c>
      <c r="G24" s="5" t="s">
        <v>839</v>
      </c>
      <c r="H24" s="1"/>
      <c r="I24" s="5">
        <v>1.23139237</v>
      </c>
      <c r="J24" s="5">
        <v>70562444</v>
      </c>
      <c r="K24" s="1" t="s">
        <v>385</v>
      </c>
      <c r="L24" s="1"/>
      <c r="M24" s="1"/>
    </row>
    <row r="25" spans="1:13">
      <c r="A25" s="1">
        <v>23</v>
      </c>
      <c r="B25" s="71" t="s">
        <v>1247</v>
      </c>
      <c r="C25" s="5">
        <v>555819020</v>
      </c>
      <c r="D25" s="5">
        <v>199</v>
      </c>
      <c r="E25" s="5" t="s">
        <v>12</v>
      </c>
      <c r="F25" s="42">
        <v>44876</v>
      </c>
      <c r="G25" s="5" t="s">
        <v>839</v>
      </c>
      <c r="H25" s="1"/>
      <c r="I25" s="5">
        <v>1.4982615800000001</v>
      </c>
      <c r="J25" s="5">
        <v>70605221</v>
      </c>
      <c r="K25" s="1" t="s">
        <v>386</v>
      </c>
      <c r="L25" s="1"/>
      <c r="M25" s="1"/>
    </row>
    <row r="26" spans="1:13">
      <c r="A26" s="1">
        <v>24</v>
      </c>
      <c r="B26" s="71" t="s">
        <v>1248</v>
      </c>
      <c r="C26" s="5">
        <v>566966666</v>
      </c>
      <c r="D26" s="5">
        <v>299</v>
      </c>
      <c r="E26" s="5" t="s">
        <v>12</v>
      </c>
      <c r="F26" s="42">
        <v>44876</v>
      </c>
      <c r="G26" s="5" t="s">
        <v>839</v>
      </c>
      <c r="H26" s="1"/>
      <c r="I26" s="5">
        <v>1.50881077</v>
      </c>
      <c r="J26" s="5">
        <v>70618717</v>
      </c>
      <c r="K26" s="1" t="s">
        <v>386</v>
      </c>
      <c r="L26" s="1"/>
      <c r="M26" s="1"/>
    </row>
    <row r="27" spans="1:13">
      <c r="A27" s="1">
        <v>25</v>
      </c>
      <c r="B27" s="71" t="s">
        <v>1249</v>
      </c>
      <c r="C27" s="5">
        <v>524005553</v>
      </c>
      <c r="D27" s="5">
        <v>299</v>
      </c>
      <c r="E27" s="5" t="s">
        <v>12</v>
      </c>
      <c r="F27" s="42">
        <v>44876</v>
      </c>
      <c r="G27" s="5" t="s">
        <v>839</v>
      </c>
      <c r="H27" s="1"/>
      <c r="I27" s="5">
        <v>1.4225094700000001</v>
      </c>
      <c r="J27" s="43">
        <v>70664863</v>
      </c>
      <c r="K27" s="1"/>
      <c r="L27" s="1"/>
      <c r="M27" s="1"/>
    </row>
    <row r="28" spans="1:13">
      <c r="A28" s="1">
        <v>26</v>
      </c>
      <c r="B28" s="71" t="s">
        <v>1250</v>
      </c>
      <c r="C28" s="5">
        <v>552868062</v>
      </c>
      <c r="D28" s="5">
        <v>199</v>
      </c>
      <c r="E28" s="5" t="s">
        <v>12</v>
      </c>
      <c r="F28" s="42">
        <v>44880</v>
      </c>
      <c r="G28" s="5" t="s">
        <v>839</v>
      </c>
      <c r="H28" s="1"/>
      <c r="I28" s="5">
        <v>1.2183116300000001</v>
      </c>
      <c r="J28" s="5">
        <v>70680603</v>
      </c>
      <c r="K28" s="1"/>
      <c r="L28" s="1"/>
      <c r="M28" s="1"/>
    </row>
    <row r="29" spans="1:13">
      <c r="A29" s="1">
        <v>27</v>
      </c>
      <c r="B29" s="71" t="s">
        <v>1251</v>
      </c>
      <c r="C29" s="5">
        <v>555164418</v>
      </c>
      <c r="D29" s="5">
        <v>199</v>
      </c>
      <c r="E29" s="5" t="s">
        <v>12</v>
      </c>
      <c r="F29" s="42">
        <v>44881</v>
      </c>
      <c r="G29" s="5" t="s">
        <v>839</v>
      </c>
      <c r="H29" s="1"/>
      <c r="I29" s="5">
        <v>1.15922671</v>
      </c>
      <c r="J29" s="5"/>
      <c r="K29" s="1"/>
      <c r="L29" s="1"/>
      <c r="M29" s="1"/>
    </row>
    <row r="30" spans="1:13">
      <c r="A30" s="1">
        <v>28</v>
      </c>
      <c r="B30" s="98" t="s">
        <v>1252</v>
      </c>
      <c r="C30" s="53">
        <v>582874384</v>
      </c>
      <c r="D30" s="53">
        <v>199</v>
      </c>
      <c r="E30" s="53" t="s">
        <v>12</v>
      </c>
      <c r="F30" s="54">
        <v>44882</v>
      </c>
      <c r="G30" s="53" t="s">
        <v>331</v>
      </c>
      <c r="H30" s="114"/>
      <c r="I30" s="53">
        <v>1.49238626</v>
      </c>
      <c r="J30" s="122">
        <v>70724036</v>
      </c>
      <c r="K30" s="1" t="s">
        <v>386</v>
      </c>
      <c r="L30" s="1"/>
      <c r="M30" s="1"/>
    </row>
    <row r="31" spans="1:13">
      <c r="A31" s="1">
        <v>29</v>
      </c>
      <c r="B31" s="71" t="s">
        <v>1253</v>
      </c>
      <c r="C31" s="5">
        <v>526009036</v>
      </c>
      <c r="D31" s="5">
        <v>199</v>
      </c>
      <c r="E31" s="5" t="s">
        <v>12</v>
      </c>
      <c r="F31" s="42">
        <v>44882</v>
      </c>
      <c r="G31" s="5" t="s">
        <v>839</v>
      </c>
      <c r="H31" s="1"/>
      <c r="I31" s="5">
        <v>1.51004066</v>
      </c>
      <c r="J31" s="5">
        <v>70757492</v>
      </c>
      <c r="K31" s="1"/>
      <c r="L31" s="1"/>
      <c r="M31" s="1"/>
    </row>
    <row r="32" spans="1:13">
      <c r="A32" s="1">
        <v>30</v>
      </c>
      <c r="B32" s="71" t="s">
        <v>1254</v>
      </c>
      <c r="C32" s="5">
        <v>555844922</v>
      </c>
      <c r="D32" s="5">
        <v>199</v>
      </c>
      <c r="E32" s="5" t="s">
        <v>12</v>
      </c>
      <c r="F32" s="42">
        <v>44888</v>
      </c>
      <c r="G32" s="5" t="s">
        <v>839</v>
      </c>
      <c r="H32" s="1"/>
      <c r="I32" s="5">
        <v>1.29678505</v>
      </c>
      <c r="J32" s="5">
        <v>70773169</v>
      </c>
      <c r="K32" s="1" t="s">
        <v>385</v>
      </c>
      <c r="L32" s="1"/>
      <c r="M32" s="1"/>
    </row>
    <row r="33" spans="1:13">
      <c r="A33" s="1">
        <v>31</v>
      </c>
      <c r="B33" s="71" t="s">
        <v>1255</v>
      </c>
      <c r="C33" s="5">
        <v>526410994</v>
      </c>
      <c r="D33" s="5">
        <v>199</v>
      </c>
      <c r="E33" s="5" t="s">
        <v>12</v>
      </c>
      <c r="F33" s="42">
        <v>44888</v>
      </c>
      <c r="G33" s="5" t="s">
        <v>839</v>
      </c>
      <c r="H33" s="1"/>
      <c r="I33" s="5">
        <v>1.5108112300000001</v>
      </c>
      <c r="J33" s="5">
        <v>70835403</v>
      </c>
      <c r="K33" s="1"/>
      <c r="L33" s="1"/>
      <c r="M33" s="1"/>
    </row>
    <row r="34" spans="1:13">
      <c r="A34" s="1">
        <v>32</v>
      </c>
      <c r="B34" s="71" t="s">
        <v>1256</v>
      </c>
      <c r="C34" s="5">
        <v>588075964</v>
      </c>
      <c r="D34" s="5">
        <v>199</v>
      </c>
      <c r="E34" s="5" t="s">
        <v>12</v>
      </c>
      <c r="F34" s="42">
        <v>44890</v>
      </c>
      <c r="G34" s="5" t="s">
        <v>839</v>
      </c>
      <c r="H34" s="1"/>
      <c r="I34" s="5">
        <v>1.4173701400000001</v>
      </c>
      <c r="J34" s="5">
        <v>70841392</v>
      </c>
      <c r="K34" s="1" t="s">
        <v>386</v>
      </c>
      <c r="L34" s="1"/>
      <c r="M34" s="1"/>
    </row>
    <row r="35" spans="1:13">
      <c r="A35" s="1">
        <v>33</v>
      </c>
      <c r="B35" s="71" t="s">
        <v>1257</v>
      </c>
      <c r="C35" s="5">
        <v>524397632</v>
      </c>
      <c r="D35" s="5">
        <v>199</v>
      </c>
      <c r="E35" s="5" t="s">
        <v>12</v>
      </c>
      <c r="F35" s="42">
        <v>44890</v>
      </c>
      <c r="G35" s="5" t="s">
        <v>839</v>
      </c>
      <c r="H35" s="1"/>
      <c r="I35" s="5">
        <v>1.5113819399999999</v>
      </c>
      <c r="J35" s="5">
        <v>70911082</v>
      </c>
      <c r="K35" s="1" t="s">
        <v>385</v>
      </c>
      <c r="L35" s="1"/>
      <c r="M35" s="1"/>
    </row>
    <row r="36" spans="1:13">
      <c r="A36" s="1">
        <v>34</v>
      </c>
      <c r="B36" s="71" t="s">
        <v>1258</v>
      </c>
      <c r="C36" s="5">
        <v>507519917</v>
      </c>
      <c r="D36" s="5">
        <v>299</v>
      </c>
      <c r="E36" s="5" t="s">
        <v>12</v>
      </c>
      <c r="F36" s="42">
        <v>44890</v>
      </c>
      <c r="G36" s="5" t="s">
        <v>839</v>
      </c>
      <c r="H36" s="1"/>
      <c r="I36" s="5">
        <v>1.51159511</v>
      </c>
      <c r="J36" s="5">
        <v>70932144</v>
      </c>
      <c r="K36" s="1"/>
      <c r="L36" s="1"/>
      <c r="M36" s="1"/>
    </row>
    <row r="37" spans="1:13">
      <c r="A37" s="1">
        <v>35</v>
      </c>
      <c r="B37" s="71" t="s">
        <v>1259</v>
      </c>
      <c r="C37" s="5">
        <v>504000162</v>
      </c>
      <c r="D37" s="5">
        <v>299</v>
      </c>
      <c r="E37" s="5" t="s">
        <v>102</v>
      </c>
      <c r="F37" s="42">
        <v>44891</v>
      </c>
      <c r="G37" s="5" t="s">
        <v>839</v>
      </c>
      <c r="H37" s="1"/>
      <c r="I37" s="5">
        <v>1.4095435000000001</v>
      </c>
      <c r="J37" s="5">
        <v>70957049</v>
      </c>
      <c r="K37" s="1"/>
      <c r="L37" s="1"/>
      <c r="M37" s="1"/>
    </row>
    <row r="38" spans="1:13">
      <c r="A38" s="1">
        <v>36</v>
      </c>
      <c r="B38" s="71" t="s">
        <v>1260</v>
      </c>
      <c r="C38" s="5">
        <v>529357219</v>
      </c>
      <c r="D38" s="5">
        <v>199</v>
      </c>
      <c r="E38" s="5" t="s">
        <v>12</v>
      </c>
      <c r="F38" s="42">
        <v>44892</v>
      </c>
      <c r="G38" s="5" t="s">
        <v>839</v>
      </c>
      <c r="H38" s="1"/>
      <c r="I38" s="72" t="s">
        <v>1261</v>
      </c>
      <c r="J38" s="5">
        <v>70962840</v>
      </c>
      <c r="K38" s="1"/>
      <c r="L38" s="1"/>
      <c r="M38" s="1"/>
    </row>
    <row r="39" spans="1:13">
      <c r="A39" s="1">
        <v>37</v>
      </c>
      <c r="B39" s="71" t="s">
        <v>1262</v>
      </c>
      <c r="C39" s="5">
        <v>582026506</v>
      </c>
      <c r="D39" s="5">
        <v>299</v>
      </c>
      <c r="E39" s="5" t="s">
        <v>12</v>
      </c>
      <c r="F39" s="42">
        <v>44893</v>
      </c>
      <c r="G39" s="5" t="s">
        <v>839</v>
      </c>
      <c r="H39" s="1"/>
      <c r="I39" s="5">
        <v>1.5118590999999999</v>
      </c>
      <c r="J39" s="5">
        <v>70971767</v>
      </c>
      <c r="K39" s="1"/>
      <c r="L39" s="1"/>
      <c r="M39" s="1"/>
    </row>
    <row r="40" spans="1:13">
      <c r="A40" s="1">
        <v>38</v>
      </c>
      <c r="B40" s="71" t="s">
        <v>1263</v>
      </c>
      <c r="C40" s="5">
        <v>544036984</v>
      </c>
      <c r="D40" s="5">
        <v>199</v>
      </c>
      <c r="E40" s="5" t="s">
        <v>12</v>
      </c>
      <c r="F40" s="42">
        <v>44895</v>
      </c>
      <c r="G40" s="5" t="s">
        <v>839</v>
      </c>
      <c r="H40" s="1"/>
      <c r="I40" s="5">
        <v>1.5120995399999999</v>
      </c>
      <c r="J40" s="5">
        <v>70997573</v>
      </c>
      <c r="K40" s="1" t="s">
        <v>386</v>
      </c>
      <c r="L40" s="1"/>
      <c r="M40" s="1"/>
    </row>
  </sheetData>
  <autoFilter ref="B2:M40" xr:uid="{00000000-0009-0000-0000-00000D000000}"/>
  <mergeCells count="1">
    <mergeCell ref="A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40"/>
  <sheetViews>
    <sheetView topLeftCell="A2" zoomScale="85" zoomScaleNormal="85" workbookViewId="0">
      <selection activeCell="C2" sqref="C1:C1048576"/>
    </sheetView>
  </sheetViews>
  <sheetFormatPr defaultRowHeight="14.5"/>
  <cols>
    <col min="1" max="1" width="4.453125" bestFit="1" customWidth="1"/>
    <col min="2" max="2" width="34.54296875" bestFit="1" customWidth="1"/>
    <col min="3" max="3" width="26.453125" bestFit="1" customWidth="1"/>
    <col min="4" max="4" width="14.453125" bestFit="1" customWidth="1"/>
    <col min="5" max="5" width="12.81640625" bestFit="1" customWidth="1"/>
    <col min="6" max="6" width="16.54296875" bestFit="1" customWidth="1"/>
    <col min="7" max="7" width="17.453125" bestFit="1" customWidth="1"/>
    <col min="8" max="8" width="28.453125" bestFit="1" customWidth="1"/>
    <col min="9" max="9" width="18.81640625" bestFit="1" customWidth="1"/>
    <col min="11" max="11" width="6.81640625" bestFit="1" customWidth="1"/>
  </cols>
  <sheetData>
    <row r="1" spans="1:13" ht="46">
      <c r="A1" s="622" t="s">
        <v>40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  <c r="M1" s="622"/>
    </row>
    <row r="2" spans="1:13" ht="15.5">
      <c r="A2" s="2" t="s">
        <v>0</v>
      </c>
      <c r="B2" s="38" t="s">
        <v>1</v>
      </c>
      <c r="C2" s="38" t="s">
        <v>2</v>
      </c>
      <c r="D2" s="38" t="s">
        <v>3</v>
      </c>
      <c r="E2" s="38" t="s">
        <v>4</v>
      </c>
      <c r="F2" s="38" t="s">
        <v>6</v>
      </c>
      <c r="G2" s="38" t="s">
        <v>8</v>
      </c>
      <c r="H2" s="38" t="s">
        <v>9</v>
      </c>
      <c r="I2" s="38" t="s">
        <v>901</v>
      </c>
      <c r="J2" s="38" t="s">
        <v>293</v>
      </c>
      <c r="K2" s="38" t="s">
        <v>321</v>
      </c>
      <c r="L2" s="38" t="s">
        <v>327</v>
      </c>
      <c r="M2" s="38" t="s">
        <v>243</v>
      </c>
    </row>
    <row r="3" spans="1:13">
      <c r="A3" s="1">
        <v>1</v>
      </c>
      <c r="B3" s="71" t="s">
        <v>1267</v>
      </c>
      <c r="C3" s="5">
        <v>522075572</v>
      </c>
      <c r="D3" s="99" t="s">
        <v>12</v>
      </c>
      <c r="E3" s="5" t="s">
        <v>839</v>
      </c>
      <c r="F3" s="1"/>
      <c r="G3" s="1"/>
      <c r="H3" s="119"/>
      <c r="I3" s="43">
        <v>1.5126859399999999</v>
      </c>
      <c r="J3" s="43">
        <v>71097146</v>
      </c>
      <c r="K3" s="119"/>
      <c r="L3" s="1"/>
      <c r="M3" s="1"/>
    </row>
    <row r="4" spans="1:13">
      <c r="A4" s="1">
        <v>2</v>
      </c>
      <c r="B4" s="71" t="s">
        <v>1268</v>
      </c>
      <c r="C4" s="5">
        <v>564747126</v>
      </c>
      <c r="D4" s="99" t="s">
        <v>12</v>
      </c>
      <c r="E4" s="5" t="s">
        <v>839</v>
      </c>
      <c r="F4" s="1"/>
      <c r="G4" s="1"/>
      <c r="H4" s="119"/>
      <c r="I4" s="72" t="s">
        <v>1269</v>
      </c>
      <c r="J4" s="5">
        <v>71147372</v>
      </c>
      <c r="K4" s="119"/>
      <c r="L4" s="1"/>
      <c r="M4" s="1"/>
    </row>
    <row r="5" spans="1:13">
      <c r="A5" s="1">
        <v>3</v>
      </c>
      <c r="B5" s="71" t="s">
        <v>1270</v>
      </c>
      <c r="C5" s="5">
        <v>563602009</v>
      </c>
      <c r="D5" s="99" t="s">
        <v>12</v>
      </c>
      <c r="E5" s="5" t="s">
        <v>839</v>
      </c>
      <c r="F5" s="1"/>
      <c r="G5" s="1"/>
      <c r="H5" s="119"/>
      <c r="I5" s="5">
        <v>1.13033454</v>
      </c>
      <c r="J5" s="43">
        <v>71234914</v>
      </c>
      <c r="K5" s="119"/>
      <c r="L5" s="1"/>
      <c r="M5" s="1"/>
    </row>
    <row r="6" spans="1:13">
      <c r="A6" s="1">
        <v>4</v>
      </c>
      <c r="B6" s="71" t="s">
        <v>1271</v>
      </c>
      <c r="C6" s="5">
        <v>508092961</v>
      </c>
      <c r="D6" s="99" t="s">
        <v>12</v>
      </c>
      <c r="E6" s="5" t="s">
        <v>839</v>
      </c>
      <c r="F6" s="1"/>
      <c r="G6" s="1"/>
      <c r="H6" s="119"/>
      <c r="I6" s="5">
        <v>1.5137871899999999</v>
      </c>
      <c r="J6" s="5">
        <v>71256543</v>
      </c>
      <c r="K6" s="119" t="s">
        <v>386</v>
      </c>
      <c r="L6" s="1"/>
      <c r="M6" s="1"/>
    </row>
    <row r="7" spans="1:13">
      <c r="A7" s="1">
        <v>5</v>
      </c>
      <c r="B7" s="71" t="s">
        <v>1102</v>
      </c>
      <c r="C7" s="5">
        <v>547820567</v>
      </c>
      <c r="D7" s="99" t="s">
        <v>12</v>
      </c>
      <c r="E7" s="5" t="s">
        <v>839</v>
      </c>
      <c r="F7" s="1"/>
      <c r="G7" s="1"/>
      <c r="H7" s="119"/>
      <c r="I7" s="5">
        <v>1.51406386</v>
      </c>
      <c r="J7" s="5">
        <v>71288901</v>
      </c>
      <c r="K7" s="119"/>
      <c r="L7" s="1"/>
      <c r="M7" s="1"/>
    </row>
    <row r="8" spans="1:13">
      <c r="A8" s="1">
        <v>6</v>
      </c>
      <c r="B8" s="71" t="s">
        <v>1272</v>
      </c>
      <c r="C8" s="5">
        <v>558525520</v>
      </c>
      <c r="D8" s="99" t="s">
        <v>12</v>
      </c>
      <c r="E8" s="5" t="s">
        <v>839</v>
      </c>
      <c r="F8" s="1"/>
      <c r="G8" s="1"/>
      <c r="H8" s="119"/>
      <c r="I8" s="5">
        <v>1.2783019600000001</v>
      </c>
      <c r="J8" s="5"/>
      <c r="K8" s="119"/>
      <c r="L8" s="1"/>
      <c r="M8" s="1"/>
    </row>
    <row r="9" spans="1:13">
      <c r="A9" s="1">
        <v>7</v>
      </c>
      <c r="B9" s="71" t="s">
        <v>1273</v>
      </c>
      <c r="C9" s="5">
        <v>524909920</v>
      </c>
      <c r="D9" s="99" t="s">
        <v>12</v>
      </c>
      <c r="E9" s="5" t="s">
        <v>839</v>
      </c>
      <c r="F9" s="1"/>
      <c r="G9" s="1"/>
      <c r="H9" s="119"/>
      <c r="I9" s="5">
        <v>1.51407041</v>
      </c>
      <c r="J9" s="5">
        <v>71289614</v>
      </c>
      <c r="K9" s="119"/>
      <c r="L9" s="1"/>
      <c r="M9" s="1"/>
    </row>
    <row r="10" spans="1:13">
      <c r="A10" s="1">
        <v>8</v>
      </c>
      <c r="B10" s="71" t="s">
        <v>1274</v>
      </c>
      <c r="C10" s="5">
        <v>504813331</v>
      </c>
      <c r="D10" s="99" t="s">
        <v>12</v>
      </c>
      <c r="E10" s="5" t="s">
        <v>839</v>
      </c>
      <c r="F10" s="1"/>
      <c r="G10" s="1"/>
      <c r="H10" s="119"/>
      <c r="I10" s="5">
        <v>1.18698416</v>
      </c>
      <c r="J10" s="5">
        <v>71339811</v>
      </c>
      <c r="K10" s="119" t="s">
        <v>386</v>
      </c>
      <c r="L10" s="1"/>
      <c r="M10" s="1"/>
    </row>
    <row r="11" spans="1:13">
      <c r="A11" s="1">
        <v>9</v>
      </c>
      <c r="B11" s="71" t="s">
        <v>1275</v>
      </c>
      <c r="C11" s="5">
        <v>509885576</v>
      </c>
      <c r="D11" s="99" t="s">
        <v>12</v>
      </c>
      <c r="E11" s="5" t="s">
        <v>839</v>
      </c>
      <c r="F11" s="1"/>
      <c r="G11" s="1"/>
      <c r="H11" s="119"/>
      <c r="I11" s="5">
        <v>1.44206955</v>
      </c>
      <c r="J11" s="5">
        <v>71405532</v>
      </c>
      <c r="K11" s="119" t="s">
        <v>386</v>
      </c>
      <c r="L11" s="1"/>
      <c r="M11" s="1"/>
    </row>
    <row r="12" spans="1:13">
      <c r="A12" s="1">
        <v>10</v>
      </c>
      <c r="B12" s="71" t="s">
        <v>1276</v>
      </c>
      <c r="C12" s="5">
        <v>563042622</v>
      </c>
      <c r="D12" s="99" t="s">
        <v>12</v>
      </c>
      <c r="E12" s="5" t="s">
        <v>839</v>
      </c>
      <c r="F12" s="1"/>
      <c r="G12" s="1"/>
      <c r="H12" s="119"/>
      <c r="I12" s="5">
        <v>1.5155489799999999</v>
      </c>
      <c r="J12" s="5">
        <v>71438968</v>
      </c>
      <c r="K12" s="119" t="s">
        <v>385</v>
      </c>
      <c r="L12" s="1"/>
      <c r="M12" s="1"/>
    </row>
    <row r="13" spans="1:13">
      <c r="A13" s="1">
        <v>11</v>
      </c>
      <c r="B13" s="71" t="s">
        <v>1277</v>
      </c>
      <c r="C13" s="5">
        <v>508745111</v>
      </c>
      <c r="D13" s="99" t="s">
        <v>12</v>
      </c>
      <c r="E13" s="5" t="s">
        <v>839</v>
      </c>
      <c r="F13" s="1"/>
      <c r="G13" s="1"/>
      <c r="H13" s="119"/>
      <c r="I13" s="5">
        <v>1.27865863</v>
      </c>
      <c r="J13" s="5">
        <v>71442806</v>
      </c>
      <c r="K13" s="119"/>
      <c r="L13" s="1"/>
      <c r="M13" s="1"/>
    </row>
    <row r="14" spans="1:13">
      <c r="A14" s="1">
        <v>12</v>
      </c>
      <c r="B14" s="71" t="s">
        <v>1278</v>
      </c>
      <c r="C14" s="5">
        <v>502414143</v>
      </c>
      <c r="D14" s="99" t="s">
        <v>12</v>
      </c>
      <c r="E14" s="5" t="s">
        <v>839</v>
      </c>
      <c r="F14" s="1"/>
      <c r="G14" s="1"/>
      <c r="H14" s="119"/>
      <c r="I14" s="5">
        <v>1.10015749</v>
      </c>
      <c r="J14" s="5">
        <v>71454811</v>
      </c>
      <c r="K14" s="119" t="s">
        <v>386</v>
      </c>
      <c r="L14" s="1"/>
      <c r="M14" s="1"/>
    </row>
    <row r="15" spans="1:13">
      <c r="A15" s="1">
        <v>13</v>
      </c>
      <c r="B15" s="71" t="s">
        <v>1279</v>
      </c>
      <c r="C15" s="5">
        <v>505464097</v>
      </c>
      <c r="D15" s="99" t="s">
        <v>12</v>
      </c>
      <c r="E15" s="5" t="s">
        <v>839</v>
      </c>
      <c r="F15" s="1"/>
      <c r="G15" s="1"/>
      <c r="H15" s="119"/>
      <c r="I15" s="5">
        <v>1.5158510000000001</v>
      </c>
      <c r="J15" s="5">
        <v>71472584</v>
      </c>
      <c r="K15" s="119"/>
      <c r="L15" s="1"/>
      <c r="M15" s="1"/>
    </row>
    <row r="16" spans="1:13">
      <c r="A16" s="1">
        <v>14</v>
      </c>
      <c r="B16" s="71" t="s">
        <v>1280</v>
      </c>
      <c r="C16" s="5">
        <v>527925080</v>
      </c>
      <c r="D16" s="99" t="s">
        <v>12</v>
      </c>
      <c r="E16" s="5" t="s">
        <v>839</v>
      </c>
      <c r="F16" s="1"/>
      <c r="G16" s="1"/>
      <c r="H16" s="119"/>
      <c r="I16" s="5">
        <v>1.4193755800000001</v>
      </c>
      <c r="J16" s="5">
        <v>71518264</v>
      </c>
      <c r="K16" s="119"/>
      <c r="L16" s="1"/>
      <c r="M16" s="1"/>
    </row>
    <row r="17" spans="1:13">
      <c r="A17" s="1">
        <v>15</v>
      </c>
      <c r="B17" s="71" t="s">
        <v>1281</v>
      </c>
      <c r="C17" s="5">
        <v>547457611</v>
      </c>
      <c r="D17" s="99" t="s">
        <v>12</v>
      </c>
      <c r="E17" s="5" t="s">
        <v>839</v>
      </c>
      <c r="F17" s="1"/>
      <c r="G17" s="1"/>
      <c r="H17" s="119"/>
      <c r="I17" s="5">
        <v>1.5163319799999999</v>
      </c>
      <c r="J17" s="5">
        <v>71537427</v>
      </c>
      <c r="K17" s="119"/>
      <c r="L17" s="1"/>
      <c r="M17" s="1"/>
    </row>
    <row r="18" spans="1:13">
      <c r="A18" s="1">
        <v>16</v>
      </c>
      <c r="B18" s="71" t="s">
        <v>1282</v>
      </c>
      <c r="C18" s="5">
        <v>522388246</v>
      </c>
      <c r="D18" s="99" t="s">
        <v>12</v>
      </c>
      <c r="E18" s="5" t="s">
        <v>839</v>
      </c>
      <c r="F18" s="1"/>
      <c r="G18" s="1"/>
      <c r="H18" s="119"/>
      <c r="I18" s="5">
        <v>1.51664149</v>
      </c>
      <c r="J18" s="5">
        <v>71554973</v>
      </c>
      <c r="K18" s="119"/>
      <c r="L18" s="1"/>
      <c r="M18" s="1"/>
    </row>
    <row r="19" spans="1:13">
      <c r="A19" s="1">
        <v>17</v>
      </c>
      <c r="B19" s="71" t="s">
        <v>1283</v>
      </c>
      <c r="C19" s="5">
        <v>567492744</v>
      </c>
      <c r="D19" s="99" t="s">
        <v>12</v>
      </c>
      <c r="E19" s="5" t="s">
        <v>839</v>
      </c>
      <c r="F19" s="1"/>
      <c r="G19" s="1"/>
      <c r="H19" s="119"/>
      <c r="I19" s="5"/>
      <c r="J19" s="5">
        <v>71556479</v>
      </c>
      <c r="K19" s="119" t="s">
        <v>385</v>
      </c>
      <c r="L19" s="1"/>
      <c r="M19" s="1"/>
    </row>
    <row r="20" spans="1:13">
      <c r="A20" s="1">
        <v>18</v>
      </c>
      <c r="B20" s="71" t="s">
        <v>1284</v>
      </c>
      <c r="C20" s="5">
        <v>566007132</v>
      </c>
      <c r="D20" s="99" t="s">
        <v>12</v>
      </c>
      <c r="E20" s="5" t="s">
        <v>839</v>
      </c>
      <c r="F20" s="1"/>
      <c r="G20" s="1"/>
      <c r="H20" s="119"/>
      <c r="I20" s="5">
        <v>1.4944899899999999</v>
      </c>
      <c r="J20" s="5">
        <v>71578097</v>
      </c>
      <c r="K20" s="119"/>
      <c r="L20" s="1"/>
      <c r="M20" s="1"/>
    </row>
    <row r="21" spans="1:13">
      <c r="A21" s="1">
        <v>19</v>
      </c>
      <c r="B21" s="71" t="s">
        <v>1285</v>
      </c>
      <c r="C21" s="5">
        <v>528049634</v>
      </c>
      <c r="D21" s="99" t="s">
        <v>12</v>
      </c>
      <c r="E21" s="5" t="s">
        <v>839</v>
      </c>
      <c r="F21" s="1"/>
      <c r="G21" s="1"/>
      <c r="H21" s="119"/>
      <c r="I21" s="5">
        <v>1.5179436500000001</v>
      </c>
      <c r="J21" s="5">
        <v>71701047</v>
      </c>
      <c r="K21" s="119" t="s">
        <v>386</v>
      </c>
      <c r="L21" s="1"/>
      <c r="M21" s="1"/>
    </row>
    <row r="22" spans="1:13">
      <c r="A22" s="1">
        <v>20</v>
      </c>
      <c r="B22" s="71" t="s">
        <v>1286</v>
      </c>
      <c r="C22" s="5">
        <v>509281290</v>
      </c>
      <c r="D22" s="99" t="s">
        <v>12</v>
      </c>
      <c r="E22" s="5" t="s">
        <v>839</v>
      </c>
      <c r="F22" s="1"/>
      <c r="G22" s="1"/>
      <c r="H22" s="119"/>
      <c r="I22" s="5">
        <v>1.5186425100000001</v>
      </c>
      <c r="J22" s="5">
        <v>71764516</v>
      </c>
      <c r="K22" s="119"/>
      <c r="L22" s="1"/>
      <c r="M22" s="1"/>
    </row>
    <row r="23" spans="1:13">
      <c r="A23" s="1">
        <v>21</v>
      </c>
      <c r="B23" s="71" t="s">
        <v>1287</v>
      </c>
      <c r="C23" s="5">
        <v>561821338</v>
      </c>
      <c r="D23" s="99" t="s">
        <v>12</v>
      </c>
      <c r="E23" s="5" t="s">
        <v>839</v>
      </c>
      <c r="F23" s="1"/>
      <c r="G23" s="1"/>
      <c r="H23" s="119"/>
      <c r="I23" s="5"/>
      <c r="J23" s="5">
        <v>71783261</v>
      </c>
      <c r="K23" s="119" t="s">
        <v>385</v>
      </c>
      <c r="L23" s="1"/>
      <c r="M23" s="1"/>
    </row>
    <row r="24" spans="1:13">
      <c r="A24" s="1">
        <v>22</v>
      </c>
      <c r="B24" s="71" t="s">
        <v>1288</v>
      </c>
      <c r="C24" s="5">
        <v>5008489827</v>
      </c>
      <c r="D24" s="99" t="s">
        <v>12</v>
      </c>
      <c r="E24" s="5" t="s">
        <v>839</v>
      </c>
      <c r="F24" s="1"/>
      <c r="G24" s="1"/>
      <c r="H24" s="119"/>
      <c r="I24" s="5">
        <v>1.5192008400000001</v>
      </c>
      <c r="J24" s="5">
        <v>71828278</v>
      </c>
      <c r="K24" s="119" t="s">
        <v>385</v>
      </c>
      <c r="L24" s="1"/>
      <c r="M24" s="1"/>
    </row>
    <row r="25" spans="1:13">
      <c r="A25" s="1">
        <v>23</v>
      </c>
      <c r="B25" s="71" t="s">
        <v>1289</v>
      </c>
      <c r="C25" s="5">
        <v>521901564</v>
      </c>
      <c r="D25" s="99" t="s">
        <v>12</v>
      </c>
      <c r="E25" s="5" t="s">
        <v>839</v>
      </c>
      <c r="F25" s="1"/>
      <c r="G25" s="1"/>
      <c r="H25" s="119"/>
      <c r="I25" s="5">
        <v>1.44400643</v>
      </c>
      <c r="J25" s="5">
        <v>71828319</v>
      </c>
      <c r="K25" s="119" t="s">
        <v>385</v>
      </c>
      <c r="L25" s="1"/>
      <c r="M25" s="1"/>
    </row>
    <row r="26" spans="1:13">
      <c r="A26" s="1">
        <v>24</v>
      </c>
      <c r="B26" s="71" t="s">
        <v>1290</v>
      </c>
      <c r="C26" s="5">
        <v>526768199</v>
      </c>
      <c r="D26" s="99" t="s">
        <v>12</v>
      </c>
      <c r="E26" s="5" t="s">
        <v>839</v>
      </c>
      <c r="F26" s="1"/>
      <c r="G26" s="1"/>
      <c r="H26" s="119"/>
      <c r="I26" s="5">
        <v>1.5196827900000001</v>
      </c>
      <c r="J26" s="43">
        <v>71874517</v>
      </c>
      <c r="K26" s="119"/>
      <c r="L26" s="1"/>
      <c r="M26" s="1"/>
    </row>
    <row r="27" spans="1:13">
      <c r="A27" s="1">
        <v>25</v>
      </c>
      <c r="B27" s="71" t="s">
        <v>1291</v>
      </c>
      <c r="C27" s="5">
        <v>508789242</v>
      </c>
      <c r="D27" s="99" t="s">
        <v>12</v>
      </c>
      <c r="E27" s="5" t="s">
        <v>839</v>
      </c>
      <c r="F27" s="1"/>
      <c r="G27" s="1"/>
      <c r="H27" s="119"/>
      <c r="I27" s="5">
        <v>1.5197020999999999</v>
      </c>
      <c r="J27" s="5">
        <v>71878084</v>
      </c>
      <c r="K27" s="119"/>
      <c r="L27" s="1"/>
      <c r="M27" s="1"/>
    </row>
    <row r="28" spans="1:13">
      <c r="A28" s="1">
        <v>26</v>
      </c>
      <c r="B28" s="71" t="s">
        <v>1292</v>
      </c>
      <c r="C28" s="5">
        <v>552014358</v>
      </c>
      <c r="D28" s="99" t="s">
        <v>12</v>
      </c>
      <c r="E28" s="5" t="s">
        <v>839</v>
      </c>
      <c r="F28" s="1"/>
      <c r="G28" s="1"/>
      <c r="H28" s="119"/>
      <c r="I28" s="5">
        <v>1.51975292</v>
      </c>
      <c r="J28" s="5">
        <v>71888232</v>
      </c>
      <c r="K28" s="119"/>
      <c r="L28" s="1"/>
      <c r="M28" s="1"/>
    </row>
    <row r="29" spans="1:13">
      <c r="A29" s="1">
        <v>27</v>
      </c>
      <c r="B29" s="71" t="s">
        <v>1293</v>
      </c>
      <c r="C29" s="5">
        <v>562220322</v>
      </c>
      <c r="D29" s="99" t="s">
        <v>12</v>
      </c>
      <c r="E29" s="5" t="s">
        <v>839</v>
      </c>
      <c r="F29" s="1"/>
      <c r="G29" s="1"/>
      <c r="H29" s="119"/>
      <c r="I29" s="5">
        <v>1.3059585499999999</v>
      </c>
      <c r="J29" s="43">
        <v>71904593</v>
      </c>
      <c r="K29" s="119"/>
      <c r="L29" s="1"/>
      <c r="M29" s="1"/>
    </row>
    <row r="30" spans="1:13">
      <c r="A30" s="1">
        <v>28</v>
      </c>
      <c r="B30" s="71" t="s">
        <v>1294</v>
      </c>
      <c r="C30" s="5">
        <v>552176687</v>
      </c>
      <c r="D30" s="99" t="s">
        <v>12</v>
      </c>
      <c r="E30" s="5" t="s">
        <v>839</v>
      </c>
      <c r="F30" s="1"/>
      <c r="G30" s="1"/>
      <c r="H30" s="119"/>
      <c r="I30" s="5">
        <v>1.52006559</v>
      </c>
      <c r="J30" s="5">
        <v>71919517</v>
      </c>
      <c r="K30" s="119"/>
      <c r="L30" s="1"/>
      <c r="M30" s="1"/>
    </row>
    <row r="31" spans="1:13">
      <c r="A31" s="1">
        <v>29</v>
      </c>
      <c r="B31" s="71" t="s">
        <v>1295</v>
      </c>
      <c r="C31" s="5">
        <v>586201272</v>
      </c>
      <c r="D31" s="99" t="s">
        <v>12</v>
      </c>
      <c r="E31" s="5" t="s">
        <v>839</v>
      </c>
      <c r="F31" s="1"/>
      <c r="G31" s="1"/>
      <c r="H31" s="119"/>
      <c r="I31" s="5">
        <v>1.5201145599999999</v>
      </c>
      <c r="J31" s="5">
        <v>71923675</v>
      </c>
      <c r="K31" s="119"/>
      <c r="L31" s="1"/>
      <c r="M31" s="1"/>
    </row>
    <row r="32" spans="1:13">
      <c r="A32" s="1">
        <v>30</v>
      </c>
      <c r="B32" s="71" t="s">
        <v>1296</v>
      </c>
      <c r="C32" s="5">
        <v>501634220</v>
      </c>
      <c r="D32" s="99" t="s">
        <v>12</v>
      </c>
      <c r="E32" s="5" t="s">
        <v>839</v>
      </c>
      <c r="F32" s="1"/>
      <c r="G32" s="1"/>
      <c r="H32" s="119"/>
      <c r="I32" s="5">
        <v>1.52032743</v>
      </c>
      <c r="J32" s="5"/>
      <c r="K32" s="119"/>
      <c r="L32" s="1"/>
      <c r="M32" s="1"/>
    </row>
    <row r="33" spans="1:13">
      <c r="A33" s="1">
        <v>31</v>
      </c>
      <c r="B33" s="71" t="s">
        <v>1297</v>
      </c>
      <c r="C33" s="5">
        <v>547240510</v>
      </c>
      <c r="D33" s="99" t="s">
        <v>12</v>
      </c>
      <c r="E33" s="5" t="s">
        <v>839</v>
      </c>
      <c r="F33" s="1"/>
      <c r="G33" s="1"/>
      <c r="H33" s="119"/>
      <c r="I33" s="5">
        <v>1.5203988399999999</v>
      </c>
      <c r="J33" s="5">
        <v>71952473</v>
      </c>
      <c r="K33" s="119" t="s">
        <v>385</v>
      </c>
      <c r="L33" s="1"/>
      <c r="M33" s="1"/>
    </row>
    <row r="34" spans="1:13">
      <c r="A34" s="1">
        <v>32</v>
      </c>
      <c r="B34" s="125" t="s">
        <v>1298</v>
      </c>
      <c r="C34" s="126">
        <v>567519492</v>
      </c>
      <c r="D34" s="127" t="s">
        <v>12</v>
      </c>
      <c r="E34" s="126" t="s">
        <v>839</v>
      </c>
      <c r="F34" s="1"/>
      <c r="G34" s="1"/>
      <c r="H34" s="119"/>
      <c r="I34" s="126">
        <v>1.5206340300000001</v>
      </c>
      <c r="J34" s="126">
        <v>71973739</v>
      </c>
      <c r="K34" s="119"/>
      <c r="L34" s="1"/>
      <c r="M34" s="1"/>
    </row>
    <row r="35" spans="1:13">
      <c r="A35" s="119"/>
      <c r="B35" s="123"/>
      <c r="C35" s="99"/>
      <c r="D35" s="99"/>
      <c r="E35" s="99"/>
      <c r="F35" s="121"/>
      <c r="G35" s="99"/>
      <c r="H35" s="119"/>
      <c r="I35" s="99"/>
      <c r="J35" s="99"/>
      <c r="K35" s="119"/>
      <c r="L35" s="1"/>
      <c r="M35" s="1"/>
    </row>
    <row r="36" spans="1:13">
      <c r="A36" s="119"/>
      <c r="B36" s="123"/>
      <c r="C36" s="99"/>
      <c r="D36" s="99"/>
      <c r="E36" s="99"/>
      <c r="F36" s="121"/>
      <c r="G36" s="99"/>
      <c r="H36" s="119"/>
      <c r="I36" s="99"/>
      <c r="J36" s="99"/>
      <c r="K36" s="119"/>
      <c r="L36" s="1"/>
      <c r="M36" s="1"/>
    </row>
    <row r="37" spans="1:13">
      <c r="A37" s="119"/>
      <c r="B37" s="123"/>
      <c r="C37" s="99"/>
      <c r="D37" s="99"/>
      <c r="E37" s="99"/>
      <c r="F37" s="121"/>
      <c r="G37" s="99"/>
      <c r="H37" s="119"/>
      <c r="I37" s="99"/>
      <c r="J37" s="99"/>
      <c r="K37" s="119"/>
      <c r="L37" s="1"/>
      <c r="M37" s="1"/>
    </row>
    <row r="38" spans="1:13">
      <c r="A38" s="119"/>
      <c r="B38" s="123"/>
      <c r="C38" s="99"/>
      <c r="D38" s="99"/>
      <c r="E38" s="99"/>
      <c r="F38" s="121"/>
      <c r="G38" s="99"/>
      <c r="H38" s="119"/>
      <c r="I38" s="124"/>
      <c r="J38" s="99"/>
      <c r="K38" s="119"/>
      <c r="L38" s="1"/>
      <c r="M38" s="1"/>
    </row>
    <row r="39" spans="1:13">
      <c r="A39" s="119"/>
      <c r="B39" s="123"/>
      <c r="C39" s="99"/>
      <c r="D39" s="99"/>
      <c r="E39" s="99"/>
      <c r="F39" s="121"/>
      <c r="G39" s="99"/>
      <c r="H39" s="119"/>
      <c r="I39" s="99"/>
      <c r="J39" s="99"/>
      <c r="K39" s="119"/>
      <c r="L39" s="1"/>
      <c r="M39" s="1"/>
    </row>
    <row r="40" spans="1:13">
      <c r="A40" s="119"/>
      <c r="B40" s="123"/>
      <c r="C40" s="99"/>
      <c r="D40" s="99"/>
      <c r="E40" s="99"/>
      <c r="F40" s="121"/>
      <c r="G40" s="99"/>
      <c r="H40" s="119"/>
      <c r="I40" s="99"/>
      <c r="J40" s="99"/>
      <c r="K40" s="119"/>
      <c r="L40" s="1"/>
      <c r="M40" s="1"/>
    </row>
  </sheetData>
  <mergeCells count="1">
    <mergeCell ref="A1:M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34"/>
  <sheetViews>
    <sheetView zoomScale="70" zoomScaleNormal="70" workbookViewId="0">
      <selection activeCell="C29" sqref="C29"/>
    </sheetView>
  </sheetViews>
  <sheetFormatPr defaultRowHeight="14.5"/>
  <cols>
    <col min="1" max="1" width="4.453125" bestFit="1" customWidth="1"/>
    <col min="2" max="2" width="36.453125" bestFit="1" customWidth="1"/>
    <col min="3" max="3" width="26.453125" bestFit="1" customWidth="1"/>
    <col min="4" max="4" width="14.453125" bestFit="1" customWidth="1"/>
    <col min="5" max="5" width="13" bestFit="1" customWidth="1"/>
    <col min="6" max="6" width="16.54296875" bestFit="1" customWidth="1"/>
    <col min="7" max="7" width="17.453125" bestFit="1" customWidth="1"/>
    <col min="8" max="8" width="23.54296875" bestFit="1" customWidth="1"/>
    <col min="9" max="9" width="11.81640625" bestFit="1" customWidth="1"/>
    <col min="10" max="10" width="11.453125" bestFit="1" customWidth="1"/>
    <col min="11" max="11" width="15.54296875" bestFit="1" customWidth="1"/>
    <col min="12" max="12" width="16.453125" bestFit="1" customWidth="1"/>
  </cols>
  <sheetData>
    <row r="1" spans="1:12" ht="46">
      <c r="A1" s="622" t="s">
        <v>40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</row>
    <row r="2" spans="1:12" ht="15.5">
      <c r="A2" s="2" t="s">
        <v>0</v>
      </c>
      <c r="B2" s="38" t="s">
        <v>1</v>
      </c>
      <c r="C2" s="38" t="s">
        <v>2</v>
      </c>
      <c r="D2" s="38" t="s">
        <v>3</v>
      </c>
      <c r="E2" s="38" t="s">
        <v>4</v>
      </c>
      <c r="F2" s="38" t="s">
        <v>6</v>
      </c>
      <c r="G2" s="38" t="s">
        <v>8</v>
      </c>
      <c r="H2" s="38" t="s">
        <v>901</v>
      </c>
      <c r="I2" s="38" t="s">
        <v>293</v>
      </c>
      <c r="J2" s="38" t="s">
        <v>321</v>
      </c>
      <c r="K2" s="38" t="s">
        <v>327</v>
      </c>
      <c r="L2" s="38" t="s">
        <v>243</v>
      </c>
    </row>
    <row r="3" spans="1:12">
      <c r="A3">
        <v>1</v>
      </c>
      <c r="B3" s="71" t="s">
        <v>1299</v>
      </c>
      <c r="C3" s="5">
        <v>529669012</v>
      </c>
      <c r="D3" s="3">
        <v>199</v>
      </c>
      <c r="E3" s="99" t="s">
        <v>1326</v>
      </c>
      <c r="F3" s="20">
        <v>44941</v>
      </c>
      <c r="G3" s="5" t="s">
        <v>1327</v>
      </c>
      <c r="H3" s="43">
        <v>1.5209961700000001</v>
      </c>
      <c r="I3" s="43">
        <v>720023133</v>
      </c>
      <c r="J3" s="119"/>
      <c r="K3" s="1"/>
      <c r="L3" s="1"/>
    </row>
    <row r="4" spans="1:12">
      <c r="A4">
        <v>2</v>
      </c>
      <c r="B4" s="71" t="s">
        <v>1300</v>
      </c>
      <c r="C4" s="5">
        <v>563930392</v>
      </c>
      <c r="D4" s="3">
        <v>199</v>
      </c>
      <c r="E4" s="99" t="s">
        <v>1326</v>
      </c>
      <c r="F4" s="20">
        <v>44941</v>
      </c>
      <c r="G4" s="5" t="s">
        <v>1327</v>
      </c>
      <c r="H4" s="72" t="s">
        <v>1301</v>
      </c>
      <c r="I4" s="5">
        <v>72042535</v>
      </c>
      <c r="J4" s="119"/>
      <c r="K4" s="1"/>
      <c r="L4" s="1"/>
    </row>
    <row r="5" spans="1:12">
      <c r="A5">
        <v>3</v>
      </c>
      <c r="B5" s="71" t="s">
        <v>776</v>
      </c>
      <c r="C5" s="5">
        <v>503085677</v>
      </c>
      <c r="D5" s="3">
        <v>199</v>
      </c>
      <c r="E5" s="99" t="s">
        <v>1326</v>
      </c>
      <c r="F5" s="20">
        <v>44940</v>
      </c>
      <c r="G5" s="5" t="s">
        <v>1327</v>
      </c>
      <c r="H5" s="5">
        <v>1.40610138</v>
      </c>
      <c r="I5" s="43"/>
      <c r="J5" s="119" t="s">
        <v>386</v>
      </c>
      <c r="K5" s="1"/>
      <c r="L5" s="1"/>
    </row>
    <row r="6" spans="1:12">
      <c r="A6">
        <v>4</v>
      </c>
      <c r="B6" s="129" t="s">
        <v>1302</v>
      </c>
      <c r="C6" s="5">
        <v>567432792</v>
      </c>
      <c r="D6" s="3">
        <v>199</v>
      </c>
      <c r="E6" s="99" t="s">
        <v>1326</v>
      </c>
      <c r="F6" s="20">
        <v>44940</v>
      </c>
      <c r="G6" s="5" t="s">
        <v>1327</v>
      </c>
      <c r="H6" s="5">
        <v>1.5229373100000001</v>
      </c>
      <c r="I6" s="5">
        <v>72257452</v>
      </c>
      <c r="J6" s="119"/>
      <c r="K6" s="1"/>
      <c r="L6" s="1"/>
    </row>
    <row r="7" spans="1:12">
      <c r="A7">
        <v>5</v>
      </c>
      <c r="B7" s="71" t="s">
        <v>1303</v>
      </c>
      <c r="C7" s="5">
        <v>507509288</v>
      </c>
      <c r="D7" s="3">
        <v>199</v>
      </c>
      <c r="E7" s="99" t="s">
        <v>1326</v>
      </c>
      <c r="F7" s="20">
        <v>44941</v>
      </c>
      <c r="G7" s="5" t="s">
        <v>1327</v>
      </c>
      <c r="H7" s="5">
        <v>1.5241012199999999</v>
      </c>
      <c r="I7" s="5">
        <v>72386485</v>
      </c>
      <c r="J7" s="119"/>
      <c r="K7" s="1"/>
      <c r="L7" s="1"/>
    </row>
    <row r="8" spans="1:12">
      <c r="A8">
        <v>6</v>
      </c>
      <c r="B8" s="71" t="s">
        <v>1304</v>
      </c>
      <c r="C8" s="5">
        <v>588668368</v>
      </c>
      <c r="D8" s="3">
        <v>199</v>
      </c>
      <c r="E8" s="99" t="s">
        <v>1326</v>
      </c>
      <c r="F8" s="20">
        <v>44941</v>
      </c>
      <c r="G8" s="5" t="s">
        <v>1327</v>
      </c>
      <c r="H8" s="5">
        <v>1.5241266499999999</v>
      </c>
      <c r="I8" s="5">
        <v>72391606</v>
      </c>
      <c r="J8" s="119" t="s">
        <v>386</v>
      </c>
      <c r="K8" s="1"/>
      <c r="L8" s="1"/>
    </row>
    <row r="9" spans="1:12">
      <c r="A9">
        <v>7</v>
      </c>
      <c r="B9" s="71" t="s">
        <v>1305</v>
      </c>
      <c r="C9" s="5">
        <v>547852883</v>
      </c>
      <c r="D9" s="3">
        <v>199</v>
      </c>
      <c r="E9" s="99" t="s">
        <v>1326</v>
      </c>
      <c r="F9" s="20">
        <v>44941</v>
      </c>
      <c r="G9" s="5" t="s">
        <v>1327</v>
      </c>
      <c r="H9" s="5">
        <v>1.5243053099999999</v>
      </c>
      <c r="I9" s="5">
        <v>72403239</v>
      </c>
      <c r="J9" s="119"/>
      <c r="K9" s="1"/>
      <c r="L9" s="1"/>
    </row>
    <row r="10" spans="1:12">
      <c r="A10">
        <v>8</v>
      </c>
      <c r="B10" s="71" t="s">
        <v>1306</v>
      </c>
      <c r="C10" s="5">
        <v>556345838</v>
      </c>
      <c r="D10" s="3">
        <v>199</v>
      </c>
      <c r="E10" s="99" t="s">
        <v>1326</v>
      </c>
      <c r="F10" s="20">
        <v>44929</v>
      </c>
      <c r="G10" s="5" t="s">
        <v>1327</v>
      </c>
      <c r="H10" s="5">
        <v>1.15181472</v>
      </c>
      <c r="I10" s="5">
        <v>72401458</v>
      </c>
      <c r="J10" s="119"/>
      <c r="K10" s="1"/>
      <c r="L10" s="1"/>
    </row>
    <row r="11" spans="1:12">
      <c r="A11">
        <v>9</v>
      </c>
      <c r="B11" s="129" t="s">
        <v>1307</v>
      </c>
      <c r="C11" s="5">
        <v>502648615</v>
      </c>
      <c r="D11" s="3" t="s">
        <v>907</v>
      </c>
      <c r="E11" s="99" t="s">
        <v>1326</v>
      </c>
      <c r="F11" s="20" t="e">
        <v>#N/A</v>
      </c>
      <c r="G11" s="5" t="s">
        <v>1327</v>
      </c>
      <c r="H11" s="5">
        <v>1.52433306</v>
      </c>
      <c r="I11" s="5">
        <v>72408670</v>
      </c>
      <c r="J11" s="119"/>
      <c r="K11" s="1"/>
      <c r="L11" s="1"/>
    </row>
    <row r="12" spans="1:12">
      <c r="A12">
        <v>10</v>
      </c>
      <c r="B12" s="71" t="s">
        <v>1308</v>
      </c>
      <c r="C12" s="5">
        <v>529375750</v>
      </c>
      <c r="D12" s="3">
        <v>199</v>
      </c>
      <c r="E12" s="99" t="s">
        <v>1326</v>
      </c>
      <c r="F12" s="20">
        <v>44936</v>
      </c>
      <c r="G12" s="5" t="s">
        <v>1327</v>
      </c>
      <c r="H12" s="5">
        <v>1.4362853600000001</v>
      </c>
      <c r="I12" s="5">
        <v>72417740</v>
      </c>
      <c r="J12" s="119"/>
      <c r="K12" s="1"/>
      <c r="L12" s="1"/>
    </row>
    <row r="13" spans="1:12">
      <c r="A13">
        <v>11</v>
      </c>
      <c r="B13" s="71" t="s">
        <v>1309</v>
      </c>
      <c r="C13" s="5">
        <v>569435338</v>
      </c>
      <c r="D13" s="3" t="s">
        <v>907</v>
      </c>
      <c r="E13" s="99" t="s">
        <v>1326</v>
      </c>
      <c r="F13" s="20">
        <v>44944</v>
      </c>
      <c r="G13" s="5" t="s">
        <v>1327</v>
      </c>
      <c r="H13" s="5">
        <v>1.5244059999999999</v>
      </c>
      <c r="I13" s="5">
        <v>72425549</v>
      </c>
      <c r="J13" s="119"/>
      <c r="K13" s="1"/>
      <c r="L13" s="1"/>
    </row>
    <row r="14" spans="1:12">
      <c r="A14">
        <v>12</v>
      </c>
      <c r="B14" s="129" t="s">
        <v>1310</v>
      </c>
      <c r="C14" s="5">
        <v>522468976</v>
      </c>
      <c r="D14" s="3" t="s">
        <v>907</v>
      </c>
      <c r="E14" s="99" t="s">
        <v>1326</v>
      </c>
      <c r="F14" s="20">
        <v>44951</v>
      </c>
      <c r="G14" s="5" t="s">
        <v>1327</v>
      </c>
      <c r="H14" s="5">
        <v>1.52442133</v>
      </c>
      <c r="I14" s="5">
        <v>72427388</v>
      </c>
      <c r="J14" s="119"/>
      <c r="K14" s="1"/>
      <c r="L14" s="1"/>
    </row>
    <row r="15" spans="1:12">
      <c r="A15">
        <v>13</v>
      </c>
      <c r="B15" s="71" t="s">
        <v>1311</v>
      </c>
      <c r="C15" s="5">
        <v>543738433</v>
      </c>
      <c r="D15" s="3">
        <v>199</v>
      </c>
      <c r="E15" s="99" t="s">
        <v>1326</v>
      </c>
      <c r="F15" s="20">
        <v>44928</v>
      </c>
      <c r="G15" s="5" t="s">
        <v>1327</v>
      </c>
      <c r="H15" s="5">
        <v>1.52496875</v>
      </c>
      <c r="I15" s="5">
        <v>72482128</v>
      </c>
      <c r="J15" s="119"/>
      <c r="K15" s="1"/>
      <c r="L15" s="1"/>
    </row>
    <row r="16" spans="1:12">
      <c r="A16">
        <v>14</v>
      </c>
      <c r="B16" s="71" t="s">
        <v>1312</v>
      </c>
      <c r="C16" s="5">
        <v>525105669</v>
      </c>
      <c r="D16" s="3">
        <v>199</v>
      </c>
      <c r="E16" s="99" t="s">
        <v>1326</v>
      </c>
      <c r="F16" s="20">
        <v>44949</v>
      </c>
      <c r="G16" s="5" t="s">
        <v>1327</v>
      </c>
      <c r="H16" s="5">
        <v>1.52495699</v>
      </c>
      <c r="I16" s="5">
        <v>72480237</v>
      </c>
      <c r="J16" s="119"/>
      <c r="K16" s="1"/>
      <c r="L16" s="1"/>
    </row>
    <row r="17" spans="1:12">
      <c r="A17">
        <v>15</v>
      </c>
      <c r="B17" s="71" t="s">
        <v>1313</v>
      </c>
      <c r="C17" s="5">
        <v>502035005</v>
      </c>
      <c r="D17" s="3">
        <v>199</v>
      </c>
      <c r="E17" s="99" t="s">
        <v>1326</v>
      </c>
      <c r="F17" s="20">
        <v>44944</v>
      </c>
      <c r="G17" s="5" t="s">
        <v>1327</v>
      </c>
      <c r="H17" s="5">
        <v>1.52517831</v>
      </c>
      <c r="I17" s="5">
        <v>72498207</v>
      </c>
      <c r="J17" s="119"/>
      <c r="K17" s="1"/>
      <c r="L17" s="1"/>
    </row>
    <row r="18" spans="1:12">
      <c r="A18">
        <v>16</v>
      </c>
      <c r="B18" s="71" t="s">
        <v>1314</v>
      </c>
      <c r="C18" s="5">
        <v>561195851</v>
      </c>
      <c r="D18" s="3">
        <v>199</v>
      </c>
      <c r="E18" s="99" t="s">
        <v>1326</v>
      </c>
      <c r="F18" s="20">
        <v>44941</v>
      </c>
      <c r="G18" s="5" t="s">
        <v>1327</v>
      </c>
      <c r="H18" s="5">
        <v>1.4341718699999999</v>
      </c>
      <c r="I18" s="5">
        <v>72507857</v>
      </c>
      <c r="J18" s="119"/>
      <c r="K18" s="1"/>
      <c r="L18" s="1"/>
    </row>
    <row r="19" spans="1:12">
      <c r="A19">
        <v>17</v>
      </c>
      <c r="B19" s="129" t="s">
        <v>1315</v>
      </c>
      <c r="C19" s="5">
        <v>525235830</v>
      </c>
      <c r="D19" s="3">
        <v>199</v>
      </c>
      <c r="E19" s="99" t="s">
        <v>1326</v>
      </c>
      <c r="F19" s="20">
        <v>44944</v>
      </c>
      <c r="G19" s="5" t="s">
        <v>1327</v>
      </c>
      <c r="H19" s="5">
        <v>1.4747716500000001</v>
      </c>
      <c r="I19" s="5">
        <v>72509477</v>
      </c>
      <c r="J19" s="119"/>
      <c r="K19" s="1"/>
      <c r="L19" s="1"/>
    </row>
    <row r="20" spans="1:12">
      <c r="A20">
        <v>18</v>
      </c>
      <c r="B20" s="71" t="s">
        <v>1316</v>
      </c>
      <c r="C20" s="5">
        <v>507185657</v>
      </c>
      <c r="D20" s="128" t="s">
        <v>907</v>
      </c>
      <c r="E20" s="99" t="s">
        <v>1326</v>
      </c>
      <c r="F20" s="20">
        <v>44933</v>
      </c>
      <c r="G20" s="5" t="s">
        <v>1327</v>
      </c>
      <c r="H20" s="5">
        <v>1.52644322</v>
      </c>
      <c r="I20" s="5">
        <v>72637329</v>
      </c>
      <c r="J20" s="119" t="s">
        <v>386</v>
      </c>
      <c r="K20" s="1"/>
      <c r="L20" s="1"/>
    </row>
    <row r="21" spans="1:12">
      <c r="A21">
        <v>19</v>
      </c>
      <c r="B21" s="71" t="s">
        <v>1317</v>
      </c>
      <c r="C21" s="5">
        <v>527800009</v>
      </c>
      <c r="D21" s="3">
        <v>199</v>
      </c>
      <c r="E21" s="99" t="s">
        <v>1326</v>
      </c>
      <c r="F21" s="20">
        <v>44948</v>
      </c>
      <c r="G21" s="5" t="s">
        <v>1327</v>
      </c>
      <c r="H21" s="5">
        <v>1.52667726</v>
      </c>
      <c r="I21" s="5">
        <v>72660297</v>
      </c>
      <c r="J21" s="119"/>
      <c r="K21" s="1"/>
      <c r="L21" s="1"/>
    </row>
    <row r="22" spans="1:12">
      <c r="A22">
        <v>20</v>
      </c>
      <c r="B22" s="71" t="s">
        <v>1318</v>
      </c>
      <c r="C22" s="5">
        <v>502080608</v>
      </c>
      <c r="D22" s="3">
        <v>199</v>
      </c>
      <c r="E22" s="99" t="s">
        <v>1326</v>
      </c>
      <c r="F22" s="20">
        <v>44943</v>
      </c>
      <c r="G22" s="5" t="s">
        <v>1327</v>
      </c>
      <c r="H22" s="5">
        <v>1.52711818</v>
      </c>
      <c r="I22" s="5">
        <v>72709111</v>
      </c>
      <c r="J22" s="119"/>
      <c r="K22" s="1"/>
      <c r="L22" s="1"/>
    </row>
    <row r="23" spans="1:12">
      <c r="A23">
        <v>21</v>
      </c>
      <c r="B23" s="71" t="s">
        <v>1319</v>
      </c>
      <c r="C23" s="5">
        <v>506302550</v>
      </c>
      <c r="D23" s="3">
        <v>199</v>
      </c>
      <c r="E23" s="99" t="s">
        <v>1326</v>
      </c>
      <c r="F23" s="20">
        <v>44943</v>
      </c>
      <c r="G23" s="5" t="s">
        <v>1327</v>
      </c>
      <c r="H23" s="5">
        <v>1.5228383759999999</v>
      </c>
      <c r="I23" s="5">
        <v>72846218</v>
      </c>
      <c r="J23" s="119"/>
      <c r="K23" s="1"/>
      <c r="L23" s="1"/>
    </row>
    <row r="24" spans="1:12">
      <c r="A24">
        <v>22</v>
      </c>
      <c r="B24" s="71" t="s">
        <v>1320</v>
      </c>
      <c r="C24" s="5">
        <v>504425946</v>
      </c>
      <c r="D24" s="3">
        <v>199</v>
      </c>
      <c r="E24" s="99" t="s">
        <v>1326</v>
      </c>
      <c r="F24" s="20">
        <v>44957</v>
      </c>
      <c r="G24" s="5" t="s">
        <v>1327</v>
      </c>
      <c r="H24" s="5">
        <v>1.5284274</v>
      </c>
      <c r="I24" s="5">
        <v>72852532</v>
      </c>
      <c r="J24" s="119"/>
      <c r="K24" s="1"/>
      <c r="L24" s="1"/>
    </row>
    <row r="25" spans="1:12">
      <c r="A25">
        <v>23</v>
      </c>
      <c r="B25" s="71" t="s">
        <v>1321</v>
      </c>
      <c r="C25" s="5">
        <v>556593903</v>
      </c>
      <c r="D25" s="3">
        <v>199</v>
      </c>
      <c r="E25" s="99" t="s">
        <v>1326</v>
      </c>
      <c r="F25" s="20">
        <v>44955</v>
      </c>
      <c r="G25" s="5" t="s">
        <v>1327</v>
      </c>
      <c r="H25" s="5">
        <v>1.1953972900000001</v>
      </c>
      <c r="I25" s="5"/>
      <c r="J25" s="119"/>
      <c r="K25" s="1"/>
      <c r="L25" s="1"/>
    </row>
    <row r="26" spans="1:12">
      <c r="A26">
        <v>24</v>
      </c>
      <c r="B26" s="71" t="s">
        <v>1322</v>
      </c>
      <c r="C26" s="5">
        <v>502303514</v>
      </c>
      <c r="D26" s="3">
        <v>199</v>
      </c>
      <c r="E26" s="99" t="s">
        <v>1326</v>
      </c>
      <c r="F26" s="20">
        <v>44955</v>
      </c>
      <c r="G26" s="5" t="s">
        <v>1327</v>
      </c>
      <c r="H26" s="5">
        <v>1.5287233600000001</v>
      </c>
      <c r="I26" s="43">
        <v>72885790</v>
      </c>
      <c r="J26" s="119" t="s">
        <v>386</v>
      </c>
      <c r="K26" s="1"/>
      <c r="L26" s="1"/>
    </row>
    <row r="27" spans="1:12">
      <c r="A27">
        <v>25</v>
      </c>
      <c r="B27" s="71" t="s">
        <v>1323</v>
      </c>
      <c r="C27" s="5">
        <v>502028247</v>
      </c>
      <c r="D27" s="3">
        <v>199</v>
      </c>
      <c r="E27" s="99" t="s">
        <v>1326</v>
      </c>
      <c r="F27" s="20">
        <v>44956</v>
      </c>
      <c r="G27" s="5" t="s">
        <v>1327</v>
      </c>
      <c r="H27" s="5">
        <v>1.52892104</v>
      </c>
      <c r="I27" s="5">
        <v>72909599</v>
      </c>
      <c r="J27" s="119"/>
      <c r="K27" s="1"/>
      <c r="L27" s="1"/>
    </row>
    <row r="28" spans="1:12">
      <c r="A28">
        <v>26</v>
      </c>
      <c r="B28" s="71" t="s">
        <v>718</v>
      </c>
      <c r="C28" s="5">
        <v>555108555</v>
      </c>
      <c r="D28" s="3">
        <v>199</v>
      </c>
      <c r="E28" s="99" t="s">
        <v>1326</v>
      </c>
      <c r="F28" s="20">
        <v>44956</v>
      </c>
      <c r="G28" s="5" t="s">
        <v>1327</v>
      </c>
      <c r="H28" s="5">
        <v>1.31883263</v>
      </c>
      <c r="I28" s="5">
        <v>72871245</v>
      </c>
      <c r="J28" s="119"/>
      <c r="K28" s="1"/>
      <c r="L28" s="1"/>
    </row>
    <row r="29" spans="1:12">
      <c r="A29">
        <v>27</v>
      </c>
      <c r="B29" s="71" t="s">
        <v>1324</v>
      </c>
      <c r="C29" s="5">
        <v>562116125</v>
      </c>
      <c r="D29" s="3">
        <v>199</v>
      </c>
      <c r="E29" s="99" t="s">
        <v>1326</v>
      </c>
      <c r="F29" s="20">
        <v>44956</v>
      </c>
      <c r="H29" s="5" t="s">
        <v>1325</v>
      </c>
      <c r="I29" s="5" t="s">
        <v>1325</v>
      </c>
      <c r="J29" s="119"/>
      <c r="K29" s="1"/>
      <c r="L29" s="1"/>
    </row>
    <row r="30" spans="1:12">
      <c r="A30" s="1"/>
      <c r="B30" s="71"/>
      <c r="C30" s="5"/>
      <c r="D30" s="128"/>
      <c r="E30" s="5"/>
      <c r="F30" s="1"/>
      <c r="G30" s="1"/>
      <c r="H30" s="5"/>
      <c r="I30" s="5"/>
      <c r="J30" s="119"/>
      <c r="K30" s="1"/>
      <c r="L30" s="1"/>
    </row>
    <row r="31" spans="1:12">
      <c r="A31" s="1"/>
      <c r="B31" s="71"/>
      <c r="C31" s="5"/>
      <c r="D31" s="99"/>
      <c r="E31" s="5"/>
      <c r="F31" s="1"/>
      <c r="G31" s="1"/>
      <c r="H31" s="5"/>
      <c r="I31" s="5"/>
      <c r="J31" s="119"/>
      <c r="K31" s="1"/>
      <c r="L31" s="1"/>
    </row>
    <row r="32" spans="1:12">
      <c r="A32" s="1"/>
      <c r="B32" s="71"/>
      <c r="C32" s="5"/>
      <c r="D32" s="99"/>
      <c r="E32" s="5"/>
      <c r="F32" s="1"/>
      <c r="G32" s="1"/>
      <c r="H32" s="5"/>
      <c r="I32" s="5"/>
      <c r="J32" s="119"/>
      <c r="K32" s="1"/>
      <c r="L32" s="1"/>
    </row>
    <row r="33" spans="1:12">
      <c r="A33" s="1"/>
      <c r="B33" s="71"/>
      <c r="C33" s="5"/>
      <c r="D33" s="99"/>
      <c r="E33" s="5"/>
      <c r="F33" s="1"/>
      <c r="G33" s="1"/>
      <c r="H33" s="5"/>
      <c r="I33" s="5"/>
      <c r="J33" s="119"/>
      <c r="K33" s="1"/>
      <c r="L33" s="1"/>
    </row>
    <row r="34" spans="1:12">
      <c r="A34" s="1"/>
      <c r="B34" s="125"/>
      <c r="C34" s="126"/>
      <c r="D34" s="99"/>
      <c r="E34" s="126"/>
      <c r="F34" s="1"/>
      <c r="G34" s="1"/>
      <c r="H34" s="126"/>
      <c r="I34" s="126"/>
      <c r="J34" s="119"/>
      <c r="K34" s="1"/>
      <c r="L34" s="1"/>
    </row>
  </sheetData>
  <autoFilter ref="A2:L29" xr:uid="{00000000-0009-0000-0000-00000F000000}"/>
  <mergeCells count="1">
    <mergeCell ref="A1:L1"/>
  </mergeCells>
  <pageMargins left="0.7" right="0.7" top="0.75" bottom="0.75" header="0.3" footer="0.3"/>
  <pageSetup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29"/>
  <sheetViews>
    <sheetView topLeftCell="B18" zoomScale="138" workbookViewId="0">
      <selection activeCell="C25" sqref="C25"/>
    </sheetView>
  </sheetViews>
  <sheetFormatPr defaultRowHeight="14.5"/>
  <cols>
    <col min="1" max="1" width="4.453125" bestFit="1" customWidth="1"/>
    <col min="2" max="2" width="29.81640625" bestFit="1" customWidth="1"/>
    <col min="3" max="3" width="26.453125" bestFit="1" customWidth="1"/>
    <col min="4" max="4" width="14.453125" bestFit="1" customWidth="1"/>
    <col min="5" max="5" width="12.81640625" bestFit="1" customWidth="1"/>
    <col min="6" max="6" width="16.54296875" bestFit="1" customWidth="1"/>
    <col min="7" max="7" width="17.453125" bestFit="1" customWidth="1"/>
    <col min="8" max="8" width="18.81640625" bestFit="1" customWidth="1"/>
    <col min="9" max="9" width="9" bestFit="1" customWidth="1"/>
    <col min="10" max="10" width="14.54296875" bestFit="1" customWidth="1"/>
    <col min="11" max="11" width="3.1796875" customWidth="1"/>
    <col min="12" max="12" width="11.54296875" bestFit="1" customWidth="1"/>
  </cols>
  <sheetData>
    <row r="1" spans="1:12" ht="46">
      <c r="A1" s="622" t="s">
        <v>40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</row>
    <row r="2" spans="1:12" ht="15.5">
      <c r="A2" s="2" t="s">
        <v>0</v>
      </c>
      <c r="B2" s="38" t="s">
        <v>1</v>
      </c>
      <c r="C2" s="38" t="s">
        <v>2</v>
      </c>
      <c r="D2" s="38" t="s">
        <v>3</v>
      </c>
      <c r="E2" s="38" t="s">
        <v>4</v>
      </c>
      <c r="F2" s="38" t="s">
        <v>6</v>
      </c>
      <c r="G2" s="38" t="s">
        <v>8</v>
      </c>
      <c r="H2" s="38" t="s">
        <v>901</v>
      </c>
      <c r="I2" s="38" t="s">
        <v>293</v>
      </c>
      <c r="J2" s="38" t="s">
        <v>321</v>
      </c>
      <c r="K2" s="38" t="s">
        <v>327</v>
      </c>
      <c r="L2" s="38" t="s">
        <v>243</v>
      </c>
    </row>
    <row r="3" spans="1:12">
      <c r="A3">
        <v>1</v>
      </c>
      <c r="B3" s="151" t="s">
        <v>1523</v>
      </c>
      <c r="C3" s="52">
        <v>586886358</v>
      </c>
      <c r="D3" s="52" t="s">
        <v>12</v>
      </c>
      <c r="E3" s="52" t="s">
        <v>839</v>
      </c>
      <c r="F3" s="52">
        <v>1.52917288</v>
      </c>
      <c r="G3" s="52">
        <v>72938474</v>
      </c>
      <c r="H3" s="43"/>
      <c r="I3" s="43"/>
      <c r="J3" s="119"/>
      <c r="K3" s="1"/>
      <c r="L3" s="1"/>
    </row>
    <row r="4" spans="1:12">
      <c r="A4">
        <v>2</v>
      </c>
      <c r="B4" s="151" t="s">
        <v>1524</v>
      </c>
      <c r="C4" s="52">
        <v>523617412</v>
      </c>
      <c r="D4" s="52" t="s">
        <v>12</v>
      </c>
      <c r="E4" s="52" t="s">
        <v>839</v>
      </c>
      <c r="F4" s="52">
        <v>1.52923641</v>
      </c>
      <c r="G4" s="52">
        <v>72949511</v>
      </c>
      <c r="H4" s="72"/>
      <c r="I4" s="5"/>
      <c r="J4" s="119" t="s">
        <v>1328</v>
      </c>
      <c r="K4" s="1">
        <v>150</v>
      </c>
      <c r="L4" s="1" t="s">
        <v>1329</v>
      </c>
    </row>
    <row r="5" spans="1:12">
      <c r="A5">
        <v>3</v>
      </c>
      <c r="B5" s="151" t="s">
        <v>1525</v>
      </c>
      <c r="C5" s="52">
        <v>529023868</v>
      </c>
      <c r="D5" s="52" t="s">
        <v>12</v>
      </c>
      <c r="E5" s="52" t="s">
        <v>839</v>
      </c>
      <c r="F5" s="52">
        <v>1.5292424499999999</v>
      </c>
      <c r="G5" s="52">
        <v>72950344</v>
      </c>
      <c r="H5" s="5"/>
      <c r="I5" s="43"/>
      <c r="J5" s="119"/>
      <c r="K5" s="1"/>
      <c r="L5" s="1"/>
    </row>
    <row r="6" spans="1:12">
      <c r="A6">
        <v>4</v>
      </c>
      <c r="B6" s="151" t="s">
        <v>1526</v>
      </c>
      <c r="C6" s="52">
        <v>503833560</v>
      </c>
      <c r="D6" s="52" t="s">
        <v>1527</v>
      </c>
      <c r="E6" s="52" t="s">
        <v>839</v>
      </c>
      <c r="F6" s="52">
        <v>1.52943742</v>
      </c>
      <c r="G6" s="52">
        <v>72962448</v>
      </c>
      <c r="H6" s="5"/>
      <c r="I6" s="5"/>
      <c r="J6" s="119"/>
      <c r="K6" s="1"/>
      <c r="L6" s="1"/>
    </row>
    <row r="7" spans="1:12">
      <c r="A7">
        <v>5</v>
      </c>
      <c r="B7" s="151" t="s">
        <v>1528</v>
      </c>
      <c r="C7" s="52">
        <v>529696855</v>
      </c>
      <c r="D7" s="52" t="s">
        <v>12</v>
      </c>
      <c r="E7" s="52" t="s">
        <v>839</v>
      </c>
      <c r="F7" s="52">
        <v>1.53033844</v>
      </c>
      <c r="G7" s="52">
        <v>73064959</v>
      </c>
      <c r="H7" s="5"/>
      <c r="I7" s="5"/>
      <c r="J7" s="119"/>
      <c r="K7" s="1"/>
      <c r="L7" s="1"/>
    </row>
    <row r="8" spans="1:12">
      <c r="A8">
        <v>6</v>
      </c>
      <c r="B8" s="151" t="s">
        <v>1529</v>
      </c>
      <c r="C8" s="52">
        <v>561887919</v>
      </c>
      <c r="D8" s="52" t="s">
        <v>1530</v>
      </c>
      <c r="E8" s="52" t="s">
        <v>839</v>
      </c>
      <c r="F8" s="52">
        <v>1.53092103</v>
      </c>
      <c r="G8" s="52">
        <v>73137930</v>
      </c>
      <c r="H8" s="5"/>
      <c r="I8" s="5"/>
      <c r="J8" s="119"/>
      <c r="K8" s="1"/>
      <c r="L8" s="1"/>
    </row>
    <row r="9" spans="1:12">
      <c r="A9">
        <v>7</v>
      </c>
      <c r="B9" s="151" t="s">
        <v>1531</v>
      </c>
      <c r="C9" s="52">
        <v>547720234</v>
      </c>
      <c r="D9" s="52" t="s">
        <v>1527</v>
      </c>
      <c r="E9" s="52" t="s">
        <v>839</v>
      </c>
      <c r="F9" s="52">
        <v>1.5309814100000001</v>
      </c>
      <c r="G9" s="52">
        <v>73151418</v>
      </c>
      <c r="H9" s="5"/>
      <c r="I9" s="5"/>
      <c r="J9" s="119"/>
      <c r="K9" s="1"/>
      <c r="L9" s="1"/>
    </row>
    <row r="10" spans="1:12">
      <c r="A10">
        <v>8</v>
      </c>
      <c r="B10" s="151" t="s">
        <v>1532</v>
      </c>
      <c r="C10" s="52">
        <v>585274730</v>
      </c>
      <c r="D10" s="52" t="s">
        <v>1527</v>
      </c>
      <c r="E10" s="52" t="s">
        <v>839</v>
      </c>
      <c r="F10" s="52">
        <v>1.5312446200000001</v>
      </c>
      <c r="G10" s="52">
        <v>73180024</v>
      </c>
      <c r="H10" s="5"/>
      <c r="I10" s="5"/>
      <c r="J10" s="119"/>
      <c r="K10" s="1"/>
      <c r="L10" s="1"/>
    </row>
    <row r="11" spans="1:12">
      <c r="A11">
        <v>9</v>
      </c>
      <c r="B11" s="151" t="s">
        <v>1533</v>
      </c>
      <c r="C11" s="52">
        <v>543350013</v>
      </c>
      <c r="D11" s="52" t="s">
        <v>12</v>
      </c>
      <c r="E11" s="52" t="s">
        <v>839</v>
      </c>
      <c r="F11" s="52">
        <v>1.53160333</v>
      </c>
      <c r="G11" s="52">
        <v>73216464</v>
      </c>
      <c r="H11" s="5"/>
      <c r="I11" s="5"/>
      <c r="J11" s="119"/>
      <c r="K11" s="1"/>
      <c r="L11" s="1"/>
    </row>
    <row r="12" spans="1:12">
      <c r="A12">
        <v>10</v>
      </c>
      <c r="B12" s="151" t="s">
        <v>1520</v>
      </c>
      <c r="C12" s="52">
        <v>566502805</v>
      </c>
      <c r="D12" s="52" t="s">
        <v>1527</v>
      </c>
      <c r="E12" s="52" t="s">
        <v>839</v>
      </c>
      <c r="F12" s="52">
        <v>1.5321692</v>
      </c>
      <c r="G12" s="52">
        <v>73257270</v>
      </c>
      <c r="H12" s="5"/>
      <c r="I12" s="5"/>
      <c r="J12" s="119"/>
      <c r="K12" s="1"/>
      <c r="L12" s="1"/>
    </row>
    <row r="13" spans="1:12">
      <c r="A13">
        <v>11</v>
      </c>
      <c r="B13" s="151" t="s">
        <v>1534</v>
      </c>
      <c r="C13" s="52">
        <v>503883188</v>
      </c>
      <c r="D13" s="52" t="s">
        <v>1535</v>
      </c>
      <c r="E13" s="52" t="s">
        <v>839</v>
      </c>
      <c r="F13" s="52">
        <v>1.5321908399999999</v>
      </c>
      <c r="G13" s="52">
        <v>73260834</v>
      </c>
      <c r="H13" s="5"/>
      <c r="I13" s="5"/>
      <c r="J13" s="119"/>
      <c r="K13" s="1"/>
      <c r="L13" s="1"/>
    </row>
    <row r="14" spans="1:12">
      <c r="A14">
        <v>12</v>
      </c>
      <c r="B14" s="151" t="s">
        <v>1536</v>
      </c>
      <c r="C14" s="52">
        <v>557867274</v>
      </c>
      <c r="D14" s="52" t="s">
        <v>1530</v>
      </c>
      <c r="E14" s="52" t="s">
        <v>839</v>
      </c>
      <c r="F14" s="52">
        <v>1.53221016</v>
      </c>
      <c r="G14" s="52">
        <v>73264226</v>
      </c>
      <c r="H14" s="5"/>
      <c r="I14" s="5"/>
      <c r="J14" s="119"/>
      <c r="K14" s="1"/>
      <c r="L14" s="1"/>
    </row>
    <row r="15" spans="1:12">
      <c r="A15">
        <v>13</v>
      </c>
      <c r="B15" s="151" t="s">
        <v>1537</v>
      </c>
      <c r="C15" s="52">
        <v>567813092</v>
      </c>
      <c r="D15" s="52" t="s">
        <v>12</v>
      </c>
      <c r="E15" s="52" t="s">
        <v>839</v>
      </c>
      <c r="F15" s="52">
        <v>1.5322558799999999</v>
      </c>
      <c r="G15" s="52">
        <v>73273325</v>
      </c>
      <c r="H15" s="5"/>
      <c r="I15" s="5"/>
      <c r="J15" s="119"/>
      <c r="K15" s="1"/>
      <c r="L15" s="1"/>
    </row>
    <row r="16" spans="1:12">
      <c r="A16">
        <v>14</v>
      </c>
      <c r="B16" s="151" t="s">
        <v>1538</v>
      </c>
      <c r="C16" s="52">
        <v>569200029</v>
      </c>
      <c r="D16" s="52" t="s">
        <v>1527</v>
      </c>
      <c r="E16" s="52" t="s">
        <v>839</v>
      </c>
      <c r="F16" s="52">
        <v>1.5328240500000001</v>
      </c>
      <c r="G16" s="52">
        <v>73330955</v>
      </c>
      <c r="H16" s="5"/>
      <c r="I16" s="5"/>
      <c r="J16" s="119"/>
      <c r="K16" s="1"/>
      <c r="L16" s="1"/>
    </row>
    <row r="17" spans="1:12">
      <c r="A17">
        <v>15</v>
      </c>
      <c r="B17" s="151" t="s">
        <v>1539</v>
      </c>
      <c r="C17" s="52">
        <v>547690881</v>
      </c>
      <c r="D17" s="52" t="s">
        <v>12</v>
      </c>
      <c r="E17" s="52" t="s">
        <v>839</v>
      </c>
      <c r="F17" s="52">
        <v>1.5330594200000001</v>
      </c>
      <c r="G17" s="52">
        <v>73352689</v>
      </c>
      <c r="H17" s="5"/>
      <c r="I17" s="5"/>
      <c r="J17" s="119"/>
      <c r="K17" s="1"/>
      <c r="L17" s="1"/>
    </row>
    <row r="18" spans="1:12">
      <c r="A18">
        <v>16</v>
      </c>
      <c r="B18" s="151" t="s">
        <v>1521</v>
      </c>
      <c r="C18" s="52">
        <v>563733692</v>
      </c>
      <c r="D18" s="52" t="s">
        <v>12</v>
      </c>
      <c r="E18" s="52" t="s">
        <v>839</v>
      </c>
      <c r="F18" s="52">
        <v>1.41089175</v>
      </c>
      <c r="G18" s="52">
        <v>73357889</v>
      </c>
      <c r="H18" s="5"/>
      <c r="I18" s="5"/>
      <c r="J18" s="119"/>
      <c r="K18" s="1"/>
      <c r="L18" s="1"/>
    </row>
    <row r="19" spans="1:12">
      <c r="A19">
        <v>17</v>
      </c>
      <c r="B19" s="151" t="s">
        <v>1540</v>
      </c>
      <c r="C19" s="52">
        <v>526913193</v>
      </c>
      <c r="D19" s="52" t="s">
        <v>102</v>
      </c>
      <c r="E19" s="52" t="s">
        <v>839</v>
      </c>
      <c r="F19" s="52">
        <v>1.5337147499999999</v>
      </c>
      <c r="G19" s="52">
        <v>73431875</v>
      </c>
      <c r="H19" s="5"/>
      <c r="I19" s="5"/>
      <c r="J19" s="119"/>
      <c r="K19" s="1"/>
      <c r="L19" s="1"/>
    </row>
    <row r="20" spans="1:12">
      <c r="A20">
        <v>18</v>
      </c>
      <c r="B20" s="151" t="s">
        <v>1541</v>
      </c>
      <c r="C20" s="52">
        <v>501919119</v>
      </c>
      <c r="D20" s="52" t="s">
        <v>102</v>
      </c>
      <c r="E20" s="52" t="s">
        <v>839</v>
      </c>
      <c r="F20" s="52" t="s">
        <v>1542</v>
      </c>
      <c r="G20" s="52">
        <v>582817831</v>
      </c>
      <c r="H20" s="5"/>
      <c r="I20" s="5"/>
      <c r="J20" s="119"/>
      <c r="K20" s="1"/>
      <c r="L20" s="1"/>
    </row>
    <row r="21" spans="1:12">
      <c r="A21">
        <v>19</v>
      </c>
      <c r="B21" s="151" t="s">
        <v>1543</v>
      </c>
      <c r="C21" s="52">
        <v>589498386</v>
      </c>
      <c r="D21" s="52" t="s">
        <v>1530</v>
      </c>
      <c r="E21" s="52" t="s">
        <v>839</v>
      </c>
      <c r="F21" s="52" t="s">
        <v>1544</v>
      </c>
      <c r="H21" s="5"/>
      <c r="I21" s="5"/>
      <c r="J21" s="119"/>
      <c r="K21" s="1"/>
      <c r="L21" s="1"/>
    </row>
    <row r="22" spans="1:12">
      <c r="A22">
        <v>20</v>
      </c>
      <c r="B22" s="151" t="s">
        <v>1522</v>
      </c>
      <c r="C22" s="52">
        <v>551055565</v>
      </c>
      <c r="D22" s="52" t="s">
        <v>1527</v>
      </c>
      <c r="E22" s="52" t="s">
        <v>839</v>
      </c>
      <c r="F22" s="52" t="s">
        <v>1545</v>
      </c>
      <c r="G22" s="52">
        <v>582902758</v>
      </c>
      <c r="H22" s="5"/>
      <c r="I22" s="5"/>
      <c r="J22" s="119"/>
      <c r="K22" s="1"/>
      <c r="L22" s="1"/>
    </row>
    <row r="23" spans="1:12">
      <c r="A23">
        <v>21</v>
      </c>
      <c r="B23" s="151" t="s">
        <v>1546</v>
      </c>
      <c r="C23" s="52">
        <v>522883681</v>
      </c>
      <c r="D23" s="52" t="s">
        <v>1530</v>
      </c>
      <c r="E23" s="52" t="s">
        <v>1325</v>
      </c>
      <c r="H23" s="5"/>
      <c r="I23" s="5"/>
      <c r="J23" s="119"/>
      <c r="K23" s="1"/>
      <c r="L23" s="1"/>
    </row>
    <row r="24" spans="1:12">
      <c r="A24">
        <v>22</v>
      </c>
      <c r="B24" s="151" t="s">
        <v>1547</v>
      </c>
      <c r="C24" s="52">
        <v>506275188</v>
      </c>
      <c r="D24" s="52" t="s">
        <v>192</v>
      </c>
      <c r="E24" s="52" t="s">
        <v>839</v>
      </c>
      <c r="F24" s="52" t="s">
        <v>1548</v>
      </c>
      <c r="G24" s="52">
        <v>586770529</v>
      </c>
      <c r="H24" s="5"/>
      <c r="I24" s="5"/>
      <c r="J24" s="119"/>
      <c r="K24" s="1"/>
      <c r="L24" s="1"/>
    </row>
    <row r="25" spans="1:12">
      <c r="A25">
        <v>23</v>
      </c>
      <c r="B25" s="151" t="s">
        <v>1549</v>
      </c>
      <c r="C25" s="52">
        <v>524813100</v>
      </c>
      <c r="D25" s="52" t="s">
        <v>102</v>
      </c>
      <c r="E25" s="52" t="s">
        <v>839</v>
      </c>
      <c r="F25" s="52" t="s">
        <v>1550</v>
      </c>
      <c r="G25" s="52">
        <v>588227134</v>
      </c>
      <c r="H25" s="5"/>
      <c r="I25" s="5"/>
      <c r="J25" s="119"/>
      <c r="K25" s="1"/>
      <c r="L25" s="1"/>
    </row>
    <row r="26" spans="1:12">
      <c r="A26">
        <v>24</v>
      </c>
      <c r="B26" s="151" t="s">
        <v>1551</v>
      </c>
      <c r="C26" s="52">
        <v>554389052</v>
      </c>
      <c r="D26" s="52" t="s">
        <v>192</v>
      </c>
      <c r="E26" s="52" t="s">
        <v>839</v>
      </c>
      <c r="F26" s="52" t="s">
        <v>1552</v>
      </c>
      <c r="G26" s="52">
        <v>582831387</v>
      </c>
      <c r="H26" s="5"/>
      <c r="I26" s="43"/>
      <c r="J26" s="119"/>
      <c r="K26" s="1"/>
      <c r="L26" s="1"/>
    </row>
    <row r="27" spans="1:12">
      <c r="A27">
        <v>25</v>
      </c>
      <c r="B27" s="151" t="s">
        <v>1553</v>
      </c>
      <c r="C27" s="52">
        <v>507271728</v>
      </c>
      <c r="D27" s="52" t="s">
        <v>102</v>
      </c>
      <c r="E27" s="52" t="s">
        <v>839</v>
      </c>
      <c r="F27" s="52" t="s">
        <v>1554</v>
      </c>
      <c r="G27" s="52">
        <v>586207462</v>
      </c>
      <c r="H27" s="5"/>
      <c r="I27" s="5"/>
      <c r="J27" s="119"/>
      <c r="K27" s="1"/>
      <c r="L27" s="1"/>
    </row>
    <row r="28" spans="1:12">
      <c r="A28">
        <v>26</v>
      </c>
      <c r="B28" s="151" t="s">
        <v>1555</v>
      </c>
      <c r="C28" s="52">
        <v>555622104</v>
      </c>
      <c r="D28" s="52" t="s">
        <v>12</v>
      </c>
      <c r="E28" s="52" t="s">
        <v>839</v>
      </c>
      <c r="F28" s="52" t="s">
        <v>1556</v>
      </c>
      <c r="G28" s="52">
        <v>522377196</v>
      </c>
      <c r="H28" s="5"/>
      <c r="I28" s="5"/>
      <c r="J28" s="119"/>
      <c r="K28" s="1"/>
      <c r="L28" s="1"/>
    </row>
    <row r="29" spans="1:12">
      <c r="A29">
        <v>27</v>
      </c>
      <c r="B29" s="151" t="s">
        <v>1557</v>
      </c>
      <c r="C29" s="52">
        <v>569940493</v>
      </c>
      <c r="D29" s="52" t="s">
        <v>1530</v>
      </c>
      <c r="E29" s="52" t="s">
        <v>839</v>
      </c>
      <c r="F29" s="52" t="s">
        <v>1558</v>
      </c>
      <c r="G29" s="52">
        <v>521699638</v>
      </c>
      <c r="H29" s="5"/>
      <c r="I29" s="5"/>
      <c r="J29" s="119"/>
      <c r="K29" s="1"/>
      <c r="L29" s="1"/>
    </row>
  </sheetData>
  <mergeCells count="1">
    <mergeCell ref="A1:L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64"/>
  <sheetViews>
    <sheetView topLeftCell="H25" zoomScale="70" zoomScaleNormal="70" workbookViewId="0">
      <selection activeCell="M34" sqref="M34"/>
    </sheetView>
  </sheetViews>
  <sheetFormatPr defaultRowHeight="14.5"/>
  <cols>
    <col min="1" max="1" width="4.453125" bestFit="1" customWidth="1"/>
    <col min="2" max="2" width="35.453125" bestFit="1" customWidth="1"/>
    <col min="3" max="3" width="15.54296875" bestFit="1" customWidth="1"/>
    <col min="4" max="4" width="8.453125" bestFit="1" customWidth="1"/>
    <col min="5" max="5" width="12.453125" bestFit="1" customWidth="1"/>
    <col min="6" max="6" width="16.453125" bestFit="1" customWidth="1"/>
    <col min="7" max="7" width="25.54296875" bestFit="1" customWidth="1"/>
    <col min="8" max="8" width="16.54296875" bestFit="1" customWidth="1"/>
    <col min="10" max="10" width="10.453125" bestFit="1" customWidth="1"/>
    <col min="11" max="11" width="6.54296875" bestFit="1" customWidth="1"/>
    <col min="12" max="12" width="50.453125" bestFit="1" customWidth="1"/>
    <col min="13" max="13" width="22.453125" bestFit="1" customWidth="1"/>
    <col min="14" max="14" width="50.54296875" bestFit="1" customWidth="1"/>
  </cols>
  <sheetData>
    <row r="1" spans="1:12" ht="46">
      <c r="A1" s="622" t="s">
        <v>40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</row>
    <row r="2" spans="1:12" ht="18.5">
      <c r="A2" s="143" t="s">
        <v>0</v>
      </c>
      <c r="B2" s="4" t="s">
        <v>1</v>
      </c>
      <c r="C2" s="144" t="s">
        <v>1333</v>
      </c>
      <c r="D2" s="38" t="s">
        <v>1334</v>
      </c>
      <c r="E2" s="144" t="s">
        <v>4</v>
      </c>
      <c r="F2" s="144" t="s">
        <v>8</v>
      </c>
      <c r="G2" s="38" t="s">
        <v>10</v>
      </c>
      <c r="H2" s="144" t="s">
        <v>1335</v>
      </c>
      <c r="I2" s="2" t="s">
        <v>212</v>
      </c>
    </row>
    <row r="3" spans="1:12">
      <c r="A3" s="1">
        <v>1</v>
      </c>
      <c r="B3" s="64" t="s">
        <v>1336</v>
      </c>
      <c r="C3" s="5">
        <v>501929299</v>
      </c>
      <c r="D3" s="5">
        <v>199</v>
      </c>
      <c r="E3" s="5" t="s">
        <v>102</v>
      </c>
      <c r="F3" s="5" t="s">
        <v>839</v>
      </c>
      <c r="G3" s="5" t="s">
        <v>1337</v>
      </c>
      <c r="H3" s="5">
        <v>521988591</v>
      </c>
      <c r="I3" s="5"/>
    </row>
    <row r="4" spans="1:12">
      <c r="A4" s="1">
        <v>2</v>
      </c>
      <c r="B4" s="64" t="s">
        <v>1338</v>
      </c>
      <c r="C4" s="5">
        <v>523289518</v>
      </c>
      <c r="D4" s="5">
        <v>199</v>
      </c>
      <c r="E4" s="5" t="s">
        <v>192</v>
      </c>
      <c r="F4" s="5" t="s">
        <v>839</v>
      </c>
      <c r="G4" s="5" t="s">
        <v>1339</v>
      </c>
      <c r="H4" s="5">
        <v>521161070</v>
      </c>
      <c r="I4" s="5"/>
    </row>
    <row r="5" spans="1:12">
      <c r="A5" s="1">
        <v>3</v>
      </c>
      <c r="B5" s="64" t="s">
        <v>1340</v>
      </c>
      <c r="C5" s="5">
        <v>521129790</v>
      </c>
      <c r="D5" s="5">
        <v>299</v>
      </c>
      <c r="E5" s="5" t="s">
        <v>20</v>
      </c>
      <c r="F5" s="5" t="s">
        <v>839</v>
      </c>
      <c r="G5" s="5" t="s">
        <v>1341</v>
      </c>
      <c r="H5" s="5">
        <v>521332515</v>
      </c>
      <c r="I5" s="5"/>
    </row>
    <row r="6" spans="1:12">
      <c r="A6" s="1">
        <v>4</v>
      </c>
      <c r="B6" s="64" t="s">
        <v>1342</v>
      </c>
      <c r="C6" s="5">
        <v>568920888</v>
      </c>
      <c r="D6" s="5">
        <v>299</v>
      </c>
      <c r="E6" s="5" t="s">
        <v>112</v>
      </c>
      <c r="F6" s="5" t="s">
        <v>839</v>
      </c>
      <c r="G6" s="5" t="s">
        <v>1343</v>
      </c>
      <c r="H6" s="5">
        <v>523392747</v>
      </c>
      <c r="I6" s="5"/>
    </row>
    <row r="7" spans="1:12">
      <c r="A7" s="1">
        <v>5</v>
      </c>
      <c r="B7" s="64" t="s">
        <v>1344</v>
      </c>
      <c r="C7" s="5">
        <v>525705335</v>
      </c>
      <c r="D7" s="5">
        <v>199</v>
      </c>
      <c r="E7" s="5" t="s">
        <v>20</v>
      </c>
      <c r="F7" s="5" t="s">
        <v>839</v>
      </c>
      <c r="G7" s="5" t="s">
        <v>1345</v>
      </c>
      <c r="H7" s="5">
        <v>522801875</v>
      </c>
      <c r="I7" s="5"/>
    </row>
    <row r="8" spans="1:12">
      <c r="A8" s="1">
        <v>6</v>
      </c>
      <c r="B8" s="64" t="s">
        <v>1346</v>
      </c>
      <c r="C8" s="5">
        <v>555949945</v>
      </c>
      <c r="D8" s="5">
        <v>199</v>
      </c>
      <c r="E8" s="5" t="s">
        <v>12</v>
      </c>
      <c r="F8" s="5" t="s">
        <v>839</v>
      </c>
      <c r="G8" s="5" t="s">
        <v>1347</v>
      </c>
      <c r="H8" s="5">
        <v>586920775</v>
      </c>
      <c r="I8" s="5"/>
    </row>
    <row r="9" spans="1:12">
      <c r="A9" s="1">
        <v>7</v>
      </c>
      <c r="B9" s="64" t="s">
        <v>1348</v>
      </c>
      <c r="C9" s="5">
        <v>507443895</v>
      </c>
      <c r="D9" s="5">
        <v>199</v>
      </c>
      <c r="E9" s="5" t="s">
        <v>12</v>
      </c>
      <c r="F9" s="5" t="s">
        <v>839</v>
      </c>
      <c r="G9" s="5" t="s">
        <v>1349</v>
      </c>
      <c r="H9" s="5">
        <v>521773839</v>
      </c>
      <c r="I9" s="5"/>
    </row>
    <row r="10" spans="1:12">
      <c r="A10" s="1">
        <v>8</v>
      </c>
      <c r="B10" s="64" t="s">
        <v>1350</v>
      </c>
      <c r="C10" s="5">
        <v>554352011</v>
      </c>
      <c r="D10" s="5">
        <v>199</v>
      </c>
      <c r="E10" s="5" t="s">
        <v>12</v>
      </c>
      <c r="F10" s="5" t="s">
        <v>839</v>
      </c>
      <c r="G10" s="5" t="s">
        <v>1351</v>
      </c>
      <c r="H10" s="5">
        <v>521090470</v>
      </c>
      <c r="I10" s="5"/>
    </row>
    <row r="11" spans="1:12">
      <c r="A11" s="1">
        <v>9</v>
      </c>
      <c r="B11" s="64" t="s">
        <v>1352</v>
      </c>
      <c r="C11" s="5">
        <v>529234071</v>
      </c>
      <c r="D11" s="5">
        <v>299</v>
      </c>
      <c r="E11" s="5" t="s">
        <v>12</v>
      </c>
      <c r="F11" s="5" t="s">
        <v>839</v>
      </c>
      <c r="G11" s="5" t="s">
        <v>1353</v>
      </c>
      <c r="H11" s="5">
        <v>523095408</v>
      </c>
      <c r="I11" s="5"/>
    </row>
    <row r="12" spans="1:12">
      <c r="A12" s="1">
        <v>10</v>
      </c>
      <c r="B12" s="64" t="s">
        <v>1354</v>
      </c>
      <c r="C12" s="5">
        <v>527894882</v>
      </c>
      <c r="D12" s="5">
        <v>199</v>
      </c>
      <c r="E12" s="5" t="s">
        <v>102</v>
      </c>
      <c r="F12" s="5" t="s">
        <v>839</v>
      </c>
      <c r="G12" s="5" t="s">
        <v>1355</v>
      </c>
      <c r="H12" s="5">
        <v>521783387</v>
      </c>
      <c r="I12" s="5"/>
    </row>
    <row r="13" spans="1:12">
      <c r="A13" s="1">
        <v>11</v>
      </c>
      <c r="B13" s="64" t="s">
        <v>1356</v>
      </c>
      <c r="C13" s="5">
        <v>562013378</v>
      </c>
      <c r="D13" s="5">
        <v>199</v>
      </c>
      <c r="E13" s="5" t="s">
        <v>192</v>
      </c>
      <c r="F13" s="5" t="s">
        <v>839</v>
      </c>
      <c r="G13" s="5" t="s">
        <v>1357</v>
      </c>
      <c r="H13" s="5">
        <v>589562077</v>
      </c>
      <c r="I13" s="5"/>
    </row>
    <row r="14" spans="1:12">
      <c r="A14" s="1">
        <v>12</v>
      </c>
      <c r="B14" s="71" t="s">
        <v>1358</v>
      </c>
      <c r="C14" s="5">
        <v>561255000</v>
      </c>
      <c r="D14" s="5">
        <v>199</v>
      </c>
      <c r="E14" s="5" t="s">
        <v>102</v>
      </c>
      <c r="F14" s="5" t="s">
        <v>839</v>
      </c>
      <c r="G14" s="5" t="s">
        <v>1359</v>
      </c>
      <c r="H14" s="5">
        <v>521012272</v>
      </c>
      <c r="I14" s="5"/>
    </row>
    <row r="15" spans="1:12">
      <c r="A15" s="1">
        <v>13</v>
      </c>
      <c r="B15" s="71" t="s">
        <v>1360</v>
      </c>
      <c r="C15" s="5">
        <v>504079045</v>
      </c>
      <c r="D15" s="5">
        <v>199</v>
      </c>
      <c r="E15" s="5" t="s">
        <v>12</v>
      </c>
      <c r="F15" s="5" t="s">
        <v>839</v>
      </c>
      <c r="G15" s="5" t="s">
        <v>1361</v>
      </c>
      <c r="H15" s="5">
        <v>521161096</v>
      </c>
      <c r="I15" s="5"/>
    </row>
    <row r="16" spans="1:12">
      <c r="A16" s="1">
        <v>14</v>
      </c>
      <c r="B16" s="71" t="s">
        <v>1362</v>
      </c>
      <c r="C16" s="5">
        <v>588223344</v>
      </c>
      <c r="D16" s="5">
        <v>199</v>
      </c>
      <c r="E16" s="5" t="s">
        <v>192</v>
      </c>
      <c r="F16" s="5" t="s">
        <v>839</v>
      </c>
      <c r="G16" s="5" t="s">
        <v>1363</v>
      </c>
      <c r="H16" s="5">
        <v>582907052</v>
      </c>
      <c r="I16" s="5"/>
    </row>
    <row r="17" spans="1:14">
      <c r="A17" s="1">
        <v>15</v>
      </c>
      <c r="B17" s="71" t="s">
        <v>1364</v>
      </c>
      <c r="C17" s="5">
        <v>507749444</v>
      </c>
      <c r="D17" s="5">
        <v>199</v>
      </c>
      <c r="E17" s="5" t="s">
        <v>102</v>
      </c>
      <c r="F17" s="5" t="s">
        <v>839</v>
      </c>
      <c r="G17" s="5" t="s">
        <v>1365</v>
      </c>
      <c r="H17" s="5">
        <v>522248491</v>
      </c>
      <c r="I17" s="5"/>
    </row>
    <row r="18" spans="1:14">
      <c r="A18" s="1">
        <v>16</v>
      </c>
      <c r="B18" s="71" t="s">
        <v>1366</v>
      </c>
      <c r="C18" s="5">
        <v>527385694</v>
      </c>
      <c r="D18" s="5">
        <v>199</v>
      </c>
      <c r="E18" s="5" t="s">
        <v>12</v>
      </c>
      <c r="F18" s="5" t="s">
        <v>839</v>
      </c>
      <c r="G18" s="5">
        <v>1.54376644</v>
      </c>
      <c r="H18" s="5">
        <v>74502716</v>
      </c>
      <c r="I18" s="5"/>
    </row>
    <row r="19" spans="1:14">
      <c r="A19" s="1">
        <v>17</v>
      </c>
      <c r="B19" s="71" t="s">
        <v>1367</v>
      </c>
      <c r="C19" s="5">
        <v>581905449</v>
      </c>
      <c r="D19" s="5">
        <v>199</v>
      </c>
      <c r="E19" s="5" t="s">
        <v>12</v>
      </c>
      <c r="F19" s="5" t="s">
        <v>839</v>
      </c>
      <c r="G19" s="5">
        <v>1.4108797799999999</v>
      </c>
      <c r="H19" s="5">
        <v>74571364</v>
      </c>
      <c r="I19" s="5"/>
    </row>
    <row r="20" spans="1:14">
      <c r="A20" s="1">
        <v>18</v>
      </c>
      <c r="B20" s="71" t="s">
        <v>1368</v>
      </c>
      <c r="C20" s="5">
        <v>588245827</v>
      </c>
      <c r="D20" s="5">
        <v>199</v>
      </c>
      <c r="E20" s="5" t="s">
        <v>12</v>
      </c>
      <c r="F20" s="5" t="s">
        <v>839</v>
      </c>
      <c r="G20" s="5" t="s">
        <v>1369</v>
      </c>
      <c r="H20" s="5">
        <v>521990419</v>
      </c>
      <c r="I20" s="5"/>
    </row>
    <row r="21" spans="1:14">
      <c r="A21" s="1">
        <v>19</v>
      </c>
      <c r="B21" s="71" t="s">
        <v>1370</v>
      </c>
      <c r="C21" s="5">
        <v>501693283</v>
      </c>
      <c r="D21" s="5">
        <v>399</v>
      </c>
      <c r="E21" s="5" t="s">
        <v>112</v>
      </c>
      <c r="F21" s="5" t="s">
        <v>839</v>
      </c>
      <c r="G21" s="5"/>
      <c r="H21" s="1"/>
      <c r="I21" s="1"/>
    </row>
    <row r="22" spans="1:14">
      <c r="A22" s="1">
        <v>20</v>
      </c>
      <c r="B22" s="71" t="s">
        <v>1371</v>
      </c>
      <c r="C22" s="5">
        <v>526469106</v>
      </c>
      <c r="D22" s="5" t="s">
        <v>27</v>
      </c>
      <c r="E22" s="5" t="s">
        <v>12</v>
      </c>
      <c r="F22" s="5" t="s">
        <v>839</v>
      </c>
      <c r="G22" s="5">
        <v>1.54197921</v>
      </c>
      <c r="H22" s="5" t="s">
        <v>1372</v>
      </c>
      <c r="I22" s="1"/>
    </row>
    <row r="23" spans="1:14">
      <c r="A23" s="1">
        <v>21</v>
      </c>
      <c r="B23" s="71" t="s">
        <v>1373</v>
      </c>
      <c r="C23" s="5">
        <v>567399100</v>
      </c>
      <c r="D23" s="5">
        <v>299</v>
      </c>
      <c r="E23" s="5" t="s">
        <v>102</v>
      </c>
      <c r="F23" s="5" t="s">
        <v>839</v>
      </c>
      <c r="G23" s="3" t="s">
        <v>1374</v>
      </c>
      <c r="H23" s="3">
        <v>522056511</v>
      </c>
      <c r="I23" s="1"/>
    </row>
    <row r="24" spans="1:14">
      <c r="A24" s="1">
        <v>22</v>
      </c>
      <c r="B24" s="71" t="s">
        <v>1375</v>
      </c>
      <c r="C24" s="5">
        <v>551106495</v>
      </c>
      <c r="D24" s="5" t="s">
        <v>1376</v>
      </c>
      <c r="E24" s="5" t="s">
        <v>112</v>
      </c>
      <c r="F24" s="5" t="s">
        <v>839</v>
      </c>
      <c r="G24" s="5"/>
      <c r="H24" s="5"/>
      <c r="I24" s="1"/>
    </row>
    <row r="26" spans="1:14">
      <c r="A26" s="71" t="s">
        <v>1559</v>
      </c>
      <c r="B26" s="152">
        <v>44987</v>
      </c>
      <c r="C26" s="71" t="s">
        <v>1560</v>
      </c>
      <c r="D26" s="71">
        <v>1.3067545700000001</v>
      </c>
      <c r="E26" s="71" t="s">
        <v>1561</v>
      </c>
      <c r="F26" s="71">
        <v>509922707</v>
      </c>
      <c r="G26" s="71" t="s">
        <v>1562</v>
      </c>
      <c r="H26" s="71">
        <v>199</v>
      </c>
      <c r="I26" s="71">
        <v>199</v>
      </c>
      <c r="J26" s="71" t="s">
        <v>1563</v>
      </c>
      <c r="K26" s="71" t="e">
        <v>#N/A</v>
      </c>
      <c r="L26" s="71" t="s">
        <v>1564</v>
      </c>
      <c r="M26" s="71" t="s">
        <v>1565</v>
      </c>
      <c r="N26" s="71" t="s">
        <v>1566</v>
      </c>
    </row>
    <row r="27" spans="1:14">
      <c r="A27" s="71" t="s">
        <v>1559</v>
      </c>
      <c r="B27" s="152">
        <v>44986</v>
      </c>
      <c r="C27" s="71" t="s">
        <v>1567</v>
      </c>
      <c r="D27" s="71">
        <v>1.5127028600000001</v>
      </c>
      <c r="E27" s="71" t="s">
        <v>1568</v>
      </c>
      <c r="F27" s="71">
        <v>544911759</v>
      </c>
      <c r="G27" s="71" t="s">
        <v>1569</v>
      </c>
      <c r="H27" s="71">
        <v>199</v>
      </c>
      <c r="I27" s="71">
        <v>199</v>
      </c>
      <c r="J27" s="71" t="s">
        <v>1563</v>
      </c>
      <c r="K27" s="71" t="e">
        <v>#N/A</v>
      </c>
      <c r="L27" s="71" t="s">
        <v>1570</v>
      </c>
      <c r="M27" s="71" t="s">
        <v>1565</v>
      </c>
      <c r="N27" s="71" t="s">
        <v>1566</v>
      </c>
    </row>
    <row r="28" spans="1:14">
      <c r="A28" s="71" t="s">
        <v>1559</v>
      </c>
      <c r="B28" s="152">
        <v>44986</v>
      </c>
      <c r="C28" s="71" t="s">
        <v>1571</v>
      </c>
      <c r="D28" s="71">
        <v>1.53745888</v>
      </c>
      <c r="E28" s="71" t="s">
        <v>1572</v>
      </c>
      <c r="F28" s="71">
        <v>525705335</v>
      </c>
      <c r="G28" s="71" t="s">
        <v>1573</v>
      </c>
      <c r="H28" s="71">
        <v>199</v>
      </c>
      <c r="I28" s="71">
        <v>199</v>
      </c>
      <c r="J28" s="71" t="s">
        <v>1563</v>
      </c>
      <c r="K28" s="71" t="e">
        <v>#N/A</v>
      </c>
      <c r="L28" s="71" t="s">
        <v>1570</v>
      </c>
      <c r="M28" s="71" t="s">
        <v>1565</v>
      </c>
      <c r="N28" s="71" t="s">
        <v>1574</v>
      </c>
    </row>
    <row r="29" spans="1:14">
      <c r="A29" s="71" t="s">
        <v>1559</v>
      </c>
      <c r="B29" s="152">
        <v>44988</v>
      </c>
      <c r="C29" s="71" t="s">
        <v>1575</v>
      </c>
      <c r="D29" s="71"/>
      <c r="E29" s="71" t="s">
        <v>1576</v>
      </c>
      <c r="F29" s="71">
        <v>529538733</v>
      </c>
      <c r="G29" s="71" t="s">
        <v>1577</v>
      </c>
      <c r="H29" s="71">
        <v>199</v>
      </c>
      <c r="I29" s="71">
        <v>199</v>
      </c>
      <c r="J29" s="71" t="s">
        <v>1563</v>
      </c>
      <c r="K29" s="71" t="e">
        <v>#N/A</v>
      </c>
      <c r="L29" s="71" t="s">
        <v>1564</v>
      </c>
      <c r="M29" s="71" t="s">
        <v>1565</v>
      </c>
      <c r="N29" s="71" t="s">
        <v>1566</v>
      </c>
    </row>
    <row r="30" spans="1:14">
      <c r="A30" s="71" t="s">
        <v>1559</v>
      </c>
      <c r="B30" s="152">
        <v>44988</v>
      </c>
      <c r="C30" s="71" t="s">
        <v>1578</v>
      </c>
      <c r="D30" s="71">
        <v>1.53819332</v>
      </c>
      <c r="E30" s="71" t="s">
        <v>1579</v>
      </c>
      <c r="F30" s="71">
        <v>525245448</v>
      </c>
      <c r="G30" s="71" t="s">
        <v>1580</v>
      </c>
      <c r="H30" s="71">
        <v>199</v>
      </c>
      <c r="I30" s="71">
        <v>199</v>
      </c>
      <c r="J30" s="71" t="s">
        <v>1563</v>
      </c>
      <c r="K30" s="71" t="e">
        <v>#N/A</v>
      </c>
      <c r="L30" s="71" t="s">
        <v>1581</v>
      </c>
      <c r="M30" s="71" t="s">
        <v>1565</v>
      </c>
      <c r="N30" s="71" t="s">
        <v>1581</v>
      </c>
    </row>
    <row r="31" spans="1:14">
      <c r="A31" s="71" t="s">
        <v>1559</v>
      </c>
      <c r="B31" s="152">
        <v>44991</v>
      </c>
      <c r="C31" s="71" t="s">
        <v>1582</v>
      </c>
      <c r="D31" s="71"/>
      <c r="E31" s="71" t="s">
        <v>1576</v>
      </c>
      <c r="F31" s="71">
        <v>529538733</v>
      </c>
      <c r="G31" s="71" t="s">
        <v>1577</v>
      </c>
      <c r="H31" s="71">
        <v>199</v>
      </c>
      <c r="I31" s="71">
        <v>199</v>
      </c>
      <c r="J31" s="71" t="s">
        <v>1563</v>
      </c>
      <c r="K31" s="71" t="e">
        <v>#N/A</v>
      </c>
      <c r="L31" s="71" t="e">
        <v>#N/A</v>
      </c>
      <c r="M31" s="71" t="e">
        <v>#N/A</v>
      </c>
      <c r="N31" s="71" t="e">
        <v>#N/A</v>
      </c>
    </row>
    <row r="32" spans="1:14">
      <c r="A32" s="71" t="s">
        <v>1559</v>
      </c>
      <c r="B32" s="152">
        <v>44986</v>
      </c>
      <c r="C32" s="71" t="s">
        <v>1341</v>
      </c>
      <c r="D32" s="71"/>
      <c r="E32" s="71" t="s">
        <v>1583</v>
      </c>
      <c r="F32" s="71">
        <v>521129790</v>
      </c>
      <c r="G32" s="71" t="s">
        <v>1584</v>
      </c>
      <c r="H32" s="71">
        <v>299</v>
      </c>
      <c r="I32" s="71">
        <v>299</v>
      </c>
      <c r="J32" s="71" t="s">
        <v>1585</v>
      </c>
      <c r="K32" s="71" t="e">
        <v>#N/A</v>
      </c>
      <c r="L32" s="71" t="s">
        <v>1570</v>
      </c>
      <c r="M32" s="71" t="s">
        <v>1585</v>
      </c>
      <c r="N32" s="71" t="s">
        <v>1586</v>
      </c>
    </row>
    <row r="33" spans="1:14">
      <c r="A33" s="71" t="s">
        <v>1559</v>
      </c>
      <c r="B33" s="152">
        <v>44988</v>
      </c>
      <c r="C33" s="71" t="s">
        <v>1339</v>
      </c>
      <c r="D33" s="71">
        <v>1.36894363</v>
      </c>
      <c r="E33" s="71" t="s">
        <v>1587</v>
      </c>
      <c r="F33" s="71">
        <v>523289518</v>
      </c>
      <c r="G33" s="71" t="s">
        <v>1588</v>
      </c>
      <c r="H33" s="71">
        <v>199</v>
      </c>
      <c r="I33" s="71">
        <v>199</v>
      </c>
      <c r="J33" s="71" t="s">
        <v>1589</v>
      </c>
      <c r="K33" s="71">
        <v>44991</v>
      </c>
      <c r="L33" s="71">
        <v>0</v>
      </c>
      <c r="M33" s="71" t="s">
        <v>1585</v>
      </c>
      <c r="N33" s="71">
        <v>0</v>
      </c>
    </row>
    <row r="34" spans="1:14">
      <c r="A34" s="71" t="s">
        <v>1559</v>
      </c>
      <c r="B34" s="152">
        <v>44989</v>
      </c>
      <c r="C34" s="71" t="s">
        <v>1590</v>
      </c>
      <c r="D34" s="71">
        <v>1.53750342</v>
      </c>
      <c r="E34" s="71" t="s">
        <v>1583</v>
      </c>
      <c r="F34" s="71">
        <v>521129790</v>
      </c>
      <c r="G34" s="71" t="s">
        <v>1584</v>
      </c>
      <c r="H34" s="71">
        <v>299</v>
      </c>
      <c r="I34" s="71">
        <v>299</v>
      </c>
      <c r="J34" s="71" t="s">
        <v>1589</v>
      </c>
      <c r="K34" s="71">
        <v>44989</v>
      </c>
      <c r="L34" s="71" t="s">
        <v>1566</v>
      </c>
      <c r="M34" s="71" t="s">
        <v>1565</v>
      </c>
      <c r="N34" s="71" t="s">
        <v>1566</v>
      </c>
    </row>
    <row r="35" spans="1:14">
      <c r="A35" s="71" t="s">
        <v>1559</v>
      </c>
      <c r="B35" s="152">
        <v>44990</v>
      </c>
      <c r="C35" s="71" t="s">
        <v>1343</v>
      </c>
      <c r="D35" s="71">
        <v>1.4237521399999999</v>
      </c>
      <c r="E35" s="71" t="s">
        <v>1591</v>
      </c>
      <c r="F35" s="71">
        <v>568920888</v>
      </c>
      <c r="G35" s="71" t="s">
        <v>1592</v>
      </c>
      <c r="H35" s="71">
        <v>299</v>
      </c>
      <c r="I35" s="71">
        <v>299</v>
      </c>
      <c r="J35" s="71" t="s">
        <v>1589</v>
      </c>
      <c r="K35" s="71">
        <v>44990</v>
      </c>
      <c r="L35" s="71">
        <v>0</v>
      </c>
      <c r="M35" s="71" t="s">
        <v>1585</v>
      </c>
      <c r="N35" s="71">
        <v>0</v>
      </c>
    </row>
    <row r="36" spans="1:14">
      <c r="A36" s="71" t="s">
        <v>1559</v>
      </c>
      <c r="B36" s="152">
        <v>44987</v>
      </c>
      <c r="C36" s="71" t="s">
        <v>1556</v>
      </c>
      <c r="D36" s="71">
        <v>1.5371437400000001</v>
      </c>
      <c r="E36" s="71" t="s">
        <v>1593</v>
      </c>
      <c r="F36" s="71">
        <v>555622104</v>
      </c>
      <c r="G36" s="71" t="s">
        <v>1594</v>
      </c>
      <c r="H36" s="71">
        <v>199</v>
      </c>
      <c r="I36" s="71">
        <v>199</v>
      </c>
      <c r="J36" s="71" t="s">
        <v>1589</v>
      </c>
      <c r="K36" s="71">
        <v>44986</v>
      </c>
      <c r="L36" s="71">
        <v>0</v>
      </c>
      <c r="M36" s="71" t="e">
        <v>#N/A</v>
      </c>
      <c r="N36" s="71">
        <v>0</v>
      </c>
    </row>
    <row r="37" spans="1:14">
      <c r="A37" s="71" t="s">
        <v>1559</v>
      </c>
      <c r="B37" s="152">
        <v>44991</v>
      </c>
      <c r="C37" s="71" t="s">
        <v>1347</v>
      </c>
      <c r="D37" s="71">
        <v>1.5390656300000001</v>
      </c>
      <c r="E37" s="71" t="s">
        <v>1595</v>
      </c>
      <c r="F37" s="71">
        <v>555949945</v>
      </c>
      <c r="G37" s="71" t="s">
        <v>1596</v>
      </c>
      <c r="H37" s="71">
        <v>199</v>
      </c>
      <c r="I37" s="71">
        <v>199</v>
      </c>
      <c r="J37" s="71" t="s">
        <v>1589</v>
      </c>
      <c r="K37" s="71">
        <v>44994</v>
      </c>
      <c r="L37" s="71">
        <v>0</v>
      </c>
      <c r="M37" s="71" t="s">
        <v>1585</v>
      </c>
      <c r="N37" s="71" t="s">
        <v>1597</v>
      </c>
    </row>
    <row r="38" spans="1:14">
      <c r="A38" s="71" t="s">
        <v>1559</v>
      </c>
      <c r="B38" s="152">
        <v>44993</v>
      </c>
      <c r="C38" s="71" t="s">
        <v>1598</v>
      </c>
      <c r="D38" s="71"/>
      <c r="E38" s="71" t="s">
        <v>1599</v>
      </c>
      <c r="F38" s="71">
        <v>507443895</v>
      </c>
      <c r="G38" s="71" t="s">
        <v>1600</v>
      </c>
      <c r="H38" s="71">
        <v>199</v>
      </c>
      <c r="I38" s="71">
        <v>199</v>
      </c>
      <c r="J38" s="71" t="s">
        <v>1563</v>
      </c>
      <c r="K38" s="71" t="e">
        <v>#N/A</v>
      </c>
      <c r="L38" s="71" t="s">
        <v>1564</v>
      </c>
      <c r="M38" s="71" t="s">
        <v>1565</v>
      </c>
      <c r="N38" s="71" t="s">
        <v>1566</v>
      </c>
    </row>
    <row r="39" spans="1:14">
      <c r="A39" s="71" t="s">
        <v>1559</v>
      </c>
      <c r="B39" s="152">
        <v>44993</v>
      </c>
      <c r="C39" s="71" t="s">
        <v>1601</v>
      </c>
      <c r="D39" s="71">
        <v>1.5390656300000001</v>
      </c>
      <c r="E39" s="71" t="s">
        <v>1602</v>
      </c>
      <c r="F39" s="71">
        <v>564505236</v>
      </c>
      <c r="G39" s="71" t="s">
        <v>1603</v>
      </c>
      <c r="H39" s="71">
        <v>199</v>
      </c>
      <c r="I39" s="71">
        <v>199</v>
      </c>
      <c r="J39" s="71" t="s">
        <v>1589</v>
      </c>
      <c r="K39" s="71">
        <v>44994</v>
      </c>
      <c r="L39" s="71" t="s">
        <v>1564</v>
      </c>
      <c r="M39" s="71" t="s">
        <v>1565</v>
      </c>
      <c r="N39" s="71" t="s">
        <v>1566</v>
      </c>
    </row>
    <row r="40" spans="1:14">
      <c r="A40" s="71" t="s">
        <v>1559</v>
      </c>
      <c r="B40" s="152">
        <v>44992</v>
      </c>
      <c r="C40" s="71" t="s">
        <v>1349</v>
      </c>
      <c r="D40" s="71">
        <v>1.53922158</v>
      </c>
      <c r="E40" s="71" t="s">
        <v>1604</v>
      </c>
      <c r="F40" s="71">
        <v>507443895</v>
      </c>
      <c r="G40" s="71" t="s">
        <v>1605</v>
      </c>
      <c r="H40" s="71">
        <v>199</v>
      </c>
      <c r="I40" s="71">
        <v>199</v>
      </c>
      <c r="J40" s="71" t="s">
        <v>1589</v>
      </c>
      <c r="K40" s="71">
        <v>44993</v>
      </c>
      <c r="L40" s="71" t="s">
        <v>1564</v>
      </c>
      <c r="M40" s="71" t="s">
        <v>1585</v>
      </c>
      <c r="N40" s="71">
        <v>0</v>
      </c>
    </row>
    <row r="41" spans="1:14">
      <c r="A41" s="71" t="s">
        <v>1559</v>
      </c>
      <c r="B41" s="152">
        <v>44994</v>
      </c>
      <c r="C41" s="71" t="s">
        <v>1606</v>
      </c>
      <c r="D41" s="71"/>
      <c r="E41" s="71" t="s">
        <v>1607</v>
      </c>
      <c r="F41" s="71">
        <v>555546663</v>
      </c>
      <c r="G41" s="71" t="s">
        <v>1608</v>
      </c>
      <c r="H41" s="71">
        <v>199</v>
      </c>
      <c r="I41" s="71">
        <v>199</v>
      </c>
      <c r="J41" s="71" t="s">
        <v>1563</v>
      </c>
      <c r="K41" s="71" t="e">
        <v>#N/A</v>
      </c>
      <c r="L41" s="71" t="s">
        <v>1609</v>
      </c>
      <c r="M41" s="71" t="s">
        <v>1565</v>
      </c>
      <c r="N41" s="71" t="s">
        <v>1597</v>
      </c>
    </row>
    <row r="42" spans="1:14">
      <c r="A42" s="71" t="s">
        <v>1559</v>
      </c>
      <c r="B42" s="152">
        <v>44994</v>
      </c>
      <c r="C42" s="71" t="s">
        <v>1606</v>
      </c>
      <c r="D42" s="71"/>
      <c r="E42" s="71" t="s">
        <v>1607</v>
      </c>
      <c r="F42" s="71">
        <v>555546663</v>
      </c>
      <c r="G42" s="71" t="s">
        <v>1608</v>
      </c>
      <c r="H42" s="71">
        <v>199</v>
      </c>
      <c r="I42" s="71">
        <v>199</v>
      </c>
      <c r="J42" s="71" t="s">
        <v>1563</v>
      </c>
      <c r="K42" s="71" t="e">
        <v>#N/A</v>
      </c>
      <c r="L42" s="71" t="s">
        <v>1574</v>
      </c>
      <c r="M42" s="71" t="s">
        <v>1565</v>
      </c>
      <c r="N42" s="71" t="s">
        <v>1597</v>
      </c>
    </row>
    <row r="43" spans="1:14">
      <c r="A43" s="71" t="s">
        <v>1559</v>
      </c>
      <c r="B43" s="152">
        <v>44994</v>
      </c>
      <c r="C43" s="71" t="s">
        <v>1351</v>
      </c>
      <c r="D43" s="71">
        <v>1.3257710899999999</v>
      </c>
      <c r="E43" s="71" t="s">
        <v>1610</v>
      </c>
      <c r="F43" s="71">
        <v>554352011</v>
      </c>
      <c r="G43" s="71" t="s">
        <v>1611</v>
      </c>
      <c r="H43" s="71">
        <v>199</v>
      </c>
      <c r="I43" s="71">
        <v>199</v>
      </c>
      <c r="J43" s="71" t="s">
        <v>1589</v>
      </c>
      <c r="K43" s="71">
        <v>44996</v>
      </c>
      <c r="L43" s="71">
        <v>0</v>
      </c>
      <c r="M43" s="71" t="s">
        <v>1585</v>
      </c>
      <c r="N43" s="71" t="s">
        <v>1574</v>
      </c>
    </row>
    <row r="44" spans="1:14">
      <c r="A44" s="71" t="s">
        <v>1559</v>
      </c>
      <c r="B44" s="152">
        <v>44994</v>
      </c>
      <c r="C44" s="71" t="s">
        <v>1612</v>
      </c>
      <c r="D44" s="71">
        <v>1.48275303</v>
      </c>
      <c r="E44" s="71" t="s">
        <v>1613</v>
      </c>
      <c r="F44" s="71">
        <v>509710093</v>
      </c>
      <c r="G44" s="71" t="s">
        <v>1611</v>
      </c>
      <c r="H44" s="71">
        <v>299</v>
      </c>
      <c r="I44" s="71">
        <v>299</v>
      </c>
      <c r="J44" s="71" t="s">
        <v>1563</v>
      </c>
      <c r="K44" s="71" t="e">
        <v>#N/A</v>
      </c>
      <c r="L44" s="71" t="s">
        <v>1614</v>
      </c>
      <c r="M44" s="71" t="s">
        <v>1565</v>
      </c>
      <c r="N44" s="71" t="s">
        <v>1566</v>
      </c>
    </row>
    <row r="45" spans="1:14">
      <c r="A45" s="71" t="s">
        <v>1559</v>
      </c>
      <c r="B45" s="152">
        <v>44996</v>
      </c>
      <c r="C45" s="71" t="s">
        <v>1615</v>
      </c>
      <c r="D45" s="71">
        <v>1.540586</v>
      </c>
      <c r="E45" s="71" t="s">
        <v>1616</v>
      </c>
      <c r="F45" s="71">
        <v>522879186</v>
      </c>
      <c r="G45" s="71" t="s">
        <v>1611</v>
      </c>
      <c r="H45" s="71">
        <v>199</v>
      </c>
      <c r="I45" s="71"/>
      <c r="J45" s="71" t="s">
        <v>1563</v>
      </c>
      <c r="K45" s="71" t="e">
        <v>#N/A</v>
      </c>
      <c r="L45" s="71" t="s">
        <v>1581</v>
      </c>
      <c r="M45" s="71" t="s">
        <v>1565</v>
      </c>
      <c r="N45" s="71" t="s">
        <v>1581</v>
      </c>
    </row>
    <row r="46" spans="1:14">
      <c r="A46" s="71" t="s">
        <v>1559</v>
      </c>
      <c r="B46" s="152">
        <v>44997</v>
      </c>
      <c r="C46" s="71" t="s">
        <v>1353</v>
      </c>
      <c r="D46" s="71">
        <v>1.5407195300000001</v>
      </c>
      <c r="E46" s="71" t="s">
        <v>1352</v>
      </c>
      <c r="F46" s="71">
        <v>529234071</v>
      </c>
      <c r="G46" s="71" t="s">
        <v>1617</v>
      </c>
      <c r="H46" s="71">
        <v>199</v>
      </c>
      <c r="I46" s="71">
        <v>199</v>
      </c>
      <c r="J46" s="71" t="s">
        <v>1589</v>
      </c>
      <c r="K46" s="71">
        <v>44998</v>
      </c>
      <c r="L46" s="71" t="e">
        <v>#N/A</v>
      </c>
      <c r="M46" s="71" t="s">
        <v>1585</v>
      </c>
      <c r="N46" s="71">
        <v>0</v>
      </c>
    </row>
    <row r="47" spans="1:14">
      <c r="A47" s="71" t="s">
        <v>1559</v>
      </c>
      <c r="B47" s="152">
        <v>44997</v>
      </c>
      <c r="C47" s="71" t="s">
        <v>1355</v>
      </c>
      <c r="D47" s="71">
        <v>1.5380992899999999</v>
      </c>
      <c r="E47" s="71" t="s">
        <v>1618</v>
      </c>
      <c r="F47" s="71">
        <v>527894882</v>
      </c>
      <c r="G47" s="71" t="s">
        <v>1619</v>
      </c>
      <c r="H47" s="71">
        <v>199</v>
      </c>
      <c r="I47" s="71">
        <v>199</v>
      </c>
      <c r="J47" s="71" t="s">
        <v>1589</v>
      </c>
      <c r="K47" s="71">
        <v>44999</v>
      </c>
      <c r="L47" s="71" t="e">
        <v>#N/A</v>
      </c>
      <c r="M47" s="71" t="s">
        <v>1585</v>
      </c>
      <c r="N47" s="71">
        <v>0</v>
      </c>
    </row>
    <row r="48" spans="1:14">
      <c r="A48" s="71" t="s">
        <v>1559</v>
      </c>
      <c r="B48" s="152">
        <v>44998</v>
      </c>
      <c r="C48" s="71" t="s">
        <v>1357</v>
      </c>
      <c r="D48" s="71">
        <v>1.4639975999999999</v>
      </c>
      <c r="E48" s="71" t="s">
        <v>1356</v>
      </c>
      <c r="F48" s="71">
        <v>562013378</v>
      </c>
      <c r="G48" s="71" t="s">
        <v>1620</v>
      </c>
      <c r="H48" s="71">
        <v>199</v>
      </c>
      <c r="I48" s="71">
        <v>199</v>
      </c>
      <c r="J48" s="71" t="s">
        <v>1589</v>
      </c>
      <c r="K48" s="71">
        <v>44999</v>
      </c>
      <c r="L48" s="71" t="e">
        <v>#N/A</v>
      </c>
      <c r="M48" s="71" t="s">
        <v>1585</v>
      </c>
      <c r="N48" s="71">
        <v>0</v>
      </c>
    </row>
    <row r="49" spans="1:14">
      <c r="A49" s="71" t="s">
        <v>1559</v>
      </c>
      <c r="B49" s="152">
        <v>44998</v>
      </c>
      <c r="C49" s="71" t="s">
        <v>1621</v>
      </c>
      <c r="D49" s="71">
        <v>1.54116966</v>
      </c>
      <c r="E49" s="71" t="s">
        <v>1622</v>
      </c>
      <c r="F49" s="71">
        <v>551980644</v>
      </c>
      <c r="G49" s="71" t="s">
        <v>1623</v>
      </c>
      <c r="H49" s="71">
        <v>199</v>
      </c>
      <c r="I49" s="71"/>
      <c r="J49" s="71" t="s">
        <v>1563</v>
      </c>
      <c r="K49" s="71" t="e">
        <v>#N/A</v>
      </c>
      <c r="L49" s="71" t="s">
        <v>1624</v>
      </c>
      <c r="M49" s="71" t="s">
        <v>1565</v>
      </c>
      <c r="N49" s="71" t="s">
        <v>1574</v>
      </c>
    </row>
    <row r="50" spans="1:14">
      <c r="A50" s="71" t="s">
        <v>1559</v>
      </c>
      <c r="B50" s="152">
        <v>44999</v>
      </c>
      <c r="C50" s="71" t="s">
        <v>1625</v>
      </c>
      <c r="D50" s="71">
        <v>1.54143385</v>
      </c>
      <c r="E50" s="71" t="s">
        <v>1626</v>
      </c>
      <c r="F50" s="71">
        <v>558926210</v>
      </c>
      <c r="G50" s="71" t="s">
        <v>1627</v>
      </c>
      <c r="H50" s="71">
        <v>199</v>
      </c>
      <c r="I50" s="71"/>
      <c r="J50" s="71" t="s">
        <v>1563</v>
      </c>
      <c r="K50" s="71" t="e">
        <v>#N/A</v>
      </c>
      <c r="L50" s="71" t="s">
        <v>1614</v>
      </c>
      <c r="M50" s="71" t="s">
        <v>1565</v>
      </c>
      <c r="N50" s="71" t="s">
        <v>1628</v>
      </c>
    </row>
    <row r="51" spans="1:14">
      <c r="A51" s="71" t="s">
        <v>1559</v>
      </c>
      <c r="B51" s="152">
        <v>45000</v>
      </c>
      <c r="C51" s="71" t="s">
        <v>1359</v>
      </c>
      <c r="D51" s="71">
        <v>1.5416688999999999</v>
      </c>
      <c r="E51" s="71" t="s">
        <v>1629</v>
      </c>
      <c r="F51" s="71">
        <v>561255000</v>
      </c>
      <c r="G51" s="71" t="s">
        <v>1630</v>
      </c>
      <c r="H51" s="71">
        <v>199</v>
      </c>
      <c r="I51" s="71">
        <v>199</v>
      </c>
      <c r="J51" s="71" t="s">
        <v>1589</v>
      </c>
      <c r="K51" s="71">
        <v>45001</v>
      </c>
      <c r="L51" s="71"/>
      <c r="M51" s="71" t="s">
        <v>1585</v>
      </c>
      <c r="N51" s="71">
        <v>0</v>
      </c>
    </row>
    <row r="52" spans="1:14">
      <c r="A52" s="71" t="s">
        <v>1559</v>
      </c>
      <c r="B52" s="152">
        <v>45001</v>
      </c>
      <c r="C52" s="71" t="s">
        <v>1361</v>
      </c>
      <c r="D52" s="71">
        <v>1.5420140200000001</v>
      </c>
      <c r="E52" s="71" t="s">
        <v>1360</v>
      </c>
      <c r="F52" s="71">
        <v>504079045</v>
      </c>
      <c r="G52" s="71" t="s">
        <v>1631</v>
      </c>
      <c r="H52" s="71">
        <v>199</v>
      </c>
      <c r="I52" s="71">
        <v>199</v>
      </c>
      <c r="J52" s="71" t="s">
        <v>1589</v>
      </c>
      <c r="K52" s="71">
        <v>45003</v>
      </c>
      <c r="L52" s="71" t="s">
        <v>1564</v>
      </c>
      <c r="M52" s="71" t="s">
        <v>1585</v>
      </c>
      <c r="N52" s="71">
        <v>0</v>
      </c>
    </row>
    <row r="53" spans="1:14">
      <c r="A53" s="71" t="s">
        <v>1559</v>
      </c>
      <c r="B53" s="152">
        <v>45004</v>
      </c>
      <c r="C53" s="71" t="s">
        <v>1632</v>
      </c>
      <c r="D53" s="71">
        <v>1.5427570900000001</v>
      </c>
      <c r="E53" s="71" t="s">
        <v>1633</v>
      </c>
      <c r="F53" s="71">
        <v>567544294</v>
      </c>
      <c r="G53" s="71" t="s">
        <v>1634</v>
      </c>
      <c r="H53" s="71">
        <v>299</v>
      </c>
      <c r="I53" s="71"/>
      <c r="J53" s="71" t="s">
        <v>1563</v>
      </c>
      <c r="K53" s="71" t="e">
        <v>#N/A</v>
      </c>
      <c r="L53" s="71" t="s">
        <v>1635</v>
      </c>
      <c r="M53" s="71" t="s">
        <v>1565</v>
      </c>
      <c r="N53" s="71" t="s">
        <v>1566</v>
      </c>
    </row>
    <row r="54" spans="1:14">
      <c r="A54" s="71" t="s">
        <v>1559</v>
      </c>
      <c r="B54" s="152">
        <v>45003</v>
      </c>
      <c r="C54" s="71" t="s">
        <v>1636</v>
      </c>
      <c r="D54" s="71">
        <v>1.54248249</v>
      </c>
      <c r="E54" s="71" t="s">
        <v>1637</v>
      </c>
      <c r="F54" s="71">
        <v>566440131</v>
      </c>
      <c r="G54" s="71" t="s">
        <v>1638</v>
      </c>
      <c r="H54" s="71">
        <v>199</v>
      </c>
      <c r="I54" s="71"/>
      <c r="J54" s="71" t="s">
        <v>1563</v>
      </c>
      <c r="K54" s="71" t="e">
        <v>#N/A</v>
      </c>
      <c r="L54" s="71" t="s">
        <v>1639</v>
      </c>
      <c r="M54" s="71" t="s">
        <v>1565</v>
      </c>
      <c r="N54" s="71" t="s">
        <v>1581</v>
      </c>
    </row>
    <row r="55" spans="1:14">
      <c r="A55" s="71" t="s">
        <v>1559</v>
      </c>
      <c r="B55" s="152">
        <v>45003</v>
      </c>
      <c r="C55" s="71" t="s">
        <v>1640</v>
      </c>
      <c r="D55" s="71">
        <v>1.5425848799999999</v>
      </c>
      <c r="E55" s="71" t="s">
        <v>1641</v>
      </c>
      <c r="F55" s="71">
        <v>564676081</v>
      </c>
      <c r="G55" s="71" t="s">
        <v>1642</v>
      </c>
      <c r="H55" s="71">
        <v>199</v>
      </c>
      <c r="I55" s="71"/>
      <c r="J55" s="71" t="s">
        <v>1563</v>
      </c>
      <c r="K55" s="71" t="e">
        <v>#N/A</v>
      </c>
      <c r="L55" s="71" t="s">
        <v>1643</v>
      </c>
      <c r="M55" s="71" t="s">
        <v>1565</v>
      </c>
      <c r="N55" s="71" t="s">
        <v>1574</v>
      </c>
    </row>
    <row r="56" spans="1:14">
      <c r="A56" s="71" t="s">
        <v>1559</v>
      </c>
      <c r="B56" s="152">
        <v>45006</v>
      </c>
      <c r="C56" s="71" t="s">
        <v>1363</v>
      </c>
      <c r="D56" s="71">
        <v>1.54323999</v>
      </c>
      <c r="E56" s="71" t="s">
        <v>1644</v>
      </c>
      <c r="F56" s="71">
        <v>588223344</v>
      </c>
      <c r="G56" s="71" t="s">
        <v>1645</v>
      </c>
      <c r="H56" s="71">
        <v>199</v>
      </c>
      <c r="I56" s="71">
        <v>199</v>
      </c>
      <c r="J56" s="71" t="s">
        <v>1589</v>
      </c>
      <c r="K56" s="71">
        <v>45007</v>
      </c>
      <c r="L56" s="71"/>
      <c r="M56" s="71" t="s">
        <v>1585</v>
      </c>
      <c r="N56" s="71">
        <v>0</v>
      </c>
    </row>
    <row r="57" spans="1:14">
      <c r="A57" s="71" t="s">
        <v>1559</v>
      </c>
      <c r="B57" s="152">
        <v>45008</v>
      </c>
      <c r="C57" s="71" t="s">
        <v>1365</v>
      </c>
      <c r="D57" s="71">
        <v>1.1024102899999999</v>
      </c>
      <c r="E57" s="71" t="s">
        <v>1646</v>
      </c>
      <c r="F57" s="71">
        <v>507749444</v>
      </c>
      <c r="G57" s="71" t="s">
        <v>1647</v>
      </c>
      <c r="H57" s="71">
        <v>199</v>
      </c>
      <c r="I57" s="71">
        <v>199</v>
      </c>
      <c r="J57" s="71" t="s">
        <v>1589</v>
      </c>
      <c r="K57" s="71">
        <v>45009</v>
      </c>
      <c r="L57" s="71"/>
      <c r="M57" s="71" t="s">
        <v>1585</v>
      </c>
      <c r="N57" s="71">
        <v>0</v>
      </c>
    </row>
    <row r="58" spans="1:14">
      <c r="A58" s="71" t="s">
        <v>1559</v>
      </c>
      <c r="B58" s="152">
        <v>45008</v>
      </c>
      <c r="C58" s="71" t="s">
        <v>1648</v>
      </c>
      <c r="D58" s="71">
        <v>1.4599211599999999</v>
      </c>
      <c r="E58" s="71" t="s">
        <v>1649</v>
      </c>
      <c r="F58" s="71">
        <v>521275344</v>
      </c>
      <c r="G58" s="71" t="s">
        <v>1650</v>
      </c>
      <c r="H58" s="71">
        <v>199</v>
      </c>
      <c r="I58" s="71"/>
      <c r="J58" s="71" t="s">
        <v>1563</v>
      </c>
      <c r="K58" s="71" t="e">
        <v>#N/A</v>
      </c>
      <c r="L58" s="71"/>
      <c r="M58" s="71" t="s">
        <v>1565</v>
      </c>
      <c r="N58" s="71" t="s">
        <v>1651</v>
      </c>
    </row>
    <row r="59" spans="1:14">
      <c r="A59" s="71" t="s">
        <v>1559</v>
      </c>
      <c r="B59" s="152">
        <v>45008</v>
      </c>
      <c r="C59" s="71">
        <v>78502716</v>
      </c>
      <c r="D59" s="71" t="e">
        <v>#N/A</v>
      </c>
      <c r="E59" s="71" t="s">
        <v>1652</v>
      </c>
      <c r="F59" s="71">
        <v>527385694</v>
      </c>
      <c r="G59" s="71" t="s">
        <v>1653</v>
      </c>
      <c r="H59" s="71">
        <v>199</v>
      </c>
      <c r="I59" s="71">
        <v>199</v>
      </c>
      <c r="J59" s="71" t="s">
        <v>1589</v>
      </c>
      <c r="K59" s="71" t="e">
        <v>#N/A</v>
      </c>
      <c r="L59" s="71"/>
      <c r="M59" s="71" t="e">
        <v>#N/A</v>
      </c>
      <c r="N59" s="71" t="e">
        <v>#N/A</v>
      </c>
    </row>
    <row r="60" spans="1:14">
      <c r="A60" s="71" t="s">
        <v>1559</v>
      </c>
      <c r="B60" s="152">
        <v>45010</v>
      </c>
      <c r="C60" s="71" t="s">
        <v>1654</v>
      </c>
      <c r="D60" s="71">
        <v>1.4653798899999999</v>
      </c>
      <c r="E60" s="71" t="s">
        <v>1655</v>
      </c>
      <c r="F60" s="71">
        <v>566916306</v>
      </c>
      <c r="G60" s="71" t="s">
        <v>1656</v>
      </c>
      <c r="H60" s="71">
        <v>199</v>
      </c>
      <c r="I60" s="71"/>
      <c r="J60" s="71" t="s">
        <v>1563</v>
      </c>
      <c r="K60" s="71" t="e">
        <v>#N/A</v>
      </c>
      <c r="L60" s="71" t="s">
        <v>1657</v>
      </c>
      <c r="M60" s="71" t="s">
        <v>1658</v>
      </c>
      <c r="N60" s="71">
        <v>0</v>
      </c>
    </row>
    <row r="61" spans="1:14">
      <c r="A61" s="71" t="s">
        <v>1559</v>
      </c>
      <c r="B61" s="152">
        <v>45013</v>
      </c>
      <c r="C61" s="71" t="s">
        <v>1369</v>
      </c>
      <c r="D61" s="71">
        <v>1.5448019399999999</v>
      </c>
      <c r="E61" s="71" t="s">
        <v>1659</v>
      </c>
      <c r="F61" s="71">
        <v>588245827</v>
      </c>
      <c r="G61" s="71" t="s">
        <v>1660</v>
      </c>
      <c r="H61" s="71">
        <v>199</v>
      </c>
      <c r="I61" s="71">
        <v>199</v>
      </c>
      <c r="J61" s="71" t="s">
        <v>1589</v>
      </c>
      <c r="K61" s="71">
        <v>45014</v>
      </c>
      <c r="L61" s="71"/>
      <c r="M61" s="71" t="s">
        <v>1585</v>
      </c>
      <c r="N61" s="71">
        <v>0</v>
      </c>
    </row>
    <row r="62" spans="1:14">
      <c r="A62" s="71" t="s">
        <v>1559</v>
      </c>
      <c r="B62" s="152">
        <v>45011</v>
      </c>
      <c r="C62" s="71">
        <v>74571634</v>
      </c>
      <c r="D62" s="71" t="e">
        <v>#N/A</v>
      </c>
      <c r="E62" s="71" t="s">
        <v>1661</v>
      </c>
      <c r="F62" s="71">
        <v>581905449</v>
      </c>
      <c r="G62" s="71" t="s">
        <v>1662</v>
      </c>
      <c r="H62" s="71">
        <v>199</v>
      </c>
      <c r="I62" s="71"/>
      <c r="J62" s="71" t="s">
        <v>1663</v>
      </c>
      <c r="K62" s="71" t="e">
        <v>#N/A</v>
      </c>
      <c r="L62" s="71"/>
      <c r="M62" s="71" t="e">
        <v>#N/A</v>
      </c>
      <c r="N62" s="71" t="e">
        <v>#N/A</v>
      </c>
    </row>
    <row r="63" spans="1:14">
      <c r="A63" s="71" t="s">
        <v>1559</v>
      </c>
      <c r="B63" s="152">
        <v>45015</v>
      </c>
      <c r="C63" s="71" t="s">
        <v>1374</v>
      </c>
      <c r="D63" s="71">
        <v>1.5451317499999999</v>
      </c>
      <c r="E63" s="71" t="s">
        <v>1664</v>
      </c>
      <c r="F63" s="71">
        <v>567399100</v>
      </c>
      <c r="G63" s="71" t="s">
        <v>1665</v>
      </c>
      <c r="H63" s="71">
        <v>299</v>
      </c>
      <c r="I63" s="71">
        <v>299</v>
      </c>
      <c r="J63" s="71" t="s">
        <v>1589</v>
      </c>
      <c r="K63" s="71">
        <v>45017</v>
      </c>
      <c r="L63" s="71"/>
      <c r="M63" s="71" t="s">
        <v>1585</v>
      </c>
      <c r="N63" s="71"/>
    </row>
    <row r="64" spans="1:14">
      <c r="A64" s="71" t="s">
        <v>1559</v>
      </c>
      <c r="B64" s="152">
        <v>45016</v>
      </c>
      <c r="C64" s="71" t="s">
        <v>1380</v>
      </c>
      <c r="D64" s="71">
        <v>1.54543831</v>
      </c>
      <c r="E64" s="71" t="s">
        <v>1666</v>
      </c>
      <c r="F64" s="71">
        <v>501364605</v>
      </c>
      <c r="G64" s="71" t="s">
        <v>1667</v>
      </c>
      <c r="H64" s="71">
        <v>199</v>
      </c>
      <c r="I64" s="71">
        <v>199</v>
      </c>
      <c r="J64" s="71" t="s">
        <v>1589</v>
      </c>
      <c r="K64" s="71">
        <v>45018</v>
      </c>
      <c r="L64" s="71"/>
      <c r="M64" s="71" t="s">
        <v>1585</v>
      </c>
      <c r="N64" s="71"/>
    </row>
  </sheetData>
  <mergeCells count="1">
    <mergeCell ref="A1:L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L52"/>
  <sheetViews>
    <sheetView zoomScale="152" zoomScaleNormal="152" workbookViewId="0">
      <selection sqref="A1:L1"/>
    </sheetView>
  </sheetViews>
  <sheetFormatPr defaultRowHeight="14.5"/>
  <cols>
    <col min="1" max="1" width="4.453125" bestFit="1" customWidth="1"/>
    <col min="2" max="2" width="34.54296875" bestFit="1" customWidth="1"/>
    <col min="3" max="3" width="15.54296875" bestFit="1" customWidth="1"/>
    <col min="4" max="4" width="8.453125" bestFit="1" customWidth="1"/>
    <col min="5" max="5" width="12.453125" bestFit="1" customWidth="1"/>
    <col min="6" max="6" width="16.54296875" bestFit="1" customWidth="1"/>
    <col min="7" max="7" width="25.54296875" bestFit="1" customWidth="1"/>
    <col min="8" max="8" width="16.54296875" bestFit="1" customWidth="1"/>
  </cols>
  <sheetData>
    <row r="1" spans="1:12" ht="46">
      <c r="A1" s="622" t="s">
        <v>40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</row>
    <row r="2" spans="1:12" ht="18.5">
      <c r="A2" s="143" t="s">
        <v>0</v>
      </c>
      <c r="B2" s="4" t="s">
        <v>1</v>
      </c>
      <c r="C2" s="144" t="s">
        <v>1333</v>
      </c>
      <c r="D2" s="38" t="s">
        <v>1334</v>
      </c>
      <c r="E2" s="144" t="s">
        <v>4</v>
      </c>
      <c r="F2" s="144" t="s">
        <v>8</v>
      </c>
      <c r="G2" s="38" t="s">
        <v>10</v>
      </c>
      <c r="H2" s="144" t="s">
        <v>1335</v>
      </c>
      <c r="I2" s="2" t="s">
        <v>212</v>
      </c>
    </row>
    <row r="3" spans="1:12">
      <c r="A3" s="1">
        <v>1</v>
      </c>
      <c r="B3" s="64" t="s">
        <v>1377</v>
      </c>
      <c r="C3" s="5">
        <v>508946619</v>
      </c>
      <c r="D3" s="67">
        <v>199</v>
      </c>
      <c r="E3" s="5" t="s">
        <v>674</v>
      </c>
      <c r="F3" s="5" t="s">
        <v>839</v>
      </c>
      <c r="G3" s="142" t="s">
        <v>1378</v>
      </c>
      <c r="H3" s="5">
        <v>521890482</v>
      </c>
      <c r="I3" s="5"/>
    </row>
    <row r="4" spans="1:12">
      <c r="A4" s="1">
        <v>2</v>
      </c>
      <c r="B4" s="64" t="s">
        <v>1379</v>
      </c>
      <c r="C4" s="5">
        <v>501364605</v>
      </c>
      <c r="D4" s="67">
        <v>199</v>
      </c>
      <c r="E4" s="5" t="s">
        <v>12</v>
      </c>
      <c r="F4" s="5" t="s">
        <v>839</v>
      </c>
      <c r="G4" s="142" t="s">
        <v>1380</v>
      </c>
      <c r="H4" s="5">
        <v>521903561</v>
      </c>
      <c r="I4" s="5"/>
    </row>
    <row r="5" spans="1:12">
      <c r="A5" s="1">
        <v>3</v>
      </c>
      <c r="B5" s="64" t="s">
        <v>1381</v>
      </c>
      <c r="C5" s="5">
        <v>554591603</v>
      </c>
      <c r="D5" s="67">
        <v>199</v>
      </c>
      <c r="E5" s="5" t="s">
        <v>12</v>
      </c>
      <c r="F5" s="5" t="s">
        <v>839</v>
      </c>
      <c r="G5" s="142" t="s">
        <v>1382</v>
      </c>
      <c r="H5" s="5">
        <v>582914907</v>
      </c>
      <c r="I5" s="5"/>
    </row>
    <row r="6" spans="1:12">
      <c r="A6" s="1">
        <v>4</v>
      </c>
      <c r="B6" s="64" t="s">
        <v>1383</v>
      </c>
      <c r="C6" s="5">
        <v>562562698</v>
      </c>
      <c r="D6" s="67">
        <v>199</v>
      </c>
      <c r="E6" s="5" t="s">
        <v>12</v>
      </c>
      <c r="F6" s="5" t="s">
        <v>839</v>
      </c>
      <c r="G6" s="142" t="s">
        <v>1384</v>
      </c>
      <c r="H6" s="5">
        <v>553470925</v>
      </c>
      <c r="I6" s="5"/>
    </row>
    <row r="7" spans="1:12">
      <c r="A7" s="1">
        <v>5</v>
      </c>
      <c r="B7" s="64" t="s">
        <v>1385</v>
      </c>
      <c r="C7" s="5">
        <v>562322058</v>
      </c>
      <c r="D7" s="67">
        <v>199</v>
      </c>
      <c r="E7" s="5" t="s">
        <v>12</v>
      </c>
      <c r="F7" s="5" t="s">
        <v>839</v>
      </c>
      <c r="G7" s="142" t="s">
        <v>1386</v>
      </c>
      <c r="H7" s="5">
        <v>553219647</v>
      </c>
      <c r="I7" s="5"/>
    </row>
    <row r="8" spans="1:12">
      <c r="A8" s="1">
        <v>6</v>
      </c>
      <c r="B8" s="64" t="s">
        <v>1387</v>
      </c>
      <c r="C8" s="5">
        <v>588870267</v>
      </c>
      <c r="D8" s="67">
        <v>199</v>
      </c>
      <c r="E8" s="5" t="s">
        <v>12</v>
      </c>
      <c r="F8" s="5" t="s">
        <v>839</v>
      </c>
      <c r="G8" s="142">
        <v>1.54653957</v>
      </c>
      <c r="H8" s="5">
        <v>74882987</v>
      </c>
      <c r="I8" s="5"/>
    </row>
    <row r="9" spans="1:12">
      <c r="A9" s="1">
        <v>7</v>
      </c>
      <c r="B9" s="64" t="s">
        <v>1388</v>
      </c>
      <c r="C9" s="5">
        <v>551106495</v>
      </c>
      <c r="D9" s="67" t="s">
        <v>1376</v>
      </c>
      <c r="E9" s="5" t="s">
        <v>112</v>
      </c>
      <c r="F9" s="5" t="s">
        <v>839</v>
      </c>
      <c r="G9" s="142">
        <v>1.5439358999999999</v>
      </c>
      <c r="H9" s="5" t="s">
        <v>1389</v>
      </c>
      <c r="I9" s="5"/>
    </row>
    <row r="10" spans="1:12">
      <c r="A10" s="1">
        <v>8</v>
      </c>
      <c r="B10" s="64" t="s">
        <v>1390</v>
      </c>
      <c r="C10" s="5">
        <v>547713196</v>
      </c>
      <c r="D10" s="67">
        <v>199</v>
      </c>
      <c r="E10" s="5" t="s">
        <v>1391</v>
      </c>
      <c r="F10" s="5" t="s">
        <v>839</v>
      </c>
      <c r="G10" s="142" t="s">
        <v>1392</v>
      </c>
      <c r="H10" s="5">
        <v>552190764</v>
      </c>
      <c r="I10" s="5"/>
    </row>
    <row r="11" spans="1:12">
      <c r="A11" s="1">
        <v>9</v>
      </c>
      <c r="B11" s="64" t="s">
        <v>1393</v>
      </c>
      <c r="C11" s="5">
        <v>521275344</v>
      </c>
      <c r="D11" s="67">
        <v>199</v>
      </c>
      <c r="E11" s="5" t="s">
        <v>674</v>
      </c>
      <c r="F11" s="5" t="s">
        <v>839</v>
      </c>
      <c r="G11" s="142" t="s">
        <v>1394</v>
      </c>
      <c r="H11" s="5">
        <v>523109274</v>
      </c>
      <c r="I11" s="5"/>
    </row>
    <row r="12" spans="1:12">
      <c r="A12" s="1">
        <v>10</v>
      </c>
      <c r="B12" s="64" t="s">
        <v>1395</v>
      </c>
      <c r="C12" s="5">
        <v>525867531</v>
      </c>
      <c r="D12" s="67">
        <v>199</v>
      </c>
      <c r="E12" s="5" t="s">
        <v>12</v>
      </c>
      <c r="F12" s="5" t="s">
        <v>839</v>
      </c>
      <c r="G12" s="142" t="s">
        <v>1396</v>
      </c>
      <c r="H12" s="5">
        <v>523109616</v>
      </c>
      <c r="I12" s="5"/>
    </row>
    <row r="13" spans="1:12">
      <c r="A13" s="1">
        <v>11</v>
      </c>
      <c r="B13" s="64" t="s">
        <v>1397</v>
      </c>
      <c r="C13" s="5">
        <v>555698373</v>
      </c>
      <c r="D13" s="67">
        <v>199</v>
      </c>
      <c r="E13" s="5" t="s">
        <v>12</v>
      </c>
      <c r="F13" s="5" t="s">
        <v>839</v>
      </c>
      <c r="G13" s="142" t="s">
        <v>1398</v>
      </c>
      <c r="H13" s="5">
        <v>552107635</v>
      </c>
      <c r="I13" s="5"/>
    </row>
    <row r="14" spans="1:12">
      <c r="A14" s="1">
        <v>12</v>
      </c>
      <c r="B14" s="64" t="s">
        <v>1399</v>
      </c>
      <c r="C14" s="5">
        <v>558090188</v>
      </c>
      <c r="D14" s="67">
        <v>199</v>
      </c>
      <c r="E14" s="5" t="s">
        <v>12</v>
      </c>
      <c r="F14" s="5" t="s">
        <v>839</v>
      </c>
      <c r="G14" s="142" t="s">
        <v>1400</v>
      </c>
      <c r="H14" s="5">
        <v>553680451</v>
      </c>
      <c r="I14" s="5"/>
    </row>
    <row r="15" spans="1:12">
      <c r="A15" s="1">
        <v>13</v>
      </c>
      <c r="B15" s="71" t="s">
        <v>1401</v>
      </c>
      <c r="C15" s="5">
        <v>509317328</v>
      </c>
      <c r="D15" s="67">
        <v>199</v>
      </c>
      <c r="E15" s="5" t="s">
        <v>12</v>
      </c>
      <c r="F15" s="5" t="s">
        <v>839</v>
      </c>
      <c r="G15" s="142" t="s">
        <v>1402</v>
      </c>
      <c r="H15" s="5">
        <v>553782594</v>
      </c>
      <c r="I15" s="5"/>
    </row>
    <row r="16" spans="1:12">
      <c r="A16" s="1">
        <v>14</v>
      </c>
      <c r="B16" s="71" t="s">
        <v>1403</v>
      </c>
      <c r="C16" s="5">
        <v>501260870</v>
      </c>
      <c r="D16" s="5">
        <v>199</v>
      </c>
      <c r="E16" s="5" t="s">
        <v>192</v>
      </c>
      <c r="F16" s="5" t="s">
        <v>839</v>
      </c>
      <c r="G16" s="5" t="s">
        <v>1404</v>
      </c>
      <c r="H16" s="5">
        <v>521783715</v>
      </c>
      <c r="I16" s="5"/>
    </row>
    <row r="17" spans="1:9">
      <c r="A17" s="1">
        <v>15</v>
      </c>
      <c r="B17" s="71" t="s">
        <v>1405</v>
      </c>
      <c r="C17" s="5">
        <v>566884996</v>
      </c>
      <c r="D17" s="5">
        <v>199</v>
      </c>
      <c r="E17" s="5" t="s">
        <v>12</v>
      </c>
      <c r="F17" s="5" t="s">
        <v>839</v>
      </c>
      <c r="G17" s="5" t="s">
        <v>1406</v>
      </c>
      <c r="H17" s="5">
        <v>551589073</v>
      </c>
      <c r="I17" s="5"/>
    </row>
    <row r="18" spans="1:9">
      <c r="A18" s="1">
        <v>16</v>
      </c>
      <c r="B18" s="71" t="s">
        <v>1407</v>
      </c>
      <c r="C18" s="5">
        <v>528977796</v>
      </c>
      <c r="D18" s="5">
        <v>199</v>
      </c>
      <c r="E18" s="5" t="s">
        <v>12</v>
      </c>
      <c r="F18" s="5" t="s">
        <v>839</v>
      </c>
      <c r="G18" s="5" t="s">
        <v>1408</v>
      </c>
      <c r="H18" s="5">
        <v>521013607</v>
      </c>
      <c r="I18" s="5"/>
    </row>
    <row r="19" spans="1:9">
      <c r="A19" s="1">
        <v>17</v>
      </c>
      <c r="B19" s="71" t="s">
        <v>1409</v>
      </c>
      <c r="C19" s="5">
        <v>508808220</v>
      </c>
      <c r="D19" s="5">
        <v>199</v>
      </c>
      <c r="E19" s="5" t="s">
        <v>674</v>
      </c>
      <c r="F19" s="5" t="s">
        <v>839</v>
      </c>
      <c r="G19" s="5" t="s">
        <v>1410</v>
      </c>
      <c r="H19" s="5">
        <v>552039647</v>
      </c>
      <c r="I19" s="5"/>
    </row>
    <row r="20" spans="1:9">
      <c r="A20" s="1">
        <v>18</v>
      </c>
      <c r="B20" s="71" t="s">
        <v>1411</v>
      </c>
      <c r="C20" s="5">
        <v>582064066</v>
      </c>
      <c r="D20" s="5">
        <v>199</v>
      </c>
      <c r="E20" s="5" t="s">
        <v>12</v>
      </c>
      <c r="F20" s="5" t="s">
        <v>839</v>
      </c>
      <c r="G20" s="5" t="s">
        <v>1412</v>
      </c>
      <c r="H20" s="5">
        <v>553702896</v>
      </c>
      <c r="I20" s="5"/>
    </row>
    <row r="21" spans="1:9">
      <c r="A21" s="1">
        <v>19</v>
      </c>
      <c r="B21" s="64" t="s">
        <v>1397</v>
      </c>
      <c r="C21" s="5">
        <v>555698373</v>
      </c>
      <c r="D21" s="5">
        <v>199</v>
      </c>
      <c r="E21" s="5" t="s">
        <v>12</v>
      </c>
      <c r="F21" s="5" t="s">
        <v>839</v>
      </c>
      <c r="G21" s="5" t="s">
        <v>1413</v>
      </c>
      <c r="H21" s="5">
        <v>521066196</v>
      </c>
      <c r="I21" s="1"/>
    </row>
    <row r="22" spans="1:9">
      <c r="A22" s="1">
        <v>20</v>
      </c>
      <c r="B22" s="71" t="s">
        <v>1405</v>
      </c>
      <c r="C22" s="5">
        <v>543469862</v>
      </c>
      <c r="D22" s="5">
        <v>199</v>
      </c>
      <c r="E22" s="5" t="s">
        <v>12</v>
      </c>
      <c r="F22" s="5" t="s">
        <v>839</v>
      </c>
      <c r="G22" s="5">
        <v>1.54877095</v>
      </c>
      <c r="H22" s="3">
        <v>75210080</v>
      </c>
      <c r="I22" s="1"/>
    </row>
    <row r="23" spans="1:9">
      <c r="A23" s="1">
        <v>21</v>
      </c>
      <c r="B23" s="71" t="s">
        <v>1414</v>
      </c>
      <c r="C23" s="5">
        <v>551130090</v>
      </c>
      <c r="D23" s="5">
        <v>299</v>
      </c>
      <c r="E23" s="5" t="s">
        <v>674</v>
      </c>
      <c r="F23" s="5" t="s">
        <v>839</v>
      </c>
      <c r="G23" s="5" t="s">
        <v>1415</v>
      </c>
      <c r="H23" s="5">
        <v>551723986</v>
      </c>
      <c r="I23" s="1"/>
    </row>
    <row r="24" spans="1:9">
      <c r="A24" s="1">
        <v>22</v>
      </c>
      <c r="B24" s="64" t="s">
        <v>1395</v>
      </c>
      <c r="C24" s="5">
        <v>525867531</v>
      </c>
      <c r="D24" s="5">
        <v>199</v>
      </c>
      <c r="E24" s="5" t="s">
        <v>12</v>
      </c>
      <c r="F24" s="5" t="s">
        <v>839</v>
      </c>
      <c r="G24" s="3" t="s">
        <v>1416</v>
      </c>
      <c r="H24" s="3">
        <v>553495708</v>
      </c>
      <c r="I24" s="1"/>
    </row>
    <row r="25" spans="1:9">
      <c r="A25" s="1">
        <v>23</v>
      </c>
      <c r="B25" s="71" t="s">
        <v>1417</v>
      </c>
      <c r="C25" s="5">
        <v>555179144</v>
      </c>
      <c r="D25" s="5">
        <v>199</v>
      </c>
      <c r="E25" s="5" t="s">
        <v>112</v>
      </c>
      <c r="F25" s="5" t="s">
        <v>839</v>
      </c>
      <c r="G25" s="5" t="s">
        <v>1418</v>
      </c>
      <c r="H25" s="5">
        <v>552710954</v>
      </c>
    </row>
    <row r="26" spans="1:9">
      <c r="A26" s="1">
        <v>24</v>
      </c>
      <c r="B26" s="71" t="s">
        <v>1419</v>
      </c>
      <c r="C26" s="5">
        <v>553888269</v>
      </c>
      <c r="D26" s="5">
        <v>199</v>
      </c>
      <c r="E26" s="5" t="s">
        <v>112</v>
      </c>
      <c r="F26" s="5" t="s">
        <v>839</v>
      </c>
      <c r="G26" s="5" t="s">
        <v>1420</v>
      </c>
      <c r="H26" s="3">
        <v>582309827</v>
      </c>
    </row>
    <row r="27" spans="1:9">
      <c r="A27" s="1">
        <v>25</v>
      </c>
      <c r="B27" s="71" t="s">
        <v>1421</v>
      </c>
      <c r="C27" s="5">
        <v>529494400</v>
      </c>
      <c r="D27" s="5">
        <v>199</v>
      </c>
      <c r="E27" s="5" t="s">
        <v>112</v>
      </c>
      <c r="F27" s="5" t="s">
        <v>839</v>
      </c>
      <c r="G27" s="5" t="s">
        <v>1422</v>
      </c>
      <c r="H27" s="5">
        <v>586170134</v>
      </c>
    </row>
    <row r="28" spans="1:9">
      <c r="A28" s="1">
        <v>26</v>
      </c>
      <c r="B28" s="71" t="s">
        <v>1423</v>
      </c>
      <c r="C28" s="5">
        <v>507304031</v>
      </c>
      <c r="D28" s="5">
        <v>199</v>
      </c>
      <c r="E28" s="5" t="s">
        <v>112</v>
      </c>
      <c r="F28" s="5" t="s">
        <v>839</v>
      </c>
      <c r="G28" s="5" t="s">
        <v>1424</v>
      </c>
      <c r="H28" s="3">
        <v>553261508</v>
      </c>
    </row>
    <row r="29" spans="1:9">
      <c r="A29" s="1">
        <v>27</v>
      </c>
      <c r="B29" s="71" t="s">
        <v>1425</v>
      </c>
      <c r="C29" s="5">
        <v>563386797</v>
      </c>
      <c r="D29" s="5">
        <v>299</v>
      </c>
      <c r="E29" s="5" t="s">
        <v>674</v>
      </c>
      <c r="F29" s="5" t="s">
        <v>839</v>
      </c>
      <c r="G29" s="5" t="s">
        <v>1426</v>
      </c>
      <c r="H29" s="5">
        <v>582919043</v>
      </c>
    </row>
    <row r="30" spans="1:9">
      <c r="A30" s="1">
        <v>28</v>
      </c>
      <c r="B30" s="71" t="s">
        <v>1427</v>
      </c>
      <c r="C30" s="5">
        <v>567570209</v>
      </c>
      <c r="D30" s="5">
        <v>199</v>
      </c>
      <c r="E30" s="5" t="s">
        <v>12</v>
      </c>
      <c r="F30" s="5" t="s">
        <v>839</v>
      </c>
      <c r="G30" s="5" t="s">
        <v>1428</v>
      </c>
      <c r="H30" s="3">
        <v>553057169</v>
      </c>
    </row>
    <row r="31" spans="1:9">
      <c r="A31" s="1">
        <v>29</v>
      </c>
      <c r="B31" s="71" t="s">
        <v>1429</v>
      </c>
      <c r="C31" s="5">
        <v>529758582</v>
      </c>
      <c r="D31" s="5">
        <v>199</v>
      </c>
      <c r="E31" s="5" t="s">
        <v>674</v>
      </c>
      <c r="F31" s="5" t="s">
        <v>839</v>
      </c>
      <c r="G31" s="5" t="s">
        <v>1430</v>
      </c>
      <c r="H31" s="5">
        <v>581809285</v>
      </c>
    </row>
    <row r="32" spans="1:9">
      <c r="A32" s="1">
        <v>30</v>
      </c>
      <c r="B32" s="71" t="s">
        <v>1431</v>
      </c>
      <c r="C32" s="5">
        <v>581172114</v>
      </c>
      <c r="D32" s="5">
        <v>199</v>
      </c>
      <c r="E32" s="5" t="s">
        <v>12</v>
      </c>
      <c r="F32" s="5" t="s">
        <v>839</v>
      </c>
      <c r="G32" s="5" t="s">
        <v>1432</v>
      </c>
      <c r="H32" s="3">
        <v>586974361</v>
      </c>
    </row>
    <row r="33" spans="1:8">
      <c r="A33" s="1">
        <v>31</v>
      </c>
      <c r="B33" s="71" t="s">
        <v>1425</v>
      </c>
      <c r="C33" s="5">
        <v>563386797</v>
      </c>
      <c r="D33" s="5">
        <v>299</v>
      </c>
      <c r="E33" s="5" t="s">
        <v>674</v>
      </c>
      <c r="F33" s="5" t="s">
        <v>839</v>
      </c>
      <c r="G33" s="5" t="s">
        <v>1433</v>
      </c>
      <c r="H33" s="5">
        <v>581351289</v>
      </c>
    </row>
    <row r="34" spans="1:8">
      <c r="A34" s="1">
        <v>32</v>
      </c>
      <c r="B34" s="71" t="s">
        <v>1434</v>
      </c>
      <c r="C34" s="5">
        <v>504515945</v>
      </c>
      <c r="D34" s="5">
        <v>299</v>
      </c>
      <c r="E34" s="5" t="s">
        <v>12</v>
      </c>
      <c r="F34" s="5" t="s">
        <v>839</v>
      </c>
      <c r="G34" s="3">
        <v>1.5511676000000001</v>
      </c>
      <c r="H34" s="3">
        <v>75493072</v>
      </c>
    </row>
    <row r="35" spans="1:8">
      <c r="A35" s="1">
        <v>33</v>
      </c>
      <c r="B35" s="71" t="s">
        <v>1435</v>
      </c>
      <c r="C35" s="5">
        <v>563535243</v>
      </c>
      <c r="D35" s="5">
        <v>199</v>
      </c>
      <c r="E35" s="5" t="s">
        <v>12</v>
      </c>
      <c r="F35" s="5" t="s">
        <v>839</v>
      </c>
      <c r="G35" s="5" t="s">
        <v>1436</v>
      </c>
      <c r="H35" s="5">
        <v>586183089</v>
      </c>
    </row>
    <row r="36" spans="1:8">
      <c r="A36" s="1">
        <v>34</v>
      </c>
      <c r="B36" s="71" t="s">
        <v>1437</v>
      </c>
      <c r="C36" s="5">
        <v>501268312</v>
      </c>
      <c r="D36" s="5">
        <v>299</v>
      </c>
      <c r="E36" s="5" t="s">
        <v>1391</v>
      </c>
      <c r="F36" s="5" t="s">
        <v>839</v>
      </c>
      <c r="G36" s="5" t="s">
        <v>1438</v>
      </c>
      <c r="H36" s="3">
        <v>551429375</v>
      </c>
    </row>
    <row r="37" spans="1:8">
      <c r="A37" s="1">
        <v>35</v>
      </c>
      <c r="B37" s="71" t="s">
        <v>1439</v>
      </c>
      <c r="C37" s="5">
        <v>544456065</v>
      </c>
      <c r="D37" s="5">
        <v>299</v>
      </c>
      <c r="E37" s="5" t="s">
        <v>12</v>
      </c>
      <c r="F37" s="5" t="s">
        <v>839</v>
      </c>
      <c r="G37" s="3">
        <v>1.34040406</v>
      </c>
      <c r="H37" s="5">
        <v>75587151</v>
      </c>
    </row>
    <row r="38" spans="1:8">
      <c r="A38" s="1">
        <v>36</v>
      </c>
      <c r="B38" s="71" t="s">
        <v>1256</v>
      </c>
      <c r="C38" s="5">
        <v>521200609</v>
      </c>
      <c r="D38" s="5">
        <v>299</v>
      </c>
      <c r="E38" s="5" t="s">
        <v>112</v>
      </c>
      <c r="F38" s="5" t="s">
        <v>839</v>
      </c>
      <c r="G38" s="5" t="s">
        <v>1440</v>
      </c>
      <c r="H38" s="3">
        <v>581287584</v>
      </c>
    </row>
    <row r="39" spans="1:8">
      <c r="A39" s="1">
        <v>37</v>
      </c>
      <c r="B39" s="71" t="s">
        <v>1441</v>
      </c>
      <c r="C39" s="5">
        <v>508502326</v>
      </c>
      <c r="D39" s="5">
        <v>199</v>
      </c>
      <c r="E39" s="5" t="s">
        <v>12</v>
      </c>
      <c r="F39" s="5" t="s">
        <v>839</v>
      </c>
      <c r="G39" s="5" t="s">
        <v>1442</v>
      </c>
      <c r="H39" s="5">
        <v>5551582907</v>
      </c>
    </row>
    <row r="40" spans="1:8">
      <c r="A40" s="145">
        <v>38</v>
      </c>
      <c r="B40" s="64" t="s">
        <v>1443</v>
      </c>
      <c r="C40" s="5">
        <v>544014344</v>
      </c>
      <c r="D40" s="67">
        <v>199</v>
      </c>
      <c r="E40" s="5" t="s">
        <v>12</v>
      </c>
      <c r="F40" s="5" t="s">
        <v>839</v>
      </c>
      <c r="G40" s="142">
        <v>1.54582291</v>
      </c>
      <c r="H40" s="5">
        <v>74779310</v>
      </c>
    </row>
    <row r="41" spans="1:8">
      <c r="A41" s="145">
        <v>39</v>
      </c>
      <c r="B41" s="64" t="s">
        <v>1444</v>
      </c>
      <c r="C41" s="5">
        <v>563069395</v>
      </c>
      <c r="D41" s="67">
        <v>299</v>
      </c>
      <c r="E41" s="5" t="s">
        <v>12</v>
      </c>
      <c r="F41" s="5" t="s">
        <v>839</v>
      </c>
      <c r="G41" s="142">
        <v>1.54585276</v>
      </c>
      <c r="H41" s="5">
        <v>74786418</v>
      </c>
    </row>
    <row r="42" spans="1:8">
      <c r="A42" s="145">
        <v>40</v>
      </c>
      <c r="B42" s="64" t="s">
        <v>734</v>
      </c>
      <c r="C42" s="5">
        <v>526251152</v>
      </c>
      <c r="D42" s="67">
        <v>199</v>
      </c>
      <c r="E42" s="5" t="s">
        <v>12</v>
      </c>
      <c r="F42" s="5" t="s">
        <v>839</v>
      </c>
      <c r="G42" s="142" t="s">
        <v>1445</v>
      </c>
      <c r="H42" s="5">
        <v>552168934</v>
      </c>
    </row>
    <row r="43" spans="1:8">
      <c r="A43" s="145">
        <v>41</v>
      </c>
      <c r="B43" s="64" t="s">
        <v>1446</v>
      </c>
      <c r="C43" s="5">
        <v>506248767</v>
      </c>
      <c r="D43" s="67">
        <v>299</v>
      </c>
      <c r="E43" s="5" t="s">
        <v>12</v>
      </c>
      <c r="F43" s="5" t="s">
        <v>839</v>
      </c>
      <c r="G43" s="142" t="s">
        <v>1447</v>
      </c>
      <c r="H43" s="5">
        <v>521797516</v>
      </c>
    </row>
    <row r="44" spans="1:8">
      <c r="A44" s="145">
        <v>42</v>
      </c>
      <c r="B44" s="64" t="s">
        <v>1448</v>
      </c>
      <c r="C44" s="5">
        <v>50788264</v>
      </c>
      <c r="D44" s="67">
        <v>199</v>
      </c>
      <c r="E44" s="5" t="s">
        <v>12</v>
      </c>
      <c r="F44" s="5" t="s">
        <v>839</v>
      </c>
      <c r="G44" s="142" t="s">
        <v>1449</v>
      </c>
      <c r="H44" s="5">
        <v>551890726</v>
      </c>
    </row>
    <row r="45" spans="1:8">
      <c r="A45" s="145">
        <v>43</v>
      </c>
      <c r="B45" s="64" t="s">
        <v>1450</v>
      </c>
      <c r="C45" s="5">
        <v>522332340</v>
      </c>
      <c r="D45" s="67">
        <v>199</v>
      </c>
      <c r="E45" s="5" t="s">
        <v>12</v>
      </c>
      <c r="F45" s="5" t="s">
        <v>839</v>
      </c>
      <c r="G45" s="142" t="s">
        <v>1451</v>
      </c>
      <c r="H45" s="5">
        <v>552974165</v>
      </c>
    </row>
    <row r="46" spans="1:8">
      <c r="A46" s="145">
        <v>44</v>
      </c>
      <c r="B46" s="64" t="s">
        <v>1450</v>
      </c>
      <c r="C46" s="5">
        <v>522332340</v>
      </c>
      <c r="D46" s="67">
        <v>199</v>
      </c>
      <c r="E46" s="5" t="s">
        <v>12</v>
      </c>
      <c r="F46" s="5" t="s">
        <v>839</v>
      </c>
      <c r="G46" s="142" t="s">
        <v>1452</v>
      </c>
      <c r="H46" s="5">
        <v>551406793</v>
      </c>
    </row>
    <row r="47" spans="1:8">
      <c r="A47" s="145">
        <v>45</v>
      </c>
      <c r="B47" s="64" t="s">
        <v>1453</v>
      </c>
      <c r="C47" s="5">
        <v>545580000</v>
      </c>
      <c r="D47" s="67">
        <v>199</v>
      </c>
      <c r="E47" s="5" t="s">
        <v>12</v>
      </c>
      <c r="F47" s="5" t="s">
        <v>839</v>
      </c>
      <c r="G47" s="142">
        <v>1.4091168300000001</v>
      </c>
      <c r="H47" s="5">
        <v>75177728</v>
      </c>
    </row>
    <row r="48" spans="1:8">
      <c r="A48" s="145">
        <v>46</v>
      </c>
      <c r="B48" s="64" t="s">
        <v>1454</v>
      </c>
      <c r="C48" s="5">
        <v>506901588</v>
      </c>
      <c r="D48" s="67">
        <v>199</v>
      </c>
      <c r="E48" s="5" t="s">
        <v>12</v>
      </c>
      <c r="F48" s="5" t="s">
        <v>839</v>
      </c>
      <c r="G48" s="142">
        <v>1.4105605400000001</v>
      </c>
      <c r="H48" s="5"/>
    </row>
    <row r="49" spans="1:8">
      <c r="A49" s="145">
        <v>47</v>
      </c>
      <c r="B49" s="64" t="s">
        <v>1455</v>
      </c>
      <c r="C49" s="5">
        <v>582752189</v>
      </c>
      <c r="D49" s="67">
        <v>199</v>
      </c>
      <c r="E49" s="5" t="s">
        <v>12</v>
      </c>
      <c r="F49" s="5" t="s">
        <v>839</v>
      </c>
      <c r="G49" s="142" t="s">
        <v>1456</v>
      </c>
      <c r="H49" s="5">
        <v>589834741</v>
      </c>
    </row>
    <row r="50" spans="1:8">
      <c r="A50" s="145">
        <v>48</v>
      </c>
      <c r="B50" s="64" t="s">
        <v>1457</v>
      </c>
      <c r="C50" s="5">
        <v>524718262</v>
      </c>
      <c r="D50" s="67">
        <v>199</v>
      </c>
      <c r="E50" s="5" t="s">
        <v>12</v>
      </c>
      <c r="F50" s="5" t="s">
        <v>839</v>
      </c>
      <c r="G50" s="142">
        <v>1.5508519199999999</v>
      </c>
      <c r="H50" s="5">
        <v>75442750</v>
      </c>
    </row>
    <row r="51" spans="1:8">
      <c r="A51" s="145">
        <v>49</v>
      </c>
      <c r="B51" s="64" t="s">
        <v>1458</v>
      </c>
      <c r="C51" s="5">
        <v>544414253</v>
      </c>
      <c r="D51" s="67">
        <v>199</v>
      </c>
      <c r="E51" s="5" t="s">
        <v>12</v>
      </c>
      <c r="F51" s="5" t="s">
        <v>839</v>
      </c>
      <c r="G51" s="142">
        <v>1.55132833</v>
      </c>
      <c r="H51" s="5">
        <v>75502481</v>
      </c>
    </row>
    <row r="52" spans="1:8">
      <c r="A52" s="145">
        <v>50</v>
      </c>
      <c r="B52" s="71" t="s">
        <v>1459</v>
      </c>
      <c r="C52" s="5">
        <v>504763149</v>
      </c>
      <c r="D52" s="67">
        <v>199</v>
      </c>
      <c r="E52" s="5" t="s">
        <v>12</v>
      </c>
      <c r="F52" s="5" t="s">
        <v>839</v>
      </c>
      <c r="G52" s="142">
        <v>1.4265481499999999</v>
      </c>
      <c r="H52" s="5">
        <v>75534485</v>
      </c>
    </row>
  </sheetData>
  <mergeCells count="1">
    <mergeCell ref="A1:L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39"/>
  <sheetViews>
    <sheetView topLeftCell="B30" zoomScale="151" zoomScaleNormal="85" workbookViewId="0">
      <selection activeCell="C25" sqref="C25"/>
    </sheetView>
  </sheetViews>
  <sheetFormatPr defaultRowHeight="14.5"/>
  <cols>
    <col min="1" max="1" width="4.453125" bestFit="1" customWidth="1"/>
    <col min="2" max="2" width="36.453125" bestFit="1" customWidth="1"/>
    <col min="3" max="3" width="15.54296875" bestFit="1" customWidth="1"/>
    <col min="4" max="4" width="8.453125" bestFit="1" customWidth="1"/>
    <col min="5" max="5" width="12.453125" bestFit="1" customWidth="1"/>
    <col min="6" max="6" width="16.54296875" bestFit="1" customWidth="1"/>
    <col min="7" max="7" width="25.54296875" bestFit="1" customWidth="1"/>
    <col min="8" max="8" width="16.54296875" bestFit="1" customWidth="1"/>
    <col min="9" max="9" width="8.54296875" bestFit="1" customWidth="1"/>
  </cols>
  <sheetData>
    <row r="1" spans="1:12" ht="46">
      <c r="A1" s="622" t="s">
        <v>40</v>
      </c>
      <c r="B1" s="622"/>
      <c r="C1" s="622"/>
      <c r="D1" s="622"/>
      <c r="E1" s="622"/>
      <c r="F1" s="622"/>
      <c r="G1" s="622"/>
      <c r="H1" s="622"/>
      <c r="I1" s="622"/>
      <c r="J1" s="622"/>
      <c r="K1" s="622"/>
      <c r="L1" s="622"/>
    </row>
    <row r="2" spans="1:12" ht="18.5">
      <c r="A2" s="143" t="s">
        <v>0</v>
      </c>
      <c r="B2" s="4" t="s">
        <v>1</v>
      </c>
      <c r="C2" s="144" t="s">
        <v>1333</v>
      </c>
      <c r="D2" s="38" t="s">
        <v>1334</v>
      </c>
      <c r="E2" s="144" t="s">
        <v>4</v>
      </c>
      <c r="F2" s="144" t="s">
        <v>8</v>
      </c>
      <c r="G2" s="38" t="s">
        <v>10</v>
      </c>
      <c r="H2" s="144" t="s">
        <v>1335</v>
      </c>
      <c r="I2" s="2" t="s">
        <v>212</v>
      </c>
    </row>
    <row r="3" spans="1:12">
      <c r="A3" s="73">
        <v>1</v>
      </c>
      <c r="B3" s="146" t="s">
        <v>1460</v>
      </c>
      <c r="C3" s="147">
        <v>508502326</v>
      </c>
      <c r="D3" s="52">
        <v>199</v>
      </c>
      <c r="E3" s="52" t="s">
        <v>1461</v>
      </c>
      <c r="F3" s="5" t="s">
        <v>839</v>
      </c>
      <c r="G3" s="147">
        <v>1.4504243000000001</v>
      </c>
      <c r="H3" s="148"/>
      <c r="I3" s="65"/>
    </row>
    <row r="4" spans="1:12">
      <c r="A4" s="73">
        <v>2</v>
      </c>
      <c r="B4" s="64" t="s">
        <v>1462</v>
      </c>
      <c r="C4" s="5">
        <v>505213321</v>
      </c>
      <c r="D4" s="67">
        <v>199</v>
      </c>
      <c r="E4" s="5" t="s">
        <v>1391</v>
      </c>
      <c r="F4" s="5" t="s">
        <v>839</v>
      </c>
      <c r="G4" s="142" t="s">
        <v>1463</v>
      </c>
      <c r="H4" s="5">
        <v>589423370</v>
      </c>
      <c r="I4" s="5"/>
    </row>
    <row r="5" spans="1:12">
      <c r="A5" s="73">
        <v>3</v>
      </c>
      <c r="B5" s="64" t="s">
        <v>1464</v>
      </c>
      <c r="C5" s="5">
        <v>562514269</v>
      </c>
      <c r="D5" s="67">
        <v>199</v>
      </c>
      <c r="E5" s="5" t="s">
        <v>1391</v>
      </c>
      <c r="F5" s="5"/>
      <c r="G5" s="142" t="s">
        <v>1465</v>
      </c>
      <c r="H5" s="5">
        <v>582464830</v>
      </c>
      <c r="I5" s="5"/>
    </row>
    <row r="6" spans="1:12">
      <c r="A6" s="73">
        <v>4</v>
      </c>
      <c r="B6" s="64" t="s">
        <v>1466</v>
      </c>
      <c r="C6" s="5">
        <v>528812088</v>
      </c>
      <c r="D6" s="67">
        <v>299</v>
      </c>
      <c r="E6" s="5" t="s">
        <v>1391</v>
      </c>
      <c r="F6" s="5" t="s">
        <v>839</v>
      </c>
      <c r="G6" s="142" t="s">
        <v>1467</v>
      </c>
      <c r="H6" s="5">
        <v>582823497</v>
      </c>
      <c r="I6" s="5"/>
    </row>
    <row r="7" spans="1:12">
      <c r="A7" s="73">
        <v>5</v>
      </c>
      <c r="B7" s="64" t="s">
        <v>1468</v>
      </c>
      <c r="C7" s="5">
        <v>506296336</v>
      </c>
      <c r="D7" s="67">
        <v>299</v>
      </c>
      <c r="E7" s="5" t="s">
        <v>1391</v>
      </c>
      <c r="F7" s="5" t="s">
        <v>839</v>
      </c>
      <c r="G7" s="142" t="s">
        <v>1469</v>
      </c>
      <c r="H7" s="5">
        <v>586759026</v>
      </c>
      <c r="I7" s="5"/>
    </row>
    <row r="8" spans="1:12">
      <c r="A8" s="73">
        <v>6</v>
      </c>
      <c r="B8" s="64" t="s">
        <v>1470</v>
      </c>
      <c r="C8" s="5">
        <v>5585536234</v>
      </c>
      <c r="D8" s="67">
        <v>199</v>
      </c>
      <c r="E8" s="5" t="s">
        <v>1461</v>
      </c>
      <c r="F8" s="5" t="s">
        <v>839</v>
      </c>
      <c r="G8" s="142" t="s">
        <v>1471</v>
      </c>
      <c r="H8" s="5">
        <v>582645618</v>
      </c>
      <c r="I8" s="5"/>
    </row>
    <row r="9" spans="1:12">
      <c r="A9" s="73">
        <v>7</v>
      </c>
      <c r="B9" s="64" t="s">
        <v>1472</v>
      </c>
      <c r="C9" s="5">
        <v>507742150</v>
      </c>
      <c r="D9" s="67">
        <v>299</v>
      </c>
      <c r="E9" s="5" t="s">
        <v>1391</v>
      </c>
      <c r="F9" s="5" t="s">
        <v>839</v>
      </c>
      <c r="G9" s="142" t="s">
        <v>1473</v>
      </c>
      <c r="H9" s="5">
        <v>582834537</v>
      </c>
      <c r="I9" s="5"/>
    </row>
    <row r="10" spans="1:12">
      <c r="A10" s="73">
        <v>8</v>
      </c>
      <c r="B10" s="64" t="s">
        <v>1474</v>
      </c>
      <c r="C10" s="5">
        <v>525618541</v>
      </c>
      <c r="D10" s="67">
        <v>199</v>
      </c>
      <c r="E10" s="5" t="s">
        <v>1461</v>
      </c>
      <c r="F10" s="5" t="s">
        <v>839</v>
      </c>
      <c r="G10" s="142">
        <v>1.5529173199999999</v>
      </c>
      <c r="H10" s="5">
        <v>75713635</v>
      </c>
      <c r="I10" s="5" t="s">
        <v>176</v>
      </c>
    </row>
    <row r="11" spans="1:12">
      <c r="A11" s="73">
        <v>9</v>
      </c>
      <c r="B11" s="64" t="s">
        <v>1475</v>
      </c>
      <c r="C11" s="5">
        <v>509809629</v>
      </c>
      <c r="D11" s="67">
        <v>199</v>
      </c>
      <c r="E11" s="5" t="s">
        <v>1391</v>
      </c>
      <c r="F11" s="5" t="s">
        <v>839</v>
      </c>
      <c r="G11" s="142">
        <v>1.5536117</v>
      </c>
      <c r="H11" s="5">
        <v>75832403</v>
      </c>
      <c r="I11" s="5"/>
    </row>
    <row r="12" spans="1:12">
      <c r="A12" s="73">
        <v>10</v>
      </c>
      <c r="B12" s="64" t="s">
        <v>1476</v>
      </c>
      <c r="C12" s="5">
        <v>509764353</v>
      </c>
      <c r="D12" s="67">
        <v>299</v>
      </c>
      <c r="E12" s="5" t="s">
        <v>192</v>
      </c>
      <c r="F12" s="5" t="s">
        <v>839</v>
      </c>
      <c r="G12" s="142" t="s">
        <v>1477</v>
      </c>
      <c r="H12" s="5">
        <v>581866492</v>
      </c>
      <c r="I12" s="5"/>
    </row>
    <row r="13" spans="1:12">
      <c r="A13" s="73">
        <v>11</v>
      </c>
      <c r="B13" s="64" t="s">
        <v>1478</v>
      </c>
      <c r="C13" s="5">
        <v>585690415</v>
      </c>
      <c r="D13" s="67">
        <v>299</v>
      </c>
      <c r="E13" s="5" t="s">
        <v>1391</v>
      </c>
      <c r="F13" s="5" t="s">
        <v>839</v>
      </c>
      <c r="G13" s="142" t="s">
        <v>1479</v>
      </c>
      <c r="H13" s="5">
        <v>521330160</v>
      </c>
      <c r="I13" s="5"/>
    </row>
    <row r="14" spans="1:12">
      <c r="A14" s="73">
        <v>12</v>
      </c>
      <c r="B14" s="64" t="s">
        <v>1480</v>
      </c>
      <c r="C14" s="5">
        <v>568835938</v>
      </c>
      <c r="D14" s="67">
        <v>299</v>
      </c>
      <c r="E14" s="5" t="s">
        <v>1461</v>
      </c>
      <c r="F14" s="5" t="s">
        <v>839</v>
      </c>
      <c r="G14" s="142">
        <v>1.5549993200000001</v>
      </c>
      <c r="H14" s="5">
        <v>75976652</v>
      </c>
      <c r="I14" s="5"/>
    </row>
    <row r="15" spans="1:12">
      <c r="A15" s="73">
        <v>13</v>
      </c>
      <c r="B15" s="71" t="s">
        <v>1481</v>
      </c>
      <c r="C15" s="5">
        <v>582272772</v>
      </c>
      <c r="D15" s="67">
        <v>199</v>
      </c>
      <c r="E15" s="5" t="s">
        <v>1461</v>
      </c>
      <c r="F15" s="5" t="s">
        <v>839</v>
      </c>
      <c r="G15" s="142" t="s">
        <v>1482</v>
      </c>
      <c r="H15" s="149" t="s">
        <v>1483</v>
      </c>
      <c r="I15" s="5" t="s">
        <v>176</v>
      </c>
    </row>
    <row r="16" spans="1:12">
      <c r="A16" s="73">
        <v>14</v>
      </c>
      <c r="B16" s="71" t="s">
        <v>1484</v>
      </c>
      <c r="C16" s="5">
        <v>556514936</v>
      </c>
      <c r="D16" s="5">
        <v>199</v>
      </c>
      <c r="E16" s="5" t="s">
        <v>1391</v>
      </c>
      <c r="F16" s="5" t="s">
        <v>839</v>
      </c>
      <c r="G16" s="5" t="s">
        <v>1485</v>
      </c>
      <c r="H16" s="5">
        <v>586640718</v>
      </c>
      <c r="I16" s="5"/>
    </row>
    <row r="17" spans="1:9">
      <c r="A17" s="73">
        <v>15</v>
      </c>
      <c r="B17" s="118" t="s">
        <v>1486</v>
      </c>
      <c r="C17" s="25">
        <v>501426301</v>
      </c>
      <c r="D17" s="25">
        <v>399</v>
      </c>
      <c r="E17" s="25" t="s">
        <v>1461</v>
      </c>
      <c r="F17" s="25" t="s">
        <v>839</v>
      </c>
      <c r="G17" s="25" t="s">
        <v>1325</v>
      </c>
      <c r="H17" s="25" t="s">
        <v>1325</v>
      </c>
      <c r="I17" s="5"/>
    </row>
    <row r="18" spans="1:9">
      <c r="A18" s="73">
        <v>16</v>
      </c>
      <c r="B18" s="118" t="s">
        <v>1487</v>
      </c>
      <c r="C18" s="25">
        <v>504267447</v>
      </c>
      <c r="D18" s="25">
        <v>399</v>
      </c>
      <c r="E18" s="25" t="s">
        <v>1461</v>
      </c>
      <c r="F18" s="25" t="s">
        <v>839</v>
      </c>
      <c r="G18" s="25" t="s">
        <v>1325</v>
      </c>
      <c r="H18" s="25" t="s">
        <v>1325</v>
      </c>
      <c r="I18" s="5" t="s">
        <v>176</v>
      </c>
    </row>
    <row r="19" spans="1:9">
      <c r="A19" s="73">
        <v>17</v>
      </c>
      <c r="B19" s="118" t="s">
        <v>1488</v>
      </c>
      <c r="C19" s="25">
        <v>552025269</v>
      </c>
      <c r="D19" s="25">
        <v>399</v>
      </c>
      <c r="E19" s="25" t="s">
        <v>1461</v>
      </c>
      <c r="F19" s="25" t="s">
        <v>839</v>
      </c>
      <c r="G19" s="25" t="s">
        <v>1325</v>
      </c>
      <c r="H19" s="25" t="s">
        <v>1325</v>
      </c>
      <c r="I19" s="5"/>
    </row>
    <row r="20" spans="1:9">
      <c r="A20" s="73">
        <v>18</v>
      </c>
      <c r="B20" s="71" t="s">
        <v>1489</v>
      </c>
      <c r="C20" s="5">
        <v>561009864</v>
      </c>
      <c r="D20" s="5">
        <v>199</v>
      </c>
      <c r="E20" s="5" t="s">
        <v>1461</v>
      </c>
      <c r="F20" s="5" t="s">
        <v>839</v>
      </c>
      <c r="G20" s="5" t="s">
        <v>1490</v>
      </c>
      <c r="H20" s="5">
        <v>551768492</v>
      </c>
      <c r="I20" s="5"/>
    </row>
    <row r="21" spans="1:9">
      <c r="A21" s="73">
        <v>19</v>
      </c>
      <c r="B21" s="71" t="s">
        <v>282</v>
      </c>
      <c r="C21" s="5">
        <v>562804919</v>
      </c>
      <c r="D21" s="5">
        <v>199</v>
      </c>
      <c r="E21" s="5" t="s">
        <v>1391</v>
      </c>
      <c r="F21" s="5" t="s">
        <v>839</v>
      </c>
      <c r="G21" s="5" t="s">
        <v>1491</v>
      </c>
      <c r="H21" s="5">
        <v>553187509</v>
      </c>
      <c r="I21" s="5"/>
    </row>
    <row r="22" spans="1:9">
      <c r="A22" s="73">
        <v>20</v>
      </c>
      <c r="B22" s="71" t="s">
        <v>1492</v>
      </c>
      <c r="C22" s="5">
        <v>555108555</v>
      </c>
      <c r="D22" s="5">
        <v>199</v>
      </c>
      <c r="E22" s="5" t="s">
        <v>674</v>
      </c>
      <c r="F22" s="5" t="s">
        <v>839</v>
      </c>
      <c r="G22" s="5" t="s">
        <v>1493</v>
      </c>
      <c r="H22" s="5">
        <v>551825670</v>
      </c>
      <c r="I22" s="5"/>
    </row>
    <row r="23" spans="1:9">
      <c r="A23" s="73">
        <v>21</v>
      </c>
      <c r="B23" s="64" t="s">
        <v>1494</v>
      </c>
      <c r="C23" s="5">
        <v>554443812</v>
      </c>
      <c r="D23" s="5">
        <v>199</v>
      </c>
      <c r="E23" s="5" t="s">
        <v>192</v>
      </c>
      <c r="F23" s="5" t="s">
        <v>839</v>
      </c>
      <c r="G23" s="5" t="s">
        <v>1495</v>
      </c>
      <c r="H23" s="5">
        <v>552165789</v>
      </c>
      <c r="I23" s="5" t="s">
        <v>1496</v>
      </c>
    </row>
    <row r="24" spans="1:9">
      <c r="A24" s="73">
        <v>22</v>
      </c>
      <c r="B24" s="71" t="s">
        <v>1497</v>
      </c>
      <c r="C24" s="5">
        <v>557853349</v>
      </c>
      <c r="D24" s="5">
        <v>389</v>
      </c>
      <c r="E24" s="5" t="s">
        <v>1133</v>
      </c>
      <c r="F24" s="5" t="s">
        <v>839</v>
      </c>
      <c r="G24" s="5" t="s">
        <v>1498</v>
      </c>
      <c r="H24" s="3"/>
      <c r="I24" s="3" t="s">
        <v>1496</v>
      </c>
    </row>
    <row r="25" spans="1:9">
      <c r="A25" s="73">
        <v>23</v>
      </c>
      <c r="B25" s="71" t="s">
        <v>411</v>
      </c>
      <c r="C25" s="5">
        <v>568515098</v>
      </c>
      <c r="D25" s="5">
        <v>199</v>
      </c>
      <c r="E25" s="5" t="s">
        <v>1461</v>
      </c>
      <c r="F25" s="5" t="s">
        <v>839</v>
      </c>
      <c r="G25" s="5" t="s">
        <v>1499</v>
      </c>
      <c r="H25" s="5">
        <v>581368990</v>
      </c>
      <c r="I25" s="1"/>
    </row>
    <row r="26" spans="1:9">
      <c r="A26" s="73">
        <v>24</v>
      </c>
      <c r="B26" s="64" t="s">
        <v>1500</v>
      </c>
      <c r="C26" s="5">
        <v>508002727</v>
      </c>
      <c r="D26" s="5">
        <v>199</v>
      </c>
      <c r="E26" s="5" t="s">
        <v>1391</v>
      </c>
      <c r="F26" s="5" t="s">
        <v>839</v>
      </c>
      <c r="G26" s="150" t="s">
        <v>1501</v>
      </c>
      <c r="H26" s="3">
        <v>582694585</v>
      </c>
      <c r="I26" s="1"/>
    </row>
    <row r="27" spans="1:9">
      <c r="A27" s="73">
        <v>25</v>
      </c>
      <c r="B27" s="71" t="s">
        <v>1502</v>
      </c>
      <c r="C27" s="5">
        <v>547535914</v>
      </c>
      <c r="D27" s="5">
        <v>299</v>
      </c>
      <c r="E27" s="5" t="s">
        <v>192</v>
      </c>
      <c r="F27" s="5" t="s">
        <v>839</v>
      </c>
      <c r="G27" s="150" t="s">
        <v>1503</v>
      </c>
      <c r="H27" s="5">
        <v>589087502</v>
      </c>
      <c r="I27" s="1"/>
    </row>
    <row r="28" spans="1:9">
      <c r="A28" s="73">
        <v>26</v>
      </c>
      <c r="B28" s="71" t="s">
        <v>1504</v>
      </c>
      <c r="C28" s="5">
        <v>501554355</v>
      </c>
      <c r="D28" s="5">
        <v>199</v>
      </c>
      <c r="E28" s="5" t="s">
        <v>1133</v>
      </c>
      <c r="F28" s="5" t="s">
        <v>839</v>
      </c>
      <c r="G28" s="5" t="s">
        <v>1505</v>
      </c>
      <c r="H28" s="3">
        <v>582869139</v>
      </c>
      <c r="I28" s="1"/>
    </row>
    <row r="29" spans="1:9">
      <c r="A29" s="73">
        <v>27</v>
      </c>
      <c r="B29" s="71" t="s">
        <v>1506</v>
      </c>
      <c r="C29" s="5">
        <v>504993779</v>
      </c>
      <c r="D29" s="5">
        <v>199</v>
      </c>
      <c r="E29" s="5" t="s">
        <v>192</v>
      </c>
      <c r="F29" s="5" t="s">
        <v>839</v>
      </c>
      <c r="G29" s="5">
        <v>1.55762003</v>
      </c>
      <c r="H29" s="5">
        <v>76325038</v>
      </c>
      <c r="I29" s="1"/>
    </row>
    <row r="30" spans="1:9">
      <c r="A30" s="73">
        <v>28</v>
      </c>
      <c r="B30" s="71" t="s">
        <v>1507</v>
      </c>
      <c r="C30" s="5">
        <v>507474015</v>
      </c>
      <c r="D30" s="5">
        <v>199</v>
      </c>
      <c r="E30" s="5" t="s">
        <v>1461</v>
      </c>
      <c r="F30" s="5" t="s">
        <v>839</v>
      </c>
      <c r="G30" s="5" t="s">
        <v>1508</v>
      </c>
      <c r="H30" s="3">
        <v>551094256</v>
      </c>
      <c r="I30" s="1"/>
    </row>
    <row r="31" spans="1:9">
      <c r="A31" s="73">
        <v>29</v>
      </c>
      <c r="B31" s="71" t="s">
        <v>1509</v>
      </c>
      <c r="C31" s="5">
        <v>558400359</v>
      </c>
      <c r="D31" s="5">
        <v>299</v>
      </c>
      <c r="E31" s="5" t="s">
        <v>1461</v>
      </c>
      <c r="F31" s="5" t="s">
        <v>839</v>
      </c>
      <c r="G31" s="5" t="s">
        <v>1510</v>
      </c>
      <c r="H31" s="5">
        <v>525076863</v>
      </c>
      <c r="I31" s="1" t="s">
        <v>176</v>
      </c>
    </row>
    <row r="32" spans="1:9">
      <c r="A32" s="73">
        <v>30</v>
      </c>
      <c r="B32" t="s">
        <v>1511</v>
      </c>
      <c r="C32" s="52">
        <v>504663645</v>
      </c>
      <c r="D32" s="52">
        <v>199</v>
      </c>
      <c r="E32" s="52" t="s">
        <v>1461</v>
      </c>
      <c r="F32" s="52" t="s">
        <v>839</v>
      </c>
      <c r="G32" s="52" t="s">
        <v>1512</v>
      </c>
      <c r="H32" s="52">
        <v>589577038</v>
      </c>
    </row>
    <row r="33" spans="1:8">
      <c r="A33" s="73">
        <v>31</v>
      </c>
      <c r="B33" t="s">
        <v>1513</v>
      </c>
      <c r="C33" s="52">
        <v>523744001</v>
      </c>
      <c r="D33" s="52">
        <v>199</v>
      </c>
      <c r="E33" s="52" t="s">
        <v>1461</v>
      </c>
      <c r="F33" s="52" t="s">
        <v>839</v>
      </c>
      <c r="G33" s="52">
        <v>1.55312205</v>
      </c>
    </row>
    <row r="34" spans="1:8">
      <c r="A34" s="73">
        <v>32</v>
      </c>
      <c r="B34" t="s">
        <v>1514</v>
      </c>
      <c r="C34" s="52">
        <v>565154817</v>
      </c>
      <c r="D34" s="52">
        <v>199</v>
      </c>
      <c r="E34" s="52" t="s">
        <v>1391</v>
      </c>
      <c r="F34" s="52" t="s">
        <v>839</v>
      </c>
      <c r="G34" s="52">
        <v>1.5535699999999999</v>
      </c>
      <c r="H34" s="52">
        <v>75788213</v>
      </c>
    </row>
    <row r="35" spans="1:8">
      <c r="A35" s="73">
        <v>33</v>
      </c>
      <c r="B35" t="s">
        <v>1515</v>
      </c>
      <c r="C35" s="52">
        <v>562116719</v>
      </c>
      <c r="D35" s="52">
        <v>199</v>
      </c>
      <c r="E35" s="52" t="s">
        <v>1391</v>
      </c>
      <c r="F35" s="52" t="s">
        <v>839</v>
      </c>
      <c r="G35" s="52">
        <v>1.3462436900000001</v>
      </c>
      <c r="H35" s="52">
        <v>76079881</v>
      </c>
    </row>
    <row r="36" spans="1:8">
      <c r="A36" s="73">
        <v>34</v>
      </c>
      <c r="B36" t="s">
        <v>734</v>
      </c>
      <c r="C36" s="52">
        <v>526251152</v>
      </c>
      <c r="D36" s="52">
        <v>199</v>
      </c>
      <c r="E36" s="52" t="s">
        <v>1461</v>
      </c>
      <c r="F36" s="52" t="s">
        <v>839</v>
      </c>
      <c r="G36" s="52">
        <v>1.2111447</v>
      </c>
      <c r="H36" s="52">
        <v>76355273</v>
      </c>
    </row>
    <row r="37" spans="1:8">
      <c r="A37" s="73">
        <v>35</v>
      </c>
      <c r="B37" t="s">
        <v>1516</v>
      </c>
      <c r="C37" s="52">
        <v>528797355</v>
      </c>
      <c r="D37" s="52">
        <v>199</v>
      </c>
      <c r="E37" s="52" t="s">
        <v>1391</v>
      </c>
      <c r="F37" s="52" t="s">
        <v>839</v>
      </c>
      <c r="G37" s="52">
        <v>1.5580446800000001</v>
      </c>
      <c r="H37" s="52">
        <v>76375385</v>
      </c>
    </row>
    <row r="38" spans="1:8">
      <c r="A38" s="73">
        <v>36</v>
      </c>
      <c r="B38" t="s">
        <v>1517</v>
      </c>
      <c r="C38" s="52">
        <v>561750016</v>
      </c>
      <c r="D38" s="52">
        <v>199</v>
      </c>
      <c r="E38" s="52" t="s">
        <v>1391</v>
      </c>
      <c r="F38" s="52" t="s">
        <v>839</v>
      </c>
      <c r="G38" s="52" t="s">
        <v>1518</v>
      </c>
      <c r="H38" s="52">
        <v>581410287</v>
      </c>
    </row>
    <row r="39" spans="1:8">
      <c r="A39" s="73">
        <v>37</v>
      </c>
      <c r="B39" t="s">
        <v>1519</v>
      </c>
      <c r="C39" s="52">
        <v>58942287</v>
      </c>
      <c r="D39" s="52">
        <v>299</v>
      </c>
      <c r="E39" s="52" t="s">
        <v>1391</v>
      </c>
      <c r="F39" s="52" t="s">
        <v>839</v>
      </c>
      <c r="G39" s="52">
        <v>1.5582613599999999</v>
      </c>
      <c r="H39" s="52">
        <v>76401371</v>
      </c>
    </row>
  </sheetData>
  <mergeCells count="1">
    <mergeCell ref="A1:L1"/>
  </mergeCells>
  <conditionalFormatting sqref="G3">
    <cfRule type="duplicateValues" dxfId="500" priority="1"/>
    <cfRule type="duplicateValues" dxfId="499" priority="2"/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34"/>
  <sheetViews>
    <sheetView topLeftCell="A6" zoomScale="126" zoomScaleNormal="70" workbookViewId="0">
      <selection activeCell="B1" sqref="B1:C34"/>
    </sheetView>
  </sheetViews>
  <sheetFormatPr defaultRowHeight="14.5"/>
  <cols>
    <col min="1" max="1" width="4.453125" bestFit="1" customWidth="1"/>
    <col min="2" max="2" width="36.54296875" bestFit="1" customWidth="1"/>
    <col min="3" max="3" width="16.54296875" bestFit="1" customWidth="1"/>
    <col min="4" max="4" width="8.54296875" bestFit="1" customWidth="1"/>
    <col min="5" max="5" width="13.1796875" bestFit="1" customWidth="1"/>
    <col min="6" max="6" width="10.54296875" bestFit="1" customWidth="1"/>
    <col min="7" max="7" width="17.453125" bestFit="1" customWidth="1"/>
    <col min="8" max="8" width="20.81640625" bestFit="1" customWidth="1"/>
    <col min="9" max="9" width="14.453125" bestFit="1" customWidth="1"/>
    <col min="10" max="10" width="27.1796875" bestFit="1" customWidth="1"/>
    <col min="11" max="11" width="17.453125" bestFit="1" customWidth="1"/>
    <col min="12" max="12" width="11" bestFit="1" customWidth="1"/>
  </cols>
  <sheetData>
    <row r="1" spans="1:12" ht="18.5">
      <c r="A1" s="154" t="s">
        <v>0</v>
      </c>
      <c r="B1" s="155" t="s">
        <v>1</v>
      </c>
      <c r="C1" s="156" t="s">
        <v>1333</v>
      </c>
      <c r="D1" s="157" t="s">
        <v>1334</v>
      </c>
      <c r="E1" s="156" t="s">
        <v>4</v>
      </c>
      <c r="F1" s="156" t="s">
        <v>1668</v>
      </c>
      <c r="G1" s="156" t="s">
        <v>8</v>
      </c>
      <c r="H1" s="158" t="s">
        <v>1669</v>
      </c>
      <c r="I1" s="156"/>
      <c r="J1" s="157" t="s">
        <v>10</v>
      </c>
      <c r="K1" s="156" t="s">
        <v>1335</v>
      </c>
      <c r="L1" s="159" t="s">
        <v>212</v>
      </c>
    </row>
    <row r="2" spans="1:12">
      <c r="A2">
        <v>2</v>
      </c>
      <c r="B2" t="s">
        <v>1670</v>
      </c>
      <c r="C2" s="52">
        <v>567075650</v>
      </c>
      <c r="D2" s="52">
        <v>299</v>
      </c>
      <c r="E2" s="52" t="s">
        <v>20</v>
      </c>
      <c r="F2" s="52" t="s">
        <v>1671</v>
      </c>
      <c r="G2" s="160" t="s">
        <v>255</v>
      </c>
      <c r="H2" s="161" t="s">
        <v>1563</v>
      </c>
      <c r="I2" s="5" t="e">
        <v>#N/A</v>
      </c>
      <c r="J2" s="52" t="s">
        <v>1672</v>
      </c>
      <c r="K2" s="52">
        <v>529023853</v>
      </c>
    </row>
    <row r="3" spans="1:12">
      <c r="A3">
        <v>3</v>
      </c>
      <c r="B3" t="s">
        <v>1673</v>
      </c>
      <c r="C3" s="52">
        <v>567075650</v>
      </c>
      <c r="D3" s="52">
        <v>299</v>
      </c>
      <c r="E3" s="52" t="s">
        <v>20</v>
      </c>
      <c r="F3" s="52" t="s">
        <v>1671</v>
      </c>
      <c r="G3" s="52" t="s">
        <v>839</v>
      </c>
      <c r="H3" s="162" t="s">
        <v>1589</v>
      </c>
      <c r="I3" s="5" t="s">
        <v>1559</v>
      </c>
      <c r="J3" s="52">
        <v>76601942</v>
      </c>
      <c r="L3" s="52">
        <v>1.5595893599999999</v>
      </c>
    </row>
    <row r="4" spans="1:12">
      <c r="A4">
        <v>4</v>
      </c>
      <c r="B4" t="s">
        <v>1674</v>
      </c>
      <c r="C4" s="52">
        <v>566779066</v>
      </c>
      <c r="D4" s="52">
        <v>199</v>
      </c>
      <c r="E4" s="52" t="s">
        <v>112</v>
      </c>
      <c r="F4" s="79">
        <v>44932</v>
      </c>
      <c r="G4" s="52" t="s">
        <v>839</v>
      </c>
      <c r="H4" s="162" t="s">
        <v>1589</v>
      </c>
      <c r="I4" s="5" t="s">
        <v>1559</v>
      </c>
      <c r="J4" s="52" t="s">
        <v>1675</v>
      </c>
      <c r="K4" s="52">
        <v>524245063</v>
      </c>
    </row>
    <row r="5" spans="1:12">
      <c r="A5">
        <v>5</v>
      </c>
      <c r="B5" t="s">
        <v>1676</v>
      </c>
      <c r="C5" s="52">
        <v>508994987</v>
      </c>
      <c r="D5" s="52">
        <v>199</v>
      </c>
      <c r="E5" s="52" t="s">
        <v>20</v>
      </c>
      <c r="F5" s="79">
        <v>44932</v>
      </c>
      <c r="G5" s="160" t="s">
        <v>255</v>
      </c>
      <c r="H5" s="161" t="s">
        <v>1563</v>
      </c>
      <c r="I5" s="5" t="s">
        <v>1559</v>
      </c>
      <c r="J5" s="52" t="s">
        <v>1677</v>
      </c>
      <c r="K5" s="52">
        <v>528467620</v>
      </c>
    </row>
    <row r="6" spans="1:12">
      <c r="A6">
        <v>6</v>
      </c>
      <c r="B6" t="s">
        <v>1678</v>
      </c>
      <c r="C6" s="52">
        <v>502676887</v>
      </c>
      <c r="D6" s="52">
        <v>299</v>
      </c>
      <c r="E6" s="52" t="s">
        <v>20</v>
      </c>
      <c r="F6" s="79">
        <v>44963</v>
      </c>
      <c r="G6" s="52" t="s">
        <v>839</v>
      </c>
      <c r="H6" s="162" t="s">
        <v>1589</v>
      </c>
      <c r="I6" s="5" t="s">
        <v>1559</v>
      </c>
      <c r="J6" s="52">
        <v>76634078</v>
      </c>
      <c r="L6" s="52">
        <v>1.55983228</v>
      </c>
    </row>
    <row r="7" spans="1:12">
      <c r="A7">
        <v>7</v>
      </c>
      <c r="B7" t="s">
        <v>1679</v>
      </c>
      <c r="C7" s="52">
        <v>524467529</v>
      </c>
      <c r="D7" s="52">
        <v>299</v>
      </c>
      <c r="E7" s="52" t="s">
        <v>20</v>
      </c>
      <c r="F7" s="79">
        <v>44963</v>
      </c>
      <c r="G7" s="52" t="s">
        <v>839</v>
      </c>
      <c r="H7" s="162" t="s">
        <v>1589</v>
      </c>
      <c r="I7" s="5" t="s">
        <v>1559</v>
      </c>
      <c r="J7" s="52">
        <v>76634086</v>
      </c>
      <c r="L7" s="52">
        <v>1.55983319</v>
      </c>
    </row>
    <row r="8" spans="1:12">
      <c r="A8">
        <v>8</v>
      </c>
      <c r="B8" t="s">
        <v>1680</v>
      </c>
      <c r="C8" s="52">
        <v>565398941</v>
      </c>
      <c r="D8" s="52">
        <v>199</v>
      </c>
      <c r="E8" s="52" t="s">
        <v>1461</v>
      </c>
      <c r="F8" s="79">
        <v>44963</v>
      </c>
      <c r="G8" s="52" t="s">
        <v>839</v>
      </c>
      <c r="H8" s="162" t="s">
        <v>1589</v>
      </c>
      <c r="I8" s="5" t="s">
        <v>1559</v>
      </c>
      <c r="J8" s="52" t="s">
        <v>1681</v>
      </c>
      <c r="K8" s="52">
        <v>526142173</v>
      </c>
    </row>
    <row r="9" spans="1:12">
      <c r="A9">
        <v>9</v>
      </c>
      <c r="B9" t="s">
        <v>1682</v>
      </c>
      <c r="C9" s="52">
        <v>529247535</v>
      </c>
      <c r="D9" s="52">
        <v>199</v>
      </c>
      <c r="E9" s="52" t="s">
        <v>112</v>
      </c>
      <c r="F9" s="79">
        <v>45022</v>
      </c>
      <c r="G9" s="52" t="s">
        <v>839</v>
      </c>
      <c r="H9" s="162" t="s">
        <v>1589</v>
      </c>
      <c r="I9" s="5" t="s">
        <v>1559</v>
      </c>
      <c r="J9" s="52" t="s">
        <v>1683</v>
      </c>
      <c r="K9" s="52">
        <v>586923671</v>
      </c>
    </row>
    <row r="10" spans="1:12">
      <c r="A10">
        <v>10</v>
      </c>
      <c r="B10" t="s">
        <v>1684</v>
      </c>
      <c r="C10" s="52">
        <v>564663521</v>
      </c>
      <c r="D10" s="52">
        <v>199</v>
      </c>
      <c r="E10" s="52" t="s">
        <v>1461</v>
      </c>
      <c r="F10" s="79">
        <v>45052</v>
      </c>
      <c r="G10" s="160" t="s">
        <v>255</v>
      </c>
      <c r="H10" s="161" t="s">
        <v>1563</v>
      </c>
      <c r="I10" s="5" t="s">
        <v>1559</v>
      </c>
      <c r="J10" s="52" t="s">
        <v>1685</v>
      </c>
      <c r="K10" s="52">
        <v>522830592</v>
      </c>
    </row>
    <row r="11" spans="1:12">
      <c r="A11">
        <v>11</v>
      </c>
      <c r="B11" t="s">
        <v>1686</v>
      </c>
      <c r="C11" s="52">
        <v>529266007</v>
      </c>
      <c r="D11" s="52">
        <v>199</v>
      </c>
      <c r="E11" s="52" t="s">
        <v>1461</v>
      </c>
      <c r="F11" s="79">
        <v>45052</v>
      </c>
      <c r="G11" s="52" t="s">
        <v>839</v>
      </c>
      <c r="H11" s="162" t="s">
        <v>1589</v>
      </c>
      <c r="I11" s="5" t="s">
        <v>1559</v>
      </c>
      <c r="J11" s="52" t="s">
        <v>1687</v>
      </c>
      <c r="K11" s="52">
        <v>522934216</v>
      </c>
    </row>
    <row r="12" spans="1:12">
      <c r="A12">
        <v>12</v>
      </c>
      <c r="B12" t="s">
        <v>1688</v>
      </c>
      <c r="C12" s="52">
        <v>503888676</v>
      </c>
      <c r="D12" s="52">
        <v>199</v>
      </c>
      <c r="E12" s="52" t="s">
        <v>674</v>
      </c>
      <c r="F12" s="79">
        <v>45052</v>
      </c>
      <c r="G12" s="163" t="s">
        <v>839</v>
      </c>
      <c r="H12" s="161" t="s">
        <v>1563</v>
      </c>
      <c r="I12" s="5" t="s">
        <v>1559</v>
      </c>
      <c r="J12" s="52" t="s">
        <v>1689</v>
      </c>
      <c r="K12" s="52">
        <v>524893024</v>
      </c>
    </row>
    <row r="13" spans="1:12">
      <c r="A13">
        <v>13</v>
      </c>
      <c r="B13" t="s">
        <v>1690</v>
      </c>
      <c r="C13" s="52">
        <v>581000007</v>
      </c>
      <c r="D13" s="52">
        <v>299</v>
      </c>
      <c r="E13" s="52" t="s">
        <v>112</v>
      </c>
      <c r="F13" s="79">
        <v>45083</v>
      </c>
      <c r="G13" s="52" t="s">
        <v>839</v>
      </c>
      <c r="H13" s="162" t="s">
        <v>1589</v>
      </c>
      <c r="I13" s="5" t="s">
        <v>1559</v>
      </c>
      <c r="J13" s="52" t="s">
        <v>1691</v>
      </c>
      <c r="K13" s="52">
        <v>523097176</v>
      </c>
    </row>
    <row r="14" spans="1:12">
      <c r="A14">
        <v>14</v>
      </c>
      <c r="B14" t="s">
        <v>1690</v>
      </c>
      <c r="C14" s="52">
        <v>581000007</v>
      </c>
      <c r="D14" s="52">
        <v>299</v>
      </c>
      <c r="E14" s="52" t="s">
        <v>112</v>
      </c>
      <c r="F14" s="79">
        <v>45113</v>
      </c>
      <c r="G14" s="52" t="s">
        <v>839</v>
      </c>
      <c r="H14" s="161" t="s">
        <v>391</v>
      </c>
      <c r="I14" s="5" t="s">
        <v>1559</v>
      </c>
      <c r="J14" s="52" t="s">
        <v>1692</v>
      </c>
      <c r="K14" s="52">
        <v>582803919</v>
      </c>
    </row>
    <row r="15" spans="1:12">
      <c r="A15">
        <v>15</v>
      </c>
      <c r="B15" t="s">
        <v>1693</v>
      </c>
      <c r="C15" s="52">
        <v>502308805</v>
      </c>
      <c r="D15" s="52">
        <v>399</v>
      </c>
      <c r="E15" s="52" t="s">
        <v>1694</v>
      </c>
      <c r="F15" s="79">
        <v>45113</v>
      </c>
      <c r="G15" s="52" t="s">
        <v>839</v>
      </c>
      <c r="H15" s="164" t="s">
        <v>1695</v>
      </c>
      <c r="I15" s="5" t="e">
        <v>#N/A</v>
      </c>
      <c r="J15" s="52">
        <f>-K15</f>
        <v>0</v>
      </c>
      <c r="K15" s="52">
        <v>0</v>
      </c>
    </row>
    <row r="16" spans="1:12">
      <c r="A16">
        <v>16</v>
      </c>
      <c r="B16" t="s">
        <v>1696</v>
      </c>
      <c r="C16" s="52">
        <v>527087759</v>
      </c>
      <c r="D16" s="52">
        <v>199</v>
      </c>
      <c r="E16" s="52" t="s">
        <v>674</v>
      </c>
      <c r="F16" s="79">
        <v>45113</v>
      </c>
      <c r="G16" s="52" t="s">
        <v>839</v>
      </c>
      <c r="H16" s="162" t="s">
        <v>1589</v>
      </c>
      <c r="I16" s="5" t="s">
        <v>1559</v>
      </c>
      <c r="J16" s="52" t="s">
        <v>1697</v>
      </c>
      <c r="K16" s="52">
        <v>586898752</v>
      </c>
    </row>
    <row r="17" spans="1:12">
      <c r="A17">
        <v>17</v>
      </c>
      <c r="B17" t="s">
        <v>1698</v>
      </c>
      <c r="C17" s="52">
        <v>567919769</v>
      </c>
      <c r="D17" s="52">
        <v>199</v>
      </c>
      <c r="E17" s="52" t="s">
        <v>20</v>
      </c>
      <c r="F17" s="79">
        <v>45144</v>
      </c>
      <c r="G17" s="52" t="s">
        <v>839</v>
      </c>
      <c r="H17" s="164" t="s">
        <v>1699</v>
      </c>
      <c r="I17" s="5" t="e">
        <v>#N/A</v>
      </c>
      <c r="J17" s="52" t="s">
        <v>1700</v>
      </c>
      <c r="K17" s="165" t="s">
        <v>1701</v>
      </c>
      <c r="L17" s="52">
        <v>1.4705383000000001</v>
      </c>
    </row>
    <row r="18" spans="1:12">
      <c r="A18">
        <v>18</v>
      </c>
      <c r="B18" t="s">
        <v>1702</v>
      </c>
      <c r="C18" s="52">
        <v>554999924</v>
      </c>
      <c r="D18" s="52">
        <v>199</v>
      </c>
      <c r="E18" s="52" t="s">
        <v>674</v>
      </c>
      <c r="F18" s="79">
        <v>45175</v>
      </c>
      <c r="G18" s="52" t="s">
        <v>839</v>
      </c>
      <c r="H18" s="162" t="s">
        <v>1589</v>
      </c>
      <c r="I18" s="5" t="s">
        <v>1559</v>
      </c>
      <c r="J18" s="52" t="s">
        <v>1703</v>
      </c>
      <c r="K18" s="52">
        <v>582484365</v>
      </c>
    </row>
    <row r="19" spans="1:12">
      <c r="A19">
        <v>19</v>
      </c>
      <c r="B19" t="s">
        <v>1704</v>
      </c>
      <c r="C19" s="52">
        <v>568281908</v>
      </c>
      <c r="D19" s="52">
        <v>299</v>
      </c>
      <c r="E19" s="52" t="s">
        <v>674</v>
      </c>
      <c r="F19" s="79">
        <v>45175</v>
      </c>
      <c r="G19" s="52" t="s">
        <v>839</v>
      </c>
      <c r="H19" s="162" t="s">
        <v>1589</v>
      </c>
      <c r="I19" s="5" t="s">
        <v>1559</v>
      </c>
      <c r="J19" s="52" t="s">
        <v>1705</v>
      </c>
      <c r="K19" s="52">
        <v>581960763</v>
      </c>
    </row>
    <row r="20" spans="1:12">
      <c r="A20">
        <v>20</v>
      </c>
      <c r="B20" t="s">
        <v>1706</v>
      </c>
      <c r="C20" s="52">
        <v>554194428</v>
      </c>
      <c r="D20" s="52">
        <v>199</v>
      </c>
      <c r="E20" s="52" t="s">
        <v>112</v>
      </c>
      <c r="F20" s="79">
        <v>45205</v>
      </c>
      <c r="G20" s="52" t="s">
        <v>839</v>
      </c>
      <c r="H20" s="162" t="s">
        <v>1589</v>
      </c>
      <c r="I20" s="5" t="s">
        <v>1559</v>
      </c>
      <c r="J20" s="166" t="s">
        <v>1707</v>
      </c>
      <c r="K20" s="52">
        <v>581629285</v>
      </c>
    </row>
    <row r="21" spans="1:12">
      <c r="A21">
        <v>21</v>
      </c>
      <c r="B21" t="s">
        <v>1708</v>
      </c>
      <c r="C21" s="52">
        <v>505840940</v>
      </c>
      <c r="D21" s="52">
        <v>299</v>
      </c>
      <c r="E21" s="52" t="s">
        <v>112</v>
      </c>
      <c r="F21" s="79">
        <v>45205</v>
      </c>
      <c r="G21" s="160" t="s">
        <v>255</v>
      </c>
      <c r="H21" s="161" t="s">
        <v>1563</v>
      </c>
      <c r="I21" s="5" t="s">
        <v>1559</v>
      </c>
      <c r="J21" s="52" t="s">
        <v>1709</v>
      </c>
      <c r="K21" s="52">
        <v>586237482</v>
      </c>
    </row>
    <row r="22" spans="1:12">
      <c r="A22">
        <v>22</v>
      </c>
      <c r="B22" t="s">
        <v>1710</v>
      </c>
      <c r="C22" s="52">
        <v>543186499</v>
      </c>
      <c r="D22" s="52">
        <v>199</v>
      </c>
      <c r="E22" s="52" t="s">
        <v>674</v>
      </c>
      <c r="F22" s="79">
        <v>45205</v>
      </c>
      <c r="G22" s="52" t="s">
        <v>839</v>
      </c>
      <c r="H22" s="162" t="s">
        <v>1589</v>
      </c>
      <c r="I22" s="5" t="s">
        <v>1559</v>
      </c>
      <c r="J22" s="52" t="s">
        <v>1711</v>
      </c>
      <c r="K22" s="52">
        <v>582385039</v>
      </c>
    </row>
    <row r="23" spans="1:12">
      <c r="A23">
        <v>23</v>
      </c>
      <c r="B23" t="s">
        <v>1712</v>
      </c>
      <c r="C23" s="52">
        <v>564809842</v>
      </c>
      <c r="D23" s="52">
        <v>199</v>
      </c>
      <c r="E23" s="52" t="s">
        <v>1461</v>
      </c>
      <c r="F23" s="79">
        <v>45236</v>
      </c>
      <c r="G23" s="52" t="s">
        <v>839</v>
      </c>
      <c r="H23" s="162" t="s">
        <v>1589</v>
      </c>
      <c r="I23" s="5" t="s">
        <v>1559</v>
      </c>
      <c r="J23" s="52">
        <v>76896362</v>
      </c>
      <c r="K23" s="52">
        <v>1.5616835099999999</v>
      </c>
    </row>
    <row r="24" spans="1:12">
      <c r="A24">
        <v>24</v>
      </c>
      <c r="B24" t="s">
        <v>1713</v>
      </c>
      <c r="C24" s="52">
        <v>566617314</v>
      </c>
      <c r="D24" s="52">
        <v>299</v>
      </c>
      <c r="E24" s="52" t="s">
        <v>674</v>
      </c>
      <c r="F24" s="79">
        <v>45266</v>
      </c>
      <c r="G24" s="160" t="s">
        <v>255</v>
      </c>
      <c r="H24" s="161" t="s">
        <v>1563</v>
      </c>
      <c r="I24" s="5" t="s">
        <v>1559</v>
      </c>
      <c r="J24" s="52" t="s">
        <v>1714</v>
      </c>
      <c r="K24" s="52">
        <v>551693704</v>
      </c>
    </row>
    <row r="25" spans="1:12">
      <c r="A25">
        <v>25</v>
      </c>
      <c r="B25" t="s">
        <v>1715</v>
      </c>
      <c r="C25" s="52">
        <v>559646331</v>
      </c>
      <c r="D25" s="52">
        <v>199</v>
      </c>
      <c r="E25" s="52" t="s">
        <v>1461</v>
      </c>
      <c r="F25" s="52" t="s">
        <v>1716</v>
      </c>
      <c r="G25" s="52" t="s">
        <v>839</v>
      </c>
      <c r="H25" s="162" t="s">
        <v>1589</v>
      </c>
      <c r="I25" s="5" t="s">
        <v>1559</v>
      </c>
      <c r="J25" s="52" t="s">
        <v>1717</v>
      </c>
      <c r="K25" s="52">
        <v>527604252</v>
      </c>
    </row>
    <row r="26" spans="1:12">
      <c r="A26">
        <v>26</v>
      </c>
      <c r="B26" t="s">
        <v>1718</v>
      </c>
      <c r="C26" s="52">
        <v>555437884</v>
      </c>
      <c r="D26" s="52">
        <v>299</v>
      </c>
      <c r="E26" s="52" t="s">
        <v>1461</v>
      </c>
      <c r="F26" s="52" t="s">
        <v>1716</v>
      </c>
      <c r="G26" s="160" t="s">
        <v>255</v>
      </c>
      <c r="H26" s="161" t="s">
        <v>1563</v>
      </c>
      <c r="I26" s="5" t="s">
        <v>1559</v>
      </c>
      <c r="J26" s="52" t="s">
        <v>1719</v>
      </c>
      <c r="K26" s="52">
        <v>582193157</v>
      </c>
    </row>
    <row r="27" spans="1:12">
      <c r="A27">
        <v>27</v>
      </c>
      <c r="B27" t="s">
        <v>1720</v>
      </c>
      <c r="C27" s="52">
        <v>563450373</v>
      </c>
      <c r="D27" s="52">
        <v>199</v>
      </c>
      <c r="E27" s="52" t="s">
        <v>20</v>
      </c>
      <c r="F27" s="79" t="s">
        <v>1721</v>
      </c>
      <c r="G27" s="52" t="s">
        <v>839</v>
      </c>
      <c r="H27" s="162" t="s">
        <v>1589</v>
      </c>
      <c r="I27" s="5" t="s">
        <v>1559</v>
      </c>
      <c r="K27" s="52"/>
      <c r="L27" s="52">
        <v>1.5627056100000001</v>
      </c>
    </row>
    <row r="28" spans="1:12">
      <c r="A28">
        <v>28</v>
      </c>
      <c r="B28" t="s">
        <v>1722</v>
      </c>
      <c r="C28" s="52">
        <v>552720183</v>
      </c>
      <c r="D28" s="52">
        <v>199</v>
      </c>
      <c r="E28" s="52" t="s">
        <v>674</v>
      </c>
      <c r="F28" s="52" t="s">
        <v>1723</v>
      </c>
      <c r="G28" s="52" t="s">
        <v>839</v>
      </c>
      <c r="H28" s="162" t="s">
        <v>1589</v>
      </c>
      <c r="I28" s="5" t="s">
        <v>1559</v>
      </c>
      <c r="J28" s="52">
        <v>1.56436168</v>
      </c>
      <c r="K28" s="52"/>
      <c r="L28" s="52">
        <v>1.56436168</v>
      </c>
    </row>
    <row r="29" spans="1:12">
      <c r="A29">
        <v>29</v>
      </c>
      <c r="B29" t="s">
        <v>1724</v>
      </c>
      <c r="C29" s="52">
        <v>561201941</v>
      </c>
      <c r="D29" s="52">
        <v>199</v>
      </c>
      <c r="E29" s="52" t="s">
        <v>1461</v>
      </c>
      <c r="F29" s="52" t="s">
        <v>1725</v>
      </c>
      <c r="G29" s="52" t="s">
        <v>839</v>
      </c>
      <c r="H29" s="162" t="s">
        <v>1589</v>
      </c>
      <c r="I29" s="5" t="s">
        <v>1559</v>
      </c>
      <c r="K29" s="52"/>
      <c r="L29" s="52">
        <v>1.5643488999999999</v>
      </c>
    </row>
    <row r="30" spans="1:12">
      <c r="A30">
        <v>30</v>
      </c>
      <c r="B30" t="s">
        <v>1726</v>
      </c>
      <c r="C30" s="52">
        <v>544914488</v>
      </c>
      <c r="D30" s="52">
        <v>299</v>
      </c>
      <c r="E30" s="52" t="s">
        <v>1461</v>
      </c>
      <c r="F30" s="52" t="s">
        <v>1725</v>
      </c>
      <c r="G30" s="52" t="s">
        <v>839</v>
      </c>
      <c r="H30" s="162" t="s">
        <v>1589</v>
      </c>
      <c r="I30" s="5" t="s">
        <v>1559</v>
      </c>
      <c r="J30" s="166" t="s">
        <v>1727</v>
      </c>
      <c r="K30" s="52">
        <v>582174159</v>
      </c>
    </row>
    <row r="31" spans="1:12">
      <c r="A31">
        <v>31</v>
      </c>
      <c r="B31" t="s">
        <v>1728</v>
      </c>
      <c r="C31" s="52">
        <v>568900773</v>
      </c>
      <c r="D31" s="52">
        <v>199</v>
      </c>
      <c r="E31" s="52" t="s">
        <v>1461</v>
      </c>
      <c r="F31" s="52" t="s">
        <v>1729</v>
      </c>
      <c r="G31" s="52" t="s">
        <v>839</v>
      </c>
      <c r="H31" s="162" t="s">
        <v>1589</v>
      </c>
      <c r="I31" s="5" t="s">
        <v>1559</v>
      </c>
      <c r="J31" s="52" t="s">
        <v>1730</v>
      </c>
      <c r="K31" s="52">
        <v>582691173</v>
      </c>
    </row>
    <row r="32" spans="1:12">
      <c r="A32">
        <v>32</v>
      </c>
      <c r="B32" t="s">
        <v>1731</v>
      </c>
      <c r="C32" s="52">
        <v>543066662</v>
      </c>
      <c r="D32" s="52">
        <v>199</v>
      </c>
      <c r="E32" s="52" t="s">
        <v>112</v>
      </c>
      <c r="F32" s="52" t="s">
        <v>1732</v>
      </c>
      <c r="G32" s="52" t="s">
        <v>839</v>
      </c>
      <c r="H32" s="162" t="s">
        <v>1589</v>
      </c>
      <c r="I32" s="5" t="s">
        <v>1559</v>
      </c>
      <c r="J32" s="52" t="s">
        <v>1733</v>
      </c>
      <c r="K32" s="52">
        <v>582679425</v>
      </c>
    </row>
    <row r="33" spans="1:11">
      <c r="A33">
        <v>33</v>
      </c>
      <c r="B33" t="s">
        <v>1734</v>
      </c>
      <c r="C33" s="52">
        <v>507896080</v>
      </c>
      <c r="D33" s="52">
        <v>299</v>
      </c>
      <c r="E33" s="52" t="s">
        <v>674</v>
      </c>
      <c r="F33" s="52" t="s">
        <v>1732</v>
      </c>
      <c r="G33" s="52" t="s">
        <v>839</v>
      </c>
      <c r="H33" s="162" t="s">
        <v>1589</v>
      </c>
      <c r="I33" s="5" t="s">
        <v>1559</v>
      </c>
      <c r="J33" s="52" t="s">
        <v>1735</v>
      </c>
      <c r="K33" s="52">
        <v>589127459</v>
      </c>
    </row>
    <row r="34" spans="1:11">
      <c r="A34">
        <v>34</v>
      </c>
      <c r="B34" t="s">
        <v>1736</v>
      </c>
      <c r="C34" s="52">
        <v>544564824</v>
      </c>
      <c r="D34" s="52">
        <v>199</v>
      </c>
      <c r="E34" s="52" t="s">
        <v>1461</v>
      </c>
      <c r="F34" s="52" t="s">
        <v>1732</v>
      </c>
      <c r="G34" s="52" t="s">
        <v>839</v>
      </c>
      <c r="H34" s="162" t="s">
        <v>1589</v>
      </c>
      <c r="I34" s="5" t="s">
        <v>1559</v>
      </c>
      <c r="J34" s="52" t="s">
        <v>1737</v>
      </c>
      <c r="K34" s="52"/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5"/>
  <sheetViews>
    <sheetView zoomScale="93" workbookViewId="0">
      <selection activeCell="B5" sqref="B5"/>
    </sheetView>
  </sheetViews>
  <sheetFormatPr defaultRowHeight="14.5"/>
  <cols>
    <col min="1" max="1" width="9.26953125" bestFit="1" customWidth="1"/>
    <col min="2" max="2" width="48.36328125" bestFit="1" customWidth="1"/>
    <col min="3" max="3" width="10.81640625" bestFit="1" customWidth="1"/>
    <col min="4" max="4" width="6.7265625" bestFit="1" customWidth="1"/>
    <col min="5" max="5" width="12.81640625" bestFit="1" customWidth="1"/>
    <col min="6" max="6" width="11.1796875" bestFit="1" customWidth="1"/>
    <col min="7" max="7" width="17.26953125" bestFit="1" customWidth="1"/>
    <col min="8" max="8" width="27.1796875" bestFit="1" customWidth="1"/>
    <col min="9" max="9" width="17.453125" bestFit="1" customWidth="1"/>
  </cols>
  <sheetData>
    <row r="1" spans="1:10" ht="18.5">
      <c r="A1" s="154" t="s">
        <v>0</v>
      </c>
      <c r="B1" s="155" t="s">
        <v>1</v>
      </c>
      <c r="C1" s="156" t="s">
        <v>1333</v>
      </c>
      <c r="D1" s="157" t="s">
        <v>1882</v>
      </c>
      <c r="E1" s="156" t="s">
        <v>4</v>
      </c>
      <c r="F1" s="156" t="s">
        <v>1668</v>
      </c>
      <c r="G1" s="156" t="s">
        <v>8</v>
      </c>
      <c r="H1" s="157" t="s">
        <v>10</v>
      </c>
      <c r="I1" s="156" t="s">
        <v>1335</v>
      </c>
      <c r="J1" s="159" t="s">
        <v>212</v>
      </c>
    </row>
    <row r="2" spans="1:10">
      <c r="A2" s="153">
        <v>1</v>
      </c>
      <c r="B2" s="174" t="s">
        <v>1883</v>
      </c>
      <c r="C2" s="175">
        <v>504777710</v>
      </c>
      <c r="D2" s="153">
        <v>299</v>
      </c>
      <c r="E2" s="153" t="s">
        <v>20</v>
      </c>
      <c r="F2" s="176">
        <v>45108</v>
      </c>
      <c r="G2" s="153" t="s">
        <v>1589</v>
      </c>
      <c r="H2" s="153">
        <v>1.5655065800000001</v>
      </c>
      <c r="I2" s="153">
        <v>77503412</v>
      </c>
    </row>
    <row r="3" spans="1:10">
      <c r="A3" s="153">
        <v>2</v>
      </c>
      <c r="B3" s="174" t="s">
        <v>1884</v>
      </c>
      <c r="C3" s="175">
        <v>506076645</v>
      </c>
      <c r="D3" s="153">
        <v>199</v>
      </c>
      <c r="E3" s="153" t="s">
        <v>12</v>
      </c>
      <c r="F3" s="176">
        <v>45108</v>
      </c>
      <c r="G3" s="153" t="s">
        <v>1589</v>
      </c>
      <c r="H3" s="153" t="s">
        <v>1885</v>
      </c>
      <c r="I3" s="153"/>
    </row>
    <row r="4" spans="1:10">
      <c r="A4" s="153">
        <v>3</v>
      </c>
      <c r="B4" s="174" t="s">
        <v>1886</v>
      </c>
      <c r="C4" s="175">
        <v>552915737</v>
      </c>
      <c r="D4" s="153">
        <v>199</v>
      </c>
      <c r="E4" s="153" t="s">
        <v>12</v>
      </c>
      <c r="F4" s="176">
        <v>45109</v>
      </c>
      <c r="G4" s="153" t="s">
        <v>1589</v>
      </c>
      <c r="H4" s="153" t="s">
        <v>1887</v>
      </c>
      <c r="I4" s="153"/>
    </row>
    <row r="5" spans="1:10">
      <c r="A5" s="153">
        <v>4</v>
      </c>
      <c r="B5" s="174" t="s">
        <v>1888</v>
      </c>
      <c r="C5" s="175">
        <v>507963737</v>
      </c>
      <c r="D5" s="153">
        <v>299</v>
      </c>
      <c r="E5" s="153" t="s">
        <v>20</v>
      </c>
      <c r="F5" s="176">
        <v>45111</v>
      </c>
      <c r="G5" s="153" t="s">
        <v>1589</v>
      </c>
      <c r="H5" s="153">
        <v>1.56599515</v>
      </c>
      <c r="I5" s="153">
        <v>77582605</v>
      </c>
    </row>
    <row r="6" spans="1:10">
      <c r="A6" s="153">
        <v>5</v>
      </c>
      <c r="B6" s="148" t="s">
        <v>319</v>
      </c>
      <c r="C6" s="153">
        <v>553125705</v>
      </c>
      <c r="D6" s="153" t="s">
        <v>2906</v>
      </c>
      <c r="E6" s="153" t="s">
        <v>12</v>
      </c>
      <c r="F6" s="176">
        <v>45111</v>
      </c>
      <c r="G6" s="153" t="s">
        <v>1589</v>
      </c>
      <c r="H6" s="153" t="s">
        <v>1889</v>
      </c>
      <c r="I6" s="153" t="s">
        <v>1889</v>
      </c>
    </row>
    <row r="7" spans="1:10">
      <c r="A7" s="153">
        <v>6</v>
      </c>
      <c r="B7" s="177" t="s">
        <v>1890</v>
      </c>
      <c r="C7" s="175">
        <v>586530827</v>
      </c>
      <c r="D7" s="175">
        <v>199</v>
      </c>
      <c r="E7" s="175" t="s">
        <v>12</v>
      </c>
      <c r="F7" s="176">
        <v>45111</v>
      </c>
      <c r="G7" s="153" t="s">
        <v>1589</v>
      </c>
      <c r="H7" s="153">
        <v>1.5669975599999999</v>
      </c>
      <c r="I7" s="153"/>
    </row>
    <row r="8" spans="1:10">
      <c r="A8" s="153">
        <v>7</v>
      </c>
      <c r="B8" s="177" t="s">
        <v>1891</v>
      </c>
      <c r="C8" s="175">
        <v>543000975</v>
      </c>
      <c r="D8" s="175">
        <v>199</v>
      </c>
      <c r="E8" s="175" t="s">
        <v>12</v>
      </c>
      <c r="F8" s="176">
        <v>45112</v>
      </c>
      <c r="G8" s="153" t="s">
        <v>1589</v>
      </c>
      <c r="H8" s="153">
        <v>1.5671683599999999</v>
      </c>
      <c r="I8" s="153"/>
    </row>
    <row r="9" spans="1:10">
      <c r="A9" s="153">
        <v>8</v>
      </c>
      <c r="B9" s="177" t="s">
        <v>1892</v>
      </c>
      <c r="C9" s="175">
        <v>561690322</v>
      </c>
      <c r="D9" s="175">
        <v>199</v>
      </c>
      <c r="E9" s="175" t="s">
        <v>12</v>
      </c>
      <c r="F9" s="176">
        <v>45112</v>
      </c>
      <c r="G9" s="153" t="s">
        <v>1589</v>
      </c>
      <c r="H9" s="153">
        <v>1.56725866</v>
      </c>
      <c r="I9" s="153"/>
    </row>
    <row r="10" spans="1:10">
      <c r="A10" s="153">
        <v>9</v>
      </c>
      <c r="B10" s="177" t="s">
        <v>1893</v>
      </c>
      <c r="C10" s="175">
        <v>547381377</v>
      </c>
      <c r="D10" s="175">
        <v>299</v>
      </c>
      <c r="E10" s="175" t="s">
        <v>12</v>
      </c>
      <c r="F10" s="176">
        <v>45115</v>
      </c>
      <c r="G10" s="153" t="s">
        <v>1589</v>
      </c>
      <c r="H10" s="153">
        <v>1.5668823999999999</v>
      </c>
      <c r="I10" s="153"/>
    </row>
    <row r="11" spans="1:10">
      <c r="A11" s="153">
        <v>10</v>
      </c>
      <c r="B11" s="177" t="s">
        <v>1894</v>
      </c>
      <c r="C11" s="175">
        <v>559123680</v>
      </c>
      <c r="D11" s="175">
        <v>299</v>
      </c>
      <c r="E11" s="175" t="s">
        <v>12</v>
      </c>
      <c r="F11" s="176">
        <v>45117</v>
      </c>
      <c r="G11" s="153" t="s">
        <v>1589</v>
      </c>
      <c r="H11" s="153">
        <v>1.5674195099999999</v>
      </c>
      <c r="I11" s="153"/>
    </row>
    <row r="12" spans="1:10">
      <c r="A12" s="153">
        <v>11</v>
      </c>
      <c r="B12" s="177" t="s">
        <v>1895</v>
      </c>
      <c r="C12" s="175">
        <v>558976521</v>
      </c>
      <c r="D12" s="175">
        <v>299</v>
      </c>
      <c r="E12" s="175" t="s">
        <v>12</v>
      </c>
      <c r="F12" s="176">
        <v>45119</v>
      </c>
      <c r="G12" s="153" t="s">
        <v>1589</v>
      </c>
      <c r="H12" s="153">
        <v>1.5674801300000001</v>
      </c>
      <c r="I12" s="153"/>
    </row>
    <row r="13" spans="1:10">
      <c r="A13" s="153">
        <v>12</v>
      </c>
      <c r="B13" s="174" t="s">
        <v>1896</v>
      </c>
      <c r="C13" s="175">
        <v>582829562</v>
      </c>
      <c r="D13" s="153">
        <v>199</v>
      </c>
      <c r="E13" s="153" t="s">
        <v>12</v>
      </c>
      <c r="F13" s="176">
        <v>45122</v>
      </c>
      <c r="G13" s="153" t="s">
        <v>1589</v>
      </c>
      <c r="H13" s="153">
        <v>1.5680852199999999</v>
      </c>
      <c r="I13" s="153"/>
    </row>
    <row r="14" spans="1:10">
      <c r="A14" s="153">
        <v>13</v>
      </c>
      <c r="B14" s="174" t="s">
        <v>1897</v>
      </c>
      <c r="C14" s="175">
        <v>551892535</v>
      </c>
      <c r="D14" s="153">
        <v>199</v>
      </c>
      <c r="E14" s="153" t="s">
        <v>1898</v>
      </c>
      <c r="F14" s="176">
        <v>45125</v>
      </c>
      <c r="G14" s="153" t="s">
        <v>1589</v>
      </c>
      <c r="H14" s="153">
        <v>1.27462393</v>
      </c>
      <c r="I14" s="153"/>
    </row>
    <row r="15" spans="1:10">
      <c r="A15" s="153">
        <v>14</v>
      </c>
      <c r="B15" s="174" t="s">
        <v>1899</v>
      </c>
      <c r="C15" s="175">
        <v>523060397</v>
      </c>
      <c r="D15" s="153">
        <v>299</v>
      </c>
      <c r="E15" s="153" t="s">
        <v>12</v>
      </c>
      <c r="F15" s="176">
        <v>45126</v>
      </c>
      <c r="G15" s="153" t="s">
        <v>1589</v>
      </c>
      <c r="H15" s="175">
        <v>1.5660400999999999</v>
      </c>
      <c r="I15" s="175" t="s">
        <v>1900</v>
      </c>
    </row>
    <row r="16" spans="1:10">
      <c r="A16" s="153">
        <v>15</v>
      </c>
      <c r="B16" s="174" t="s">
        <v>1901</v>
      </c>
      <c r="C16" s="175">
        <v>505982698</v>
      </c>
      <c r="D16" s="153">
        <v>299</v>
      </c>
      <c r="E16" s="153" t="s">
        <v>12</v>
      </c>
      <c r="F16" s="176">
        <v>999999</v>
      </c>
      <c r="G16" s="153" t="s">
        <v>1589</v>
      </c>
      <c r="H16" s="175">
        <v>1.3806388700000001</v>
      </c>
      <c r="I16" s="153"/>
    </row>
    <row r="17" spans="1:9">
      <c r="A17" s="153">
        <v>16</v>
      </c>
      <c r="B17" s="174" t="s">
        <v>1902</v>
      </c>
      <c r="C17" s="175">
        <v>501807647</v>
      </c>
      <c r="D17" s="153">
        <v>299</v>
      </c>
      <c r="E17" s="153" t="s">
        <v>12</v>
      </c>
      <c r="F17" s="176">
        <v>45129</v>
      </c>
      <c r="G17" s="153" t="s">
        <v>1589</v>
      </c>
      <c r="H17" s="175">
        <v>1.56890602</v>
      </c>
      <c r="I17" s="175" t="s">
        <v>1903</v>
      </c>
    </row>
    <row r="18" spans="1:9">
      <c r="A18" s="153">
        <v>17</v>
      </c>
      <c r="B18" s="174" t="s">
        <v>1904</v>
      </c>
      <c r="C18" s="175">
        <v>559611704</v>
      </c>
      <c r="D18" s="153">
        <v>199</v>
      </c>
      <c r="E18" s="153" t="s">
        <v>12</v>
      </c>
      <c r="F18" s="176">
        <v>45129</v>
      </c>
      <c r="G18" s="153" t="s">
        <v>1589</v>
      </c>
      <c r="H18" s="175">
        <v>1.5703578499999999</v>
      </c>
      <c r="I18" s="175" t="s">
        <v>1905</v>
      </c>
    </row>
    <row r="19" spans="1:9">
      <c r="A19" s="153">
        <v>18</v>
      </c>
      <c r="B19" s="174" t="s">
        <v>1906</v>
      </c>
      <c r="C19" s="175">
        <v>565442993</v>
      </c>
      <c r="D19" s="153">
        <v>199</v>
      </c>
      <c r="E19" s="153" t="s">
        <v>12</v>
      </c>
      <c r="F19" s="176">
        <v>45131</v>
      </c>
      <c r="G19" s="153" t="s">
        <v>1589</v>
      </c>
      <c r="H19" s="175">
        <v>1.5707753499999999</v>
      </c>
      <c r="I19" s="175" t="s">
        <v>1907</v>
      </c>
    </row>
    <row r="20" spans="1:9">
      <c r="A20" s="153">
        <v>19</v>
      </c>
      <c r="B20" s="174" t="s">
        <v>1908</v>
      </c>
      <c r="C20" s="175">
        <v>509518846</v>
      </c>
      <c r="D20" s="153">
        <v>199</v>
      </c>
      <c r="E20" s="153" t="s">
        <v>12</v>
      </c>
      <c r="F20" s="176">
        <v>45135</v>
      </c>
      <c r="G20" s="153" t="s">
        <v>1589</v>
      </c>
      <c r="H20" s="175">
        <v>1.5709430200000001</v>
      </c>
      <c r="I20" s="175" t="s">
        <v>1909</v>
      </c>
    </row>
    <row r="21" spans="1:9">
      <c r="A21" s="153">
        <v>20</v>
      </c>
      <c r="B21" s="174" t="s">
        <v>1910</v>
      </c>
      <c r="C21" s="153">
        <v>529521036</v>
      </c>
      <c r="D21" s="153">
        <v>389</v>
      </c>
      <c r="E21" s="153" t="s">
        <v>192</v>
      </c>
      <c r="F21" s="176">
        <v>45108</v>
      </c>
      <c r="G21" s="153" t="s">
        <v>1589</v>
      </c>
      <c r="H21" s="153"/>
      <c r="I21" s="153"/>
    </row>
    <row r="22" spans="1:9">
      <c r="A22" s="153"/>
      <c r="B22" s="148" t="s">
        <v>1911</v>
      </c>
      <c r="C22" s="153"/>
      <c r="D22" s="153"/>
      <c r="E22" s="153"/>
      <c r="F22" s="153"/>
      <c r="G22" s="153"/>
      <c r="H22" s="153"/>
      <c r="I22" s="153"/>
    </row>
    <row r="23" spans="1:9">
      <c r="A23" s="153"/>
      <c r="B23" s="148" t="s">
        <v>1912</v>
      </c>
      <c r="C23" s="153">
        <v>567539947</v>
      </c>
      <c r="D23" s="153">
        <v>199</v>
      </c>
      <c r="E23" s="153" t="s">
        <v>192</v>
      </c>
      <c r="F23" s="178">
        <v>45078</v>
      </c>
      <c r="G23" s="153" t="s">
        <v>1589</v>
      </c>
      <c r="H23" s="153" t="s">
        <v>1913</v>
      </c>
      <c r="I23" s="153"/>
    </row>
    <row r="24" spans="1:9">
      <c r="A24" s="153"/>
      <c r="B24" s="148" t="s">
        <v>1914</v>
      </c>
      <c r="C24" s="153">
        <v>581672028</v>
      </c>
      <c r="D24" s="153">
        <v>199</v>
      </c>
      <c r="E24" s="153" t="s">
        <v>192</v>
      </c>
      <c r="F24" s="178">
        <v>45078</v>
      </c>
      <c r="G24" s="153" t="s">
        <v>1589</v>
      </c>
      <c r="H24" s="153" t="s">
        <v>1915</v>
      </c>
      <c r="I24" s="153"/>
    </row>
    <row r="25" spans="1:9">
      <c r="A25" s="153"/>
      <c r="B25" s="148" t="s">
        <v>1916</v>
      </c>
      <c r="C25" s="153">
        <v>521170041</v>
      </c>
      <c r="D25" s="153">
        <v>199</v>
      </c>
      <c r="E25" s="153" t="s">
        <v>192</v>
      </c>
      <c r="F25" s="178">
        <v>45078</v>
      </c>
      <c r="G25" s="153" t="s">
        <v>1589</v>
      </c>
      <c r="H25" s="153" t="s">
        <v>1917</v>
      </c>
      <c r="I25" s="153"/>
    </row>
  </sheetData>
  <conditionalFormatting sqref="H5">
    <cfRule type="duplicateValues" dxfId="498" priority="24"/>
    <cfRule type="duplicateValues" dxfId="497" priority="25"/>
  </conditionalFormatting>
  <conditionalFormatting sqref="H7:H12">
    <cfRule type="duplicateValues" dxfId="496" priority="22"/>
    <cfRule type="duplicateValues" dxfId="495" priority="23"/>
  </conditionalFormatting>
  <conditionalFormatting sqref="H13">
    <cfRule type="duplicateValues" dxfId="494" priority="20"/>
    <cfRule type="duplicateValues" dxfId="493" priority="21"/>
  </conditionalFormatting>
  <conditionalFormatting sqref="H14">
    <cfRule type="duplicateValues" dxfId="492" priority="18"/>
    <cfRule type="duplicateValues" dxfId="491" priority="19"/>
  </conditionalFormatting>
  <conditionalFormatting sqref="H15">
    <cfRule type="duplicateValues" dxfId="490" priority="15"/>
    <cfRule type="duplicateValues" dxfId="489" priority="17"/>
  </conditionalFormatting>
  <conditionalFormatting sqref="H16">
    <cfRule type="duplicateValues" dxfId="488" priority="13"/>
    <cfRule type="duplicateValues" dxfId="487" priority="14"/>
  </conditionalFormatting>
  <conditionalFormatting sqref="H17">
    <cfRule type="duplicateValues" dxfId="486" priority="10"/>
    <cfRule type="duplicateValues" dxfId="485" priority="12"/>
  </conditionalFormatting>
  <conditionalFormatting sqref="H18">
    <cfRule type="duplicateValues" dxfId="484" priority="7"/>
    <cfRule type="duplicateValues" dxfId="483" priority="9"/>
  </conditionalFormatting>
  <conditionalFormatting sqref="H19">
    <cfRule type="duplicateValues" dxfId="482" priority="4"/>
    <cfRule type="duplicateValues" dxfId="481" priority="6"/>
  </conditionalFormatting>
  <conditionalFormatting sqref="H20">
    <cfRule type="duplicateValues" dxfId="480" priority="1"/>
    <cfRule type="duplicateValues" dxfId="479" priority="3"/>
  </conditionalFormatting>
  <conditionalFormatting sqref="I15">
    <cfRule type="duplicateValues" dxfId="478" priority="16"/>
  </conditionalFormatting>
  <conditionalFormatting sqref="I17">
    <cfRule type="duplicateValues" dxfId="477" priority="11"/>
  </conditionalFormatting>
  <conditionalFormatting sqref="I18">
    <cfRule type="duplicateValues" dxfId="476" priority="8"/>
  </conditionalFormatting>
  <conditionalFormatting sqref="I19">
    <cfRule type="duplicateValues" dxfId="475" priority="5"/>
  </conditionalFormatting>
  <conditionalFormatting sqref="I20">
    <cfRule type="duplicateValues" dxfId="474" priority="2"/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42"/>
  <sheetViews>
    <sheetView zoomScale="78" workbookViewId="0">
      <selection activeCell="I22" sqref="I22"/>
    </sheetView>
  </sheetViews>
  <sheetFormatPr defaultRowHeight="14.5"/>
  <cols>
    <col min="7" max="7" width="14.54296875" bestFit="1" customWidth="1"/>
  </cols>
  <sheetData>
    <row r="1" spans="1:16">
      <c r="A1" s="167" t="s">
        <v>1738</v>
      </c>
      <c r="B1" s="167" t="s">
        <v>1739</v>
      </c>
      <c r="C1" s="168" t="s">
        <v>1740</v>
      </c>
      <c r="D1" s="167" t="s">
        <v>1741</v>
      </c>
      <c r="E1" s="167" t="s">
        <v>1742</v>
      </c>
      <c r="F1" s="167" t="s">
        <v>1743</v>
      </c>
      <c r="G1" s="167" t="s">
        <v>1744</v>
      </c>
      <c r="H1" s="167" t="s">
        <v>1745</v>
      </c>
      <c r="I1" s="167" t="s">
        <v>1746</v>
      </c>
      <c r="J1" s="167" t="s">
        <v>1747</v>
      </c>
      <c r="K1" s="167" t="s">
        <v>1748</v>
      </c>
      <c r="L1" s="168" t="s">
        <v>1749</v>
      </c>
      <c r="M1" s="167" t="s">
        <v>1750</v>
      </c>
      <c r="N1" s="167" t="s">
        <v>1751</v>
      </c>
      <c r="O1" s="167" t="s">
        <v>1752</v>
      </c>
      <c r="P1" s="167" t="s">
        <v>1753</v>
      </c>
    </row>
    <row r="2" spans="1:16">
      <c r="A2" s="169">
        <v>1</v>
      </c>
      <c r="B2" s="169" t="s">
        <v>1754</v>
      </c>
      <c r="C2" s="170">
        <v>45139</v>
      </c>
      <c r="D2" s="169" t="s">
        <v>1755</v>
      </c>
      <c r="E2" s="169">
        <v>1.23326004</v>
      </c>
      <c r="F2" s="169" t="s">
        <v>1756</v>
      </c>
      <c r="G2" s="169">
        <v>501554145</v>
      </c>
      <c r="H2" s="169" t="s">
        <v>1757</v>
      </c>
      <c r="I2" s="169">
        <v>199</v>
      </c>
      <c r="J2" s="169" t="s">
        <v>1758</v>
      </c>
      <c r="K2" s="169" t="s">
        <v>1589</v>
      </c>
      <c r="L2" s="170">
        <v>45140</v>
      </c>
      <c r="M2" s="169">
        <v>0</v>
      </c>
      <c r="N2" s="169">
        <v>0</v>
      </c>
      <c r="O2" s="169"/>
      <c r="P2" s="169"/>
    </row>
    <row r="3" spans="1:16">
      <c r="A3" s="169">
        <v>2</v>
      </c>
      <c r="B3" s="169" t="s">
        <v>1754</v>
      </c>
      <c r="C3" s="170">
        <v>45138</v>
      </c>
      <c r="D3" s="169" t="s">
        <v>1759</v>
      </c>
      <c r="E3" s="169">
        <v>1.5712609799999999</v>
      </c>
      <c r="F3" s="169" t="s">
        <v>1760</v>
      </c>
      <c r="G3" s="169">
        <v>567329492</v>
      </c>
      <c r="H3" s="169" t="s">
        <v>1761</v>
      </c>
      <c r="I3" s="169">
        <v>199</v>
      </c>
      <c r="J3" s="169" t="s">
        <v>1758</v>
      </c>
      <c r="K3" s="169" t="s">
        <v>1589</v>
      </c>
      <c r="L3" s="170">
        <v>45139</v>
      </c>
      <c r="M3" s="169">
        <v>0</v>
      </c>
      <c r="N3" s="169">
        <v>0</v>
      </c>
      <c r="O3" s="169"/>
      <c r="P3" s="169"/>
    </row>
    <row r="4" spans="1:16">
      <c r="A4" s="169">
        <v>3</v>
      </c>
      <c r="B4" s="169" t="s">
        <v>1754</v>
      </c>
      <c r="C4" s="170">
        <v>45138</v>
      </c>
      <c r="D4" s="169" t="s">
        <v>1762</v>
      </c>
      <c r="E4" s="169">
        <v>1.25443463</v>
      </c>
      <c r="F4" s="169" t="s">
        <v>1763</v>
      </c>
      <c r="G4" s="169">
        <v>568083368</v>
      </c>
      <c r="H4" s="169" t="s">
        <v>1764</v>
      </c>
      <c r="I4" s="169">
        <v>199</v>
      </c>
      <c r="J4" s="169" t="s">
        <v>1758</v>
      </c>
      <c r="K4" s="169" t="s">
        <v>1589</v>
      </c>
      <c r="L4" s="170">
        <v>45139</v>
      </c>
      <c r="M4" s="169">
        <v>0</v>
      </c>
      <c r="N4" s="169" t="s">
        <v>1585</v>
      </c>
      <c r="O4" s="169"/>
      <c r="P4" s="169"/>
    </row>
    <row r="5" spans="1:16">
      <c r="A5" s="169">
        <v>4</v>
      </c>
      <c r="B5" s="169" t="s">
        <v>1754</v>
      </c>
      <c r="C5" s="170">
        <v>45140</v>
      </c>
      <c r="D5" s="169" t="s">
        <v>1765</v>
      </c>
      <c r="E5" s="169">
        <v>1.57108998</v>
      </c>
      <c r="F5" s="169" t="s">
        <v>1766</v>
      </c>
      <c r="G5" s="169">
        <v>562249840</v>
      </c>
      <c r="H5" s="169" t="s">
        <v>1767</v>
      </c>
      <c r="I5" s="169">
        <v>199</v>
      </c>
      <c r="J5" s="169" t="s">
        <v>1758</v>
      </c>
      <c r="K5" s="169" t="s">
        <v>1563</v>
      </c>
      <c r="L5" s="170" t="e">
        <v>#N/A</v>
      </c>
      <c r="M5" s="169" t="e">
        <v>#N/A</v>
      </c>
      <c r="N5" s="169">
        <v>0</v>
      </c>
      <c r="O5" s="169" t="s">
        <v>1768</v>
      </c>
      <c r="P5" s="169"/>
    </row>
    <row r="6" spans="1:16">
      <c r="A6" s="169">
        <v>5</v>
      </c>
      <c r="B6" s="169" t="s">
        <v>1754</v>
      </c>
      <c r="C6" s="170">
        <v>45140</v>
      </c>
      <c r="D6" s="169" t="s">
        <v>1769</v>
      </c>
      <c r="E6" s="169">
        <v>1.57175435</v>
      </c>
      <c r="F6" s="169" t="s">
        <v>1770</v>
      </c>
      <c r="G6" s="169">
        <v>582502965</v>
      </c>
      <c r="H6" s="169" t="s">
        <v>1771</v>
      </c>
      <c r="I6" s="169">
        <v>199</v>
      </c>
      <c r="J6" s="169" t="s">
        <v>1758</v>
      </c>
      <c r="K6" s="169" t="s">
        <v>1589</v>
      </c>
      <c r="L6" s="170">
        <v>45141</v>
      </c>
      <c r="M6" s="169">
        <v>0</v>
      </c>
      <c r="N6" s="169">
        <v>0</v>
      </c>
      <c r="O6" s="169"/>
      <c r="P6" s="169"/>
    </row>
    <row r="7" spans="1:16">
      <c r="A7" s="169">
        <v>6</v>
      </c>
      <c r="B7" s="169" t="s">
        <v>1754</v>
      </c>
      <c r="C7" s="170">
        <v>45141</v>
      </c>
      <c r="D7" s="169" t="s">
        <v>1772</v>
      </c>
      <c r="E7" s="169">
        <v>1.57196286</v>
      </c>
      <c r="F7" s="169" t="s">
        <v>1773</v>
      </c>
      <c r="G7" s="169">
        <v>562274024</v>
      </c>
      <c r="H7" s="169" t="s">
        <v>1774</v>
      </c>
      <c r="I7" s="169">
        <v>199</v>
      </c>
      <c r="J7" s="169" t="s">
        <v>1758</v>
      </c>
      <c r="K7" s="169" t="s">
        <v>1589</v>
      </c>
      <c r="L7" s="170">
        <v>45142</v>
      </c>
      <c r="M7" s="169">
        <v>0</v>
      </c>
      <c r="N7" s="169">
        <v>0</v>
      </c>
      <c r="O7" s="169"/>
      <c r="P7" s="169"/>
    </row>
    <row r="8" spans="1:16">
      <c r="A8" s="169">
        <v>7</v>
      </c>
      <c r="B8" s="169" t="s">
        <v>1754</v>
      </c>
      <c r="C8" s="170">
        <v>45142</v>
      </c>
      <c r="D8" s="169" t="s">
        <v>1775</v>
      </c>
      <c r="E8" s="169">
        <v>1.57212482</v>
      </c>
      <c r="F8" s="169" t="s">
        <v>1776</v>
      </c>
      <c r="G8" s="169">
        <v>22</v>
      </c>
      <c r="H8" s="169" t="s">
        <v>1777</v>
      </c>
      <c r="I8" s="169">
        <v>199</v>
      </c>
      <c r="J8" s="169" t="s">
        <v>1758</v>
      </c>
      <c r="K8" s="169" t="s">
        <v>1589</v>
      </c>
      <c r="L8" s="170">
        <v>45143</v>
      </c>
      <c r="M8" s="169">
        <v>0</v>
      </c>
      <c r="N8" s="169">
        <v>0</v>
      </c>
      <c r="O8" s="169"/>
      <c r="P8" s="169"/>
    </row>
    <row r="9" spans="1:16">
      <c r="A9" s="169">
        <v>8</v>
      </c>
      <c r="B9" s="169" t="s">
        <v>1754</v>
      </c>
      <c r="C9" s="170">
        <v>45142</v>
      </c>
      <c r="D9" s="169" t="s">
        <v>1778</v>
      </c>
      <c r="E9" s="169">
        <v>1.39586484</v>
      </c>
      <c r="F9" s="169" t="s">
        <v>1779</v>
      </c>
      <c r="G9" s="169">
        <v>527550013</v>
      </c>
      <c r="H9" s="169" t="s">
        <v>1780</v>
      </c>
      <c r="I9" s="169">
        <v>199</v>
      </c>
      <c r="J9" s="169" t="s">
        <v>1758</v>
      </c>
      <c r="K9" s="169" t="s">
        <v>1589</v>
      </c>
      <c r="L9" s="170">
        <v>45143</v>
      </c>
      <c r="M9" s="169">
        <v>0</v>
      </c>
      <c r="N9" s="169">
        <v>0</v>
      </c>
      <c r="O9" s="169"/>
      <c r="P9" s="169"/>
    </row>
    <row r="10" spans="1:16">
      <c r="A10" s="169">
        <v>9</v>
      </c>
      <c r="B10" s="169" t="s">
        <v>1754</v>
      </c>
      <c r="C10" s="170">
        <v>45144</v>
      </c>
      <c r="D10" s="169" t="s">
        <v>1781</v>
      </c>
      <c r="E10" s="169">
        <v>1.57254095</v>
      </c>
      <c r="F10" s="169" t="s">
        <v>1782</v>
      </c>
      <c r="G10" s="169">
        <v>557230978</v>
      </c>
      <c r="H10" s="169" t="s">
        <v>1783</v>
      </c>
      <c r="I10" s="169">
        <v>199</v>
      </c>
      <c r="J10" s="169" t="s">
        <v>1758</v>
      </c>
      <c r="K10" s="169" t="s">
        <v>1589</v>
      </c>
      <c r="L10" s="170">
        <v>45145</v>
      </c>
      <c r="M10" s="169">
        <v>0</v>
      </c>
      <c r="N10" s="169" t="s">
        <v>1585</v>
      </c>
      <c r="O10" s="169"/>
      <c r="P10" s="169"/>
    </row>
    <row r="11" spans="1:16">
      <c r="A11" s="169">
        <v>10</v>
      </c>
      <c r="B11" s="169" t="s">
        <v>1754</v>
      </c>
      <c r="C11" s="170">
        <v>45145</v>
      </c>
      <c r="D11" s="169" t="s">
        <v>1784</v>
      </c>
      <c r="E11" s="169">
        <v>1.4583269000000001</v>
      </c>
      <c r="F11" s="169" t="s">
        <v>1785</v>
      </c>
      <c r="G11" s="169">
        <v>588330193</v>
      </c>
      <c r="H11" s="169" t="s">
        <v>1786</v>
      </c>
      <c r="I11" s="169">
        <v>199</v>
      </c>
      <c r="J11" s="169" t="s">
        <v>1758</v>
      </c>
      <c r="K11" s="169" t="s">
        <v>1589</v>
      </c>
      <c r="L11" s="170">
        <v>45146</v>
      </c>
      <c r="M11" s="169">
        <v>0</v>
      </c>
      <c r="N11" s="169" t="s">
        <v>1585</v>
      </c>
      <c r="O11" s="169"/>
      <c r="P11" s="169"/>
    </row>
    <row r="12" spans="1:16">
      <c r="A12" s="169">
        <v>11</v>
      </c>
      <c r="B12" s="169" t="s">
        <v>1754</v>
      </c>
      <c r="C12" s="170">
        <v>45145</v>
      </c>
      <c r="D12" s="169" t="s">
        <v>1787</v>
      </c>
      <c r="E12" s="169">
        <v>1.5728103200000001</v>
      </c>
      <c r="F12" s="169" t="s">
        <v>1788</v>
      </c>
      <c r="G12" s="169">
        <v>527686420</v>
      </c>
      <c r="H12" s="169" t="s">
        <v>1789</v>
      </c>
      <c r="I12" s="169">
        <v>199</v>
      </c>
      <c r="J12" s="169" t="s">
        <v>1790</v>
      </c>
      <c r="K12" s="169" t="s">
        <v>1563</v>
      </c>
      <c r="L12" s="170" t="e">
        <v>#N/A</v>
      </c>
      <c r="M12" s="169" t="e">
        <v>#N/A</v>
      </c>
      <c r="N12" s="169" t="s">
        <v>1565</v>
      </c>
      <c r="O12" s="169"/>
      <c r="P12" s="169"/>
    </row>
    <row r="13" spans="1:16">
      <c r="A13" s="169">
        <v>12</v>
      </c>
      <c r="B13" s="169" t="s">
        <v>1754</v>
      </c>
      <c r="C13" s="170">
        <v>45146</v>
      </c>
      <c r="D13" s="169" t="s">
        <v>1791</v>
      </c>
      <c r="E13" s="169">
        <v>1.5660380700000001</v>
      </c>
      <c r="F13" s="169" t="s">
        <v>1792</v>
      </c>
      <c r="G13" s="169">
        <v>557429880</v>
      </c>
      <c r="H13" s="169" t="s">
        <v>1793</v>
      </c>
      <c r="I13" s="169">
        <v>299</v>
      </c>
      <c r="J13" s="169" t="s">
        <v>1758</v>
      </c>
      <c r="K13" s="169" t="s">
        <v>1563</v>
      </c>
      <c r="L13" s="170" t="e">
        <v>#N/A</v>
      </c>
      <c r="M13" s="169" t="e">
        <v>#N/A</v>
      </c>
      <c r="N13" s="169">
        <v>0</v>
      </c>
      <c r="O13" s="169" t="s">
        <v>1794</v>
      </c>
      <c r="P13" s="169"/>
    </row>
    <row r="14" spans="1:16">
      <c r="A14" s="169">
        <v>13</v>
      </c>
      <c r="B14" s="169" t="s">
        <v>1754</v>
      </c>
      <c r="C14" s="170">
        <v>45147</v>
      </c>
      <c r="D14" s="169" t="s">
        <v>1795</v>
      </c>
      <c r="E14" s="170"/>
      <c r="F14" s="169" t="s">
        <v>1796</v>
      </c>
      <c r="G14" s="169">
        <v>557560557</v>
      </c>
      <c r="H14" s="169" t="s">
        <v>1797</v>
      </c>
      <c r="I14" s="169">
        <v>199</v>
      </c>
      <c r="J14" s="169" t="s">
        <v>1758</v>
      </c>
      <c r="K14" s="169" t="s">
        <v>1563</v>
      </c>
      <c r="L14" s="170" t="e">
        <v>#N/A</v>
      </c>
      <c r="M14" s="169" t="e">
        <v>#N/A</v>
      </c>
      <c r="N14" s="169">
        <v>0</v>
      </c>
      <c r="O14" s="169" t="s">
        <v>1768</v>
      </c>
      <c r="P14" s="169"/>
    </row>
    <row r="15" spans="1:16">
      <c r="A15" s="169">
        <v>14</v>
      </c>
      <c r="B15" s="169" t="s">
        <v>1754</v>
      </c>
      <c r="C15" s="170">
        <v>45147</v>
      </c>
      <c r="D15" s="169" t="s">
        <v>1798</v>
      </c>
      <c r="E15" s="169">
        <v>1.5731606</v>
      </c>
      <c r="F15" s="169" t="s">
        <v>1799</v>
      </c>
      <c r="G15" s="169">
        <v>529048910</v>
      </c>
      <c r="H15" s="169" t="s">
        <v>1800</v>
      </c>
      <c r="I15" s="169">
        <v>199</v>
      </c>
      <c r="J15" s="169" t="s">
        <v>1758</v>
      </c>
      <c r="K15" s="169" t="s">
        <v>1589</v>
      </c>
      <c r="L15" s="170">
        <v>45153</v>
      </c>
      <c r="M15" s="169">
        <v>0</v>
      </c>
      <c r="N15" s="169">
        <v>0</v>
      </c>
      <c r="O15" s="169" t="s">
        <v>1801</v>
      </c>
      <c r="P15" s="169"/>
    </row>
    <row r="16" spans="1:16">
      <c r="A16" s="169">
        <v>15</v>
      </c>
      <c r="B16" s="169" t="s">
        <v>1754</v>
      </c>
      <c r="C16" s="170">
        <v>45148</v>
      </c>
      <c r="D16" s="169" t="s">
        <v>1802</v>
      </c>
      <c r="E16" s="169">
        <v>1.5733796799999999</v>
      </c>
      <c r="F16" s="169" t="s">
        <v>1803</v>
      </c>
      <c r="G16" s="169">
        <v>524267729</v>
      </c>
      <c r="H16" s="169" t="s">
        <v>1804</v>
      </c>
      <c r="I16" s="169">
        <v>199</v>
      </c>
      <c r="J16" s="169" t="s">
        <v>1758</v>
      </c>
      <c r="K16" s="169" t="s">
        <v>1589</v>
      </c>
      <c r="L16" s="170">
        <v>45149</v>
      </c>
      <c r="M16" s="169">
        <v>0</v>
      </c>
      <c r="N16" s="169">
        <v>0</v>
      </c>
      <c r="O16" s="169"/>
      <c r="P16" s="169"/>
    </row>
    <row r="17" spans="1:16">
      <c r="A17" s="169">
        <v>16</v>
      </c>
      <c r="B17" s="169" t="s">
        <v>1754</v>
      </c>
      <c r="C17" s="170">
        <v>45153</v>
      </c>
      <c r="D17" s="169" t="s">
        <v>1805</v>
      </c>
      <c r="E17" s="169">
        <v>1.5735018700000001</v>
      </c>
      <c r="F17" s="169" t="s">
        <v>1806</v>
      </c>
      <c r="G17" s="169">
        <v>553780707</v>
      </c>
      <c r="H17" s="169" t="s">
        <v>1807</v>
      </c>
      <c r="I17" s="169">
        <v>199</v>
      </c>
      <c r="J17" s="169" t="s">
        <v>1758</v>
      </c>
      <c r="K17" s="169" t="s">
        <v>1589</v>
      </c>
      <c r="L17" s="170">
        <v>45149</v>
      </c>
      <c r="M17" s="169">
        <v>0</v>
      </c>
      <c r="N17" s="169">
        <v>0</v>
      </c>
      <c r="O17" s="169"/>
      <c r="P17" s="169"/>
    </row>
    <row r="18" spans="1:16">
      <c r="A18" s="169">
        <v>17</v>
      </c>
      <c r="B18" s="169" t="s">
        <v>1754</v>
      </c>
      <c r="C18" s="170">
        <v>45150</v>
      </c>
      <c r="D18" s="169" t="s">
        <v>1808</v>
      </c>
      <c r="E18" s="169">
        <v>1.5737564399999999</v>
      </c>
      <c r="F18" s="169" t="s">
        <v>1809</v>
      </c>
      <c r="G18" s="169">
        <v>505758749</v>
      </c>
      <c r="H18" s="169" t="s">
        <v>1810</v>
      </c>
      <c r="I18" s="169">
        <v>199</v>
      </c>
      <c r="J18" s="169" t="s">
        <v>1758</v>
      </c>
      <c r="K18" s="169" t="s">
        <v>1563</v>
      </c>
      <c r="L18" s="170" t="e">
        <v>#N/A</v>
      </c>
      <c r="M18" s="169" t="e">
        <v>#N/A</v>
      </c>
      <c r="N18" s="169">
        <v>0</v>
      </c>
      <c r="O18" s="169" t="s">
        <v>1811</v>
      </c>
      <c r="P18" s="169"/>
    </row>
    <row r="19" spans="1:16">
      <c r="A19" s="169">
        <v>18</v>
      </c>
      <c r="B19" s="169" t="s">
        <v>1754</v>
      </c>
      <c r="C19" s="170">
        <v>45150</v>
      </c>
      <c r="D19" s="169" t="s">
        <v>1812</v>
      </c>
      <c r="E19" s="169">
        <v>1.4790681800000001</v>
      </c>
      <c r="F19" s="169" t="s">
        <v>1813</v>
      </c>
      <c r="G19" s="169">
        <v>505083866</v>
      </c>
      <c r="H19" s="169" t="s">
        <v>1814</v>
      </c>
      <c r="I19" s="169">
        <v>299</v>
      </c>
      <c r="J19" s="169" t="s">
        <v>1758</v>
      </c>
      <c r="K19" s="169" t="s">
        <v>1589</v>
      </c>
      <c r="L19" s="170">
        <v>45151</v>
      </c>
      <c r="M19" s="169">
        <v>0</v>
      </c>
      <c r="N19" s="169" t="s">
        <v>1585</v>
      </c>
      <c r="O19" s="169"/>
      <c r="P19" s="169"/>
    </row>
    <row r="20" spans="1:16">
      <c r="A20" s="169">
        <v>19</v>
      </c>
      <c r="B20" s="169" t="s">
        <v>1754</v>
      </c>
      <c r="C20" s="170">
        <v>45152</v>
      </c>
      <c r="D20" s="169" t="s">
        <v>1815</v>
      </c>
      <c r="E20" s="169">
        <v>1.5741766699999999</v>
      </c>
      <c r="F20" s="169" t="s">
        <v>1816</v>
      </c>
      <c r="G20" s="169">
        <v>505758749</v>
      </c>
      <c r="H20" s="169" t="s">
        <v>1810</v>
      </c>
      <c r="I20" s="169">
        <v>199</v>
      </c>
      <c r="J20" s="169" t="s">
        <v>1758</v>
      </c>
      <c r="K20" s="169" t="s">
        <v>1589</v>
      </c>
      <c r="L20" s="170">
        <v>45153</v>
      </c>
      <c r="M20" s="169">
        <v>0</v>
      </c>
      <c r="N20" s="169">
        <v>0</v>
      </c>
      <c r="O20" s="169"/>
      <c r="P20" s="169"/>
    </row>
    <row r="21" spans="1:16">
      <c r="A21" s="169">
        <v>20</v>
      </c>
      <c r="B21" s="169" t="s">
        <v>1754</v>
      </c>
      <c r="C21" s="170">
        <v>45153</v>
      </c>
      <c r="D21" s="169" t="s">
        <v>1817</v>
      </c>
      <c r="E21" s="169">
        <v>1.5743384</v>
      </c>
      <c r="F21" s="169" t="s">
        <v>1818</v>
      </c>
      <c r="G21" s="169">
        <v>501031530</v>
      </c>
      <c r="H21" s="169" t="s">
        <v>1819</v>
      </c>
      <c r="I21" s="169">
        <v>199</v>
      </c>
      <c r="J21" s="169" t="s">
        <v>1758</v>
      </c>
      <c r="K21" s="169" t="s">
        <v>1589</v>
      </c>
      <c r="L21" s="170">
        <v>45153</v>
      </c>
      <c r="M21" s="169">
        <v>0</v>
      </c>
      <c r="N21" s="169">
        <v>0</v>
      </c>
      <c r="O21" s="169"/>
      <c r="P21" s="169"/>
    </row>
    <row r="22" spans="1:16">
      <c r="A22" s="169">
        <v>21</v>
      </c>
      <c r="B22" s="169" t="s">
        <v>1754</v>
      </c>
      <c r="C22" s="170">
        <v>45155</v>
      </c>
      <c r="D22" s="169" t="s">
        <v>1820</v>
      </c>
      <c r="E22" s="170"/>
      <c r="F22" s="169" t="s">
        <v>1821</v>
      </c>
      <c r="G22" s="169">
        <v>509615149</v>
      </c>
      <c r="H22" s="169" t="s">
        <v>1822</v>
      </c>
      <c r="I22" s="169">
        <v>199</v>
      </c>
      <c r="J22" s="169" t="s">
        <v>1758</v>
      </c>
      <c r="K22" s="169" t="s">
        <v>1563</v>
      </c>
      <c r="L22" s="170" t="e">
        <v>#N/A</v>
      </c>
      <c r="M22" s="169" t="e">
        <v>#N/A</v>
      </c>
      <c r="N22" s="169">
        <v>0</v>
      </c>
      <c r="O22" s="169" t="s">
        <v>1823</v>
      </c>
      <c r="P22" s="169"/>
    </row>
    <row r="23" spans="1:16">
      <c r="A23" s="169">
        <v>22</v>
      </c>
      <c r="B23" s="169" t="s">
        <v>1754</v>
      </c>
      <c r="C23" s="170">
        <v>45155</v>
      </c>
      <c r="D23" s="169" t="s">
        <v>1824</v>
      </c>
      <c r="E23" s="169">
        <v>1.5663523800000001</v>
      </c>
      <c r="F23" s="169" t="s">
        <v>1825</v>
      </c>
      <c r="G23" s="169">
        <v>554842786</v>
      </c>
      <c r="H23" s="169" t="s">
        <v>1826</v>
      </c>
      <c r="I23" s="169">
        <v>199</v>
      </c>
      <c r="J23" s="169" t="s">
        <v>1758</v>
      </c>
      <c r="K23" s="169" t="s">
        <v>1589</v>
      </c>
      <c r="L23" s="170">
        <v>45156</v>
      </c>
      <c r="M23" s="169">
        <v>0</v>
      </c>
      <c r="N23" s="169">
        <v>0</v>
      </c>
      <c r="O23" s="169" t="s">
        <v>1827</v>
      </c>
      <c r="P23" s="169"/>
    </row>
    <row r="24" spans="1:16">
      <c r="A24" s="169">
        <v>23</v>
      </c>
      <c r="B24" s="169" t="s">
        <v>1754</v>
      </c>
      <c r="C24" s="170">
        <v>45158</v>
      </c>
      <c r="D24" s="169" t="s">
        <v>1828</v>
      </c>
      <c r="E24" s="169">
        <v>1.4894373999999999</v>
      </c>
      <c r="F24" s="169" t="s">
        <v>1829</v>
      </c>
      <c r="G24" s="169">
        <v>557560557</v>
      </c>
      <c r="H24" s="169" t="s">
        <v>1797</v>
      </c>
      <c r="I24" s="169">
        <v>199</v>
      </c>
      <c r="J24" s="169" t="s">
        <v>1758</v>
      </c>
      <c r="K24" s="169" t="s">
        <v>1589</v>
      </c>
      <c r="L24" s="170">
        <v>45162</v>
      </c>
      <c r="M24" s="169">
        <v>0</v>
      </c>
      <c r="N24" s="169">
        <v>0</v>
      </c>
      <c r="O24" s="169"/>
      <c r="P24" s="169"/>
    </row>
    <row r="25" spans="1:16">
      <c r="A25" s="169">
        <v>24</v>
      </c>
      <c r="B25" s="169" t="s">
        <v>1754</v>
      </c>
      <c r="C25" s="170">
        <v>45159</v>
      </c>
      <c r="D25" s="169" t="s">
        <v>1830</v>
      </c>
      <c r="E25" s="169">
        <v>1.57539202</v>
      </c>
      <c r="F25" s="169" t="s">
        <v>1831</v>
      </c>
      <c r="G25" s="169">
        <v>508629666</v>
      </c>
      <c r="H25" s="169" t="s">
        <v>1832</v>
      </c>
      <c r="I25" s="169">
        <v>199</v>
      </c>
      <c r="J25" s="169" t="s">
        <v>1758</v>
      </c>
      <c r="K25" s="169" t="s">
        <v>1589</v>
      </c>
      <c r="L25" s="170">
        <v>45159</v>
      </c>
      <c r="M25" s="169">
        <v>0</v>
      </c>
      <c r="N25" s="169">
        <v>0</v>
      </c>
      <c r="O25" s="169"/>
      <c r="P25" s="169"/>
    </row>
    <row r="26" spans="1:16">
      <c r="A26" s="169">
        <v>25</v>
      </c>
      <c r="B26" s="169" t="s">
        <v>1754</v>
      </c>
      <c r="C26" s="170">
        <v>45159</v>
      </c>
      <c r="D26" s="169" t="s">
        <v>1833</v>
      </c>
      <c r="E26" s="169">
        <v>1.5755316100000001</v>
      </c>
      <c r="F26" s="169" t="s">
        <v>1834</v>
      </c>
      <c r="G26" s="169">
        <v>585838958</v>
      </c>
      <c r="H26" s="169" t="s">
        <v>1835</v>
      </c>
      <c r="I26" s="169">
        <v>199</v>
      </c>
      <c r="J26" s="169" t="s">
        <v>1758</v>
      </c>
      <c r="K26" s="169" t="s">
        <v>1563</v>
      </c>
      <c r="L26" s="170" t="e">
        <v>#N/A</v>
      </c>
      <c r="M26" s="169" t="e">
        <v>#N/A</v>
      </c>
      <c r="N26" s="169">
        <v>0</v>
      </c>
      <c r="O26" s="169" t="s">
        <v>481</v>
      </c>
      <c r="P26" s="169" t="s">
        <v>1836</v>
      </c>
    </row>
    <row r="27" spans="1:16">
      <c r="A27" s="169">
        <v>26</v>
      </c>
      <c r="B27" s="169" t="s">
        <v>1754</v>
      </c>
      <c r="C27" s="170">
        <v>45160</v>
      </c>
      <c r="D27" s="169" t="s">
        <v>1837</v>
      </c>
      <c r="E27" s="169">
        <v>1.5753202799999999</v>
      </c>
      <c r="F27" s="169" t="s">
        <v>1838</v>
      </c>
      <c r="G27" s="169">
        <v>551248855</v>
      </c>
      <c r="H27" s="169" t="s">
        <v>1839</v>
      </c>
      <c r="I27" s="169">
        <v>199</v>
      </c>
      <c r="J27" s="169" t="s">
        <v>1758</v>
      </c>
      <c r="K27" s="169" t="s">
        <v>1563</v>
      </c>
      <c r="L27" s="170" t="e">
        <v>#N/A</v>
      </c>
      <c r="M27" s="169" t="e">
        <v>#N/A</v>
      </c>
      <c r="N27" s="169">
        <v>0</v>
      </c>
      <c r="O27" s="169" t="s">
        <v>255</v>
      </c>
      <c r="P27" s="169"/>
    </row>
    <row r="28" spans="1:16">
      <c r="A28" s="169">
        <v>27</v>
      </c>
      <c r="B28" s="169" t="s">
        <v>1754</v>
      </c>
      <c r="C28" s="170">
        <v>45161</v>
      </c>
      <c r="D28" s="169" t="s">
        <v>1840</v>
      </c>
      <c r="E28" s="169">
        <v>1.57579533</v>
      </c>
      <c r="F28" s="169" t="s">
        <v>1841</v>
      </c>
      <c r="G28" s="169">
        <v>553228942</v>
      </c>
      <c r="H28" s="169" t="s">
        <v>1842</v>
      </c>
      <c r="I28" s="169">
        <v>199</v>
      </c>
      <c r="J28" s="169" t="s">
        <v>1758</v>
      </c>
      <c r="K28" s="169" t="s">
        <v>1589</v>
      </c>
      <c r="L28" s="170">
        <v>45163</v>
      </c>
      <c r="M28" s="169">
        <v>0</v>
      </c>
      <c r="N28" s="169">
        <v>0</v>
      </c>
      <c r="O28" s="169" t="s">
        <v>1827</v>
      </c>
      <c r="P28" s="169"/>
    </row>
    <row r="29" spans="1:16">
      <c r="A29" s="169">
        <v>28</v>
      </c>
      <c r="B29" s="169" t="s">
        <v>1754</v>
      </c>
      <c r="C29" s="170">
        <v>45165</v>
      </c>
      <c r="D29" s="169" t="s">
        <v>1843</v>
      </c>
      <c r="E29" s="169">
        <v>1.57654497</v>
      </c>
      <c r="F29" s="169" t="s">
        <v>1844</v>
      </c>
      <c r="G29" s="169">
        <v>547485677</v>
      </c>
      <c r="H29" s="169" t="s">
        <v>1611</v>
      </c>
      <c r="I29" s="169">
        <v>199</v>
      </c>
      <c r="J29" s="169" t="s">
        <v>1758</v>
      </c>
      <c r="K29" s="169" t="s">
        <v>254</v>
      </c>
      <c r="L29" s="170" t="e">
        <v>#N/A</v>
      </c>
      <c r="M29" s="169" t="e">
        <v>#N/A</v>
      </c>
      <c r="N29" s="169"/>
      <c r="O29" s="169" t="s">
        <v>1845</v>
      </c>
      <c r="P29" s="169"/>
    </row>
    <row r="30" spans="1:16">
      <c r="A30" s="169">
        <v>29</v>
      </c>
      <c r="B30" s="169" t="s">
        <v>1754</v>
      </c>
      <c r="C30" s="170">
        <v>45165</v>
      </c>
      <c r="D30" s="169" t="s">
        <v>1846</v>
      </c>
      <c r="E30" s="169">
        <v>1.46404332</v>
      </c>
      <c r="F30" s="169" t="s">
        <v>1821</v>
      </c>
      <c r="G30" s="169">
        <v>509615149</v>
      </c>
      <c r="H30" s="169" t="s">
        <v>1822</v>
      </c>
      <c r="I30" s="169">
        <v>199</v>
      </c>
      <c r="J30" s="169" t="s">
        <v>1758</v>
      </c>
      <c r="K30" s="169" t="s">
        <v>1589</v>
      </c>
      <c r="L30" s="170">
        <v>45168</v>
      </c>
      <c r="M30" s="169">
        <v>0</v>
      </c>
      <c r="N30" s="169"/>
      <c r="O30" s="169" t="s">
        <v>1847</v>
      </c>
      <c r="P30" s="169"/>
    </row>
    <row r="31" spans="1:16">
      <c r="A31" s="169">
        <v>30</v>
      </c>
      <c r="B31" s="169" t="s">
        <v>1754</v>
      </c>
      <c r="C31" s="170">
        <v>45164</v>
      </c>
      <c r="D31" s="169" t="s">
        <v>1848</v>
      </c>
      <c r="E31" s="169">
        <v>1.3355626700000001</v>
      </c>
      <c r="F31" s="169" t="s">
        <v>1849</v>
      </c>
      <c r="G31" s="169">
        <v>502646902</v>
      </c>
      <c r="H31" s="169" t="s">
        <v>1850</v>
      </c>
      <c r="I31" s="169">
        <v>199</v>
      </c>
      <c r="J31" s="169" t="s">
        <v>1758</v>
      </c>
      <c r="K31" s="169" t="s">
        <v>1589</v>
      </c>
      <c r="L31" s="170">
        <v>45165</v>
      </c>
      <c r="M31" s="169">
        <v>0</v>
      </c>
      <c r="N31" s="169"/>
      <c r="O31" s="169"/>
      <c r="P31" s="169"/>
    </row>
    <row r="32" spans="1:16">
      <c r="A32" s="169">
        <v>31</v>
      </c>
      <c r="B32" s="169" t="s">
        <v>1754</v>
      </c>
      <c r="C32" s="170">
        <v>45164</v>
      </c>
      <c r="D32" s="169" t="s">
        <v>1851</v>
      </c>
      <c r="E32" s="169">
        <v>1.57635013</v>
      </c>
      <c r="F32" s="169" t="s">
        <v>1852</v>
      </c>
      <c r="G32" s="169">
        <v>586251563</v>
      </c>
      <c r="H32" s="169" t="s">
        <v>1853</v>
      </c>
      <c r="I32" s="169">
        <v>199</v>
      </c>
      <c r="J32" s="169" t="s">
        <v>1758</v>
      </c>
      <c r="K32" s="169" t="s">
        <v>1589</v>
      </c>
      <c r="L32" s="170">
        <v>45165</v>
      </c>
      <c r="M32" s="169">
        <v>0</v>
      </c>
      <c r="N32" s="169"/>
      <c r="O32" s="169"/>
      <c r="P32" s="169"/>
    </row>
    <row r="33" spans="1:16">
      <c r="A33" s="169">
        <v>32</v>
      </c>
      <c r="B33" s="169" t="s">
        <v>1754</v>
      </c>
      <c r="C33" s="170">
        <v>45164</v>
      </c>
      <c r="D33" s="169" t="s">
        <v>1854</v>
      </c>
      <c r="E33" s="169">
        <v>1.40234733</v>
      </c>
      <c r="F33" s="169" t="s">
        <v>1855</v>
      </c>
      <c r="G33" s="169">
        <v>551720500</v>
      </c>
      <c r="H33" s="169" t="s">
        <v>1856</v>
      </c>
      <c r="I33" s="169">
        <v>199</v>
      </c>
      <c r="J33" s="169"/>
      <c r="K33" s="169" t="s">
        <v>1563</v>
      </c>
      <c r="L33" s="170" t="e">
        <v>#N/A</v>
      </c>
      <c r="M33" s="169" t="e">
        <v>#N/A</v>
      </c>
      <c r="N33" s="169"/>
      <c r="O33" s="169" t="s">
        <v>255</v>
      </c>
      <c r="P33" s="169"/>
    </row>
    <row r="34" spans="1:16">
      <c r="A34" s="169">
        <v>33</v>
      </c>
      <c r="B34" s="169" t="s">
        <v>1754</v>
      </c>
      <c r="C34" s="170">
        <v>45164</v>
      </c>
      <c r="D34" s="169" t="s">
        <v>1857</v>
      </c>
      <c r="E34" s="169">
        <v>1.3334813400000001</v>
      </c>
      <c r="F34" s="169" t="s">
        <v>1858</v>
      </c>
      <c r="G34" s="169">
        <v>561121792</v>
      </c>
      <c r="H34" s="169" t="s">
        <v>1859</v>
      </c>
      <c r="I34" s="169">
        <v>199</v>
      </c>
      <c r="J34" s="169" t="s">
        <v>1758</v>
      </c>
      <c r="K34" s="169" t="s">
        <v>1589</v>
      </c>
      <c r="L34" s="170">
        <v>45165</v>
      </c>
      <c r="M34" s="169">
        <v>0</v>
      </c>
      <c r="N34" s="169"/>
      <c r="O34" s="169"/>
      <c r="P34" s="169"/>
    </row>
    <row r="35" spans="1:16">
      <c r="A35" s="169">
        <v>34</v>
      </c>
      <c r="B35" s="169" t="s">
        <v>1754</v>
      </c>
      <c r="C35" s="170">
        <v>45164</v>
      </c>
      <c r="D35" s="169" t="s">
        <v>1860</v>
      </c>
      <c r="E35" s="169">
        <v>1.4831429300000001</v>
      </c>
      <c r="F35" s="169" t="s">
        <v>1861</v>
      </c>
      <c r="G35" s="169" t="s">
        <v>1862</v>
      </c>
      <c r="H35" s="169" t="s">
        <v>1863</v>
      </c>
      <c r="I35" s="169">
        <v>299</v>
      </c>
      <c r="J35" s="169"/>
      <c r="K35" s="169" t="s">
        <v>254</v>
      </c>
      <c r="L35" s="170" t="e">
        <v>#N/A</v>
      </c>
      <c r="M35" s="169">
        <v>0</v>
      </c>
      <c r="N35" s="169"/>
      <c r="O35" s="169" t="s">
        <v>1845</v>
      </c>
      <c r="P35" s="169"/>
    </row>
    <row r="36" spans="1:16">
      <c r="A36" s="169">
        <v>35</v>
      </c>
      <c r="B36" s="169" t="s">
        <v>1754</v>
      </c>
      <c r="C36" s="170">
        <v>45164</v>
      </c>
      <c r="D36" s="169" t="s">
        <v>1864</v>
      </c>
      <c r="E36" s="169">
        <v>1.57641619</v>
      </c>
      <c r="F36" s="169" t="s">
        <v>1865</v>
      </c>
      <c r="G36" s="169">
        <v>542819783</v>
      </c>
      <c r="H36" s="169" t="s">
        <v>1611</v>
      </c>
      <c r="I36" s="169">
        <v>299</v>
      </c>
      <c r="J36" s="169"/>
      <c r="K36" s="169" t="s">
        <v>1563</v>
      </c>
      <c r="L36" s="170" t="e">
        <v>#N/A</v>
      </c>
      <c r="M36" s="169" t="e">
        <v>#N/A</v>
      </c>
      <c r="N36" s="169"/>
      <c r="O36" s="169" t="s">
        <v>255</v>
      </c>
      <c r="P36" s="169"/>
    </row>
    <row r="37" spans="1:16">
      <c r="A37" s="169">
        <v>36</v>
      </c>
      <c r="B37" s="169" t="s">
        <v>1754</v>
      </c>
      <c r="C37" s="170">
        <v>45162</v>
      </c>
      <c r="D37" s="169" t="s">
        <v>1866</v>
      </c>
      <c r="E37" s="169">
        <v>1.5439616700000001</v>
      </c>
      <c r="F37" s="169" t="s">
        <v>1867</v>
      </c>
      <c r="G37" s="169">
        <v>552411932</v>
      </c>
      <c r="H37" s="169" t="s">
        <v>1868</v>
      </c>
      <c r="I37" s="169">
        <v>199</v>
      </c>
      <c r="J37" s="169" t="s">
        <v>1790</v>
      </c>
      <c r="K37" s="169" t="s">
        <v>1563</v>
      </c>
      <c r="L37" s="170" t="e">
        <v>#N/A</v>
      </c>
      <c r="M37" s="169" t="e">
        <v>#N/A</v>
      </c>
      <c r="N37" s="169"/>
      <c r="O37" s="169" t="s">
        <v>255</v>
      </c>
      <c r="P37" s="169"/>
    </row>
    <row r="38" spans="1:16">
      <c r="A38" s="169">
        <v>37</v>
      </c>
      <c r="B38" s="169" t="s">
        <v>1754</v>
      </c>
      <c r="C38" s="170">
        <v>45167</v>
      </c>
      <c r="D38" s="169" t="s">
        <v>1869</v>
      </c>
      <c r="E38" s="169">
        <v>1.5768843299999999</v>
      </c>
      <c r="F38" s="169" t="s">
        <v>1870</v>
      </c>
      <c r="G38" s="169">
        <v>564814828</v>
      </c>
      <c r="H38" s="169" t="s">
        <v>1871</v>
      </c>
      <c r="I38" s="169">
        <v>199</v>
      </c>
      <c r="J38" s="169" t="s">
        <v>1758</v>
      </c>
      <c r="K38" s="169" t="s">
        <v>1589</v>
      </c>
      <c r="L38" s="170">
        <v>45168</v>
      </c>
      <c r="M38" s="169">
        <v>0</v>
      </c>
      <c r="N38" s="169"/>
      <c r="O38" s="169"/>
      <c r="P38" s="169"/>
    </row>
    <row r="39" spans="1:16">
      <c r="A39" s="169">
        <v>38</v>
      </c>
      <c r="B39" s="169" t="s">
        <v>1754</v>
      </c>
      <c r="C39" s="170">
        <v>45167</v>
      </c>
      <c r="D39" s="169" t="s">
        <v>1872</v>
      </c>
      <c r="E39" s="169">
        <v>1.3804734700000001</v>
      </c>
      <c r="F39" s="169" t="s">
        <v>1873</v>
      </c>
      <c r="G39" s="169">
        <v>563543527</v>
      </c>
      <c r="H39" s="169" t="s">
        <v>1874</v>
      </c>
      <c r="I39" s="169">
        <v>199</v>
      </c>
      <c r="J39" s="169" t="s">
        <v>1790</v>
      </c>
      <c r="K39" s="169" t="s">
        <v>254</v>
      </c>
      <c r="L39" s="170" t="e">
        <v>#N/A</v>
      </c>
      <c r="M39" s="169">
        <v>0</v>
      </c>
      <c r="N39" s="169"/>
      <c r="O39" s="169"/>
      <c r="P39" s="169"/>
    </row>
    <row r="40" spans="1:16">
      <c r="A40" s="169">
        <v>39</v>
      </c>
      <c r="B40" s="169" t="s">
        <v>1754</v>
      </c>
      <c r="C40" s="170">
        <v>45167</v>
      </c>
      <c r="D40" s="169" t="s">
        <v>1875</v>
      </c>
      <c r="E40" s="169">
        <v>1.5769661100000001</v>
      </c>
      <c r="F40" s="169" t="s">
        <v>1876</v>
      </c>
      <c r="G40" s="169">
        <v>555233784</v>
      </c>
      <c r="H40" s="169" t="s">
        <v>1611</v>
      </c>
      <c r="I40" s="169">
        <v>199</v>
      </c>
      <c r="J40" s="169" t="s">
        <v>1790</v>
      </c>
      <c r="K40" s="169" t="s">
        <v>254</v>
      </c>
      <c r="L40" s="170" t="e">
        <v>#N/A</v>
      </c>
      <c r="M40" s="169" t="e">
        <v>#N/A</v>
      </c>
      <c r="N40" s="169"/>
      <c r="O40" s="169"/>
      <c r="P40" s="169"/>
    </row>
    <row r="41" spans="1:16">
      <c r="A41" s="169">
        <v>40</v>
      </c>
      <c r="B41" s="169" t="s">
        <v>1754</v>
      </c>
      <c r="C41" s="170">
        <v>45167</v>
      </c>
      <c r="D41" s="169" t="s">
        <v>1877</v>
      </c>
      <c r="E41" s="169">
        <v>1.5769741900000001</v>
      </c>
      <c r="F41" s="169" t="s">
        <v>1878</v>
      </c>
      <c r="G41" s="169">
        <v>509762554</v>
      </c>
      <c r="H41" s="169" t="s">
        <v>1611</v>
      </c>
      <c r="I41" s="169">
        <v>199</v>
      </c>
      <c r="J41" s="169" t="s">
        <v>1790</v>
      </c>
      <c r="K41" s="169" t="s">
        <v>254</v>
      </c>
      <c r="L41" s="170" t="e">
        <v>#N/A</v>
      </c>
      <c r="M41" s="169" t="e">
        <v>#N/A</v>
      </c>
      <c r="N41" s="169"/>
      <c r="O41" s="169"/>
      <c r="P41" s="169"/>
    </row>
    <row r="42" spans="1:16" ht="48">
      <c r="A42" s="169">
        <v>41</v>
      </c>
      <c r="B42" s="169" t="s">
        <v>1754</v>
      </c>
      <c r="C42" s="171">
        <v>45168</v>
      </c>
      <c r="D42" s="172" t="s">
        <v>1879</v>
      </c>
      <c r="E42" s="169">
        <v>1.4831429300000001</v>
      </c>
      <c r="F42" s="172" t="s">
        <v>1880</v>
      </c>
      <c r="G42" s="172">
        <v>588641824</v>
      </c>
      <c r="H42" s="172" t="s">
        <v>1881</v>
      </c>
      <c r="I42" s="169">
        <v>299</v>
      </c>
      <c r="J42" s="169" t="s">
        <v>1758</v>
      </c>
      <c r="K42" s="169" t="s">
        <v>1589</v>
      </c>
      <c r="L42" s="170">
        <v>45169</v>
      </c>
      <c r="M42" s="169">
        <v>0</v>
      </c>
      <c r="N42" s="173"/>
      <c r="O42" s="173"/>
      <c r="P42" s="173"/>
    </row>
  </sheetData>
  <conditionalFormatting sqref="E1:E42">
    <cfRule type="duplicateValues" dxfId="473" priority="1"/>
  </conditionalFormatting>
  <conditionalFormatting sqref="E3:E4 D1:D41 M1:M42">
    <cfRule type="duplicateValues" dxfId="472" priority="6"/>
  </conditionalFormatting>
  <conditionalFormatting sqref="E23:E42 E15:E21 L1:L42 E1:E13">
    <cfRule type="duplicateValues" dxfId="471" priority="3"/>
    <cfRule type="duplicateValues" dxfId="470" priority="4"/>
  </conditionalFormatting>
  <conditionalFormatting sqref="F1:G42">
    <cfRule type="duplicateValues" dxfId="469" priority="2"/>
  </conditionalFormatting>
  <conditionalFormatting sqref="L1 E1">
    <cfRule type="duplicateValues" dxfId="468" priority="7"/>
  </conditionalFormatting>
  <conditionalFormatting sqref="M1:M42 D1:D41">
    <cfRule type="duplicateValues" dxfId="467" priority="5"/>
  </conditionalFormatting>
  <conditionalFormatting sqref="M1:M42 D1:D42">
    <cfRule type="duplicateValues" dxfId="466" priority="8"/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L36"/>
  <sheetViews>
    <sheetView topLeftCell="B13" zoomScale="111" workbookViewId="0">
      <selection activeCell="F12" sqref="F12"/>
    </sheetView>
  </sheetViews>
  <sheetFormatPr defaultRowHeight="14.5"/>
  <cols>
    <col min="5" max="5" width="50.54296875" bestFit="1" customWidth="1"/>
    <col min="6" max="6" width="12.54296875" customWidth="1"/>
  </cols>
  <sheetData>
    <row r="1" spans="1:12">
      <c r="A1" s="179" t="s">
        <v>1739</v>
      </c>
      <c r="B1" s="180" t="s">
        <v>1740</v>
      </c>
      <c r="C1" s="179" t="s">
        <v>1918</v>
      </c>
      <c r="D1" s="179" t="s">
        <v>1919</v>
      </c>
      <c r="E1" s="179" t="s">
        <v>1743</v>
      </c>
      <c r="F1" s="179" t="s">
        <v>1744</v>
      </c>
      <c r="G1" s="179" t="s">
        <v>1745</v>
      </c>
      <c r="H1" s="179" t="s">
        <v>1746</v>
      </c>
      <c r="I1" s="179" t="s">
        <v>1747</v>
      </c>
      <c r="J1" s="181" t="s">
        <v>1748</v>
      </c>
      <c r="K1" s="180" t="s">
        <v>1920</v>
      </c>
      <c r="L1" s="179" t="s">
        <v>1753</v>
      </c>
    </row>
    <row r="2" spans="1:12">
      <c r="A2" s="173" t="s">
        <v>1754</v>
      </c>
      <c r="B2" s="171">
        <v>45170</v>
      </c>
      <c r="C2" s="173">
        <v>1.50152701</v>
      </c>
      <c r="D2" s="173" t="s">
        <v>1921</v>
      </c>
      <c r="E2" s="173" t="s">
        <v>1922</v>
      </c>
      <c r="F2" s="173">
        <v>544711799</v>
      </c>
      <c r="G2" s="173" t="s">
        <v>1881</v>
      </c>
      <c r="H2" s="173">
        <v>199</v>
      </c>
      <c r="I2" s="173" t="s">
        <v>1758</v>
      </c>
      <c r="J2" s="182" t="s">
        <v>1563</v>
      </c>
      <c r="K2" s="171" t="e">
        <v>#N/A</v>
      </c>
      <c r="L2" s="173" t="s">
        <v>1794</v>
      </c>
    </row>
    <row r="3" spans="1:12">
      <c r="A3" s="173" t="s">
        <v>1754</v>
      </c>
      <c r="B3" s="171">
        <v>45171</v>
      </c>
      <c r="C3" s="173">
        <v>1.57764159</v>
      </c>
      <c r="D3" s="173" t="s">
        <v>1923</v>
      </c>
      <c r="E3" s="173" t="s">
        <v>1924</v>
      </c>
      <c r="F3" s="173">
        <v>502525611</v>
      </c>
      <c r="G3" s="173" t="s">
        <v>1881</v>
      </c>
      <c r="H3" s="173">
        <v>299</v>
      </c>
      <c r="I3" s="173" t="s">
        <v>1758</v>
      </c>
      <c r="J3" s="182" t="s">
        <v>1563</v>
      </c>
      <c r="K3" s="171" t="e">
        <v>#N/A</v>
      </c>
      <c r="L3" s="173" t="s">
        <v>1794</v>
      </c>
    </row>
    <row r="4" spans="1:12">
      <c r="A4" s="173" t="s">
        <v>1754</v>
      </c>
      <c r="B4" s="171">
        <v>45171</v>
      </c>
      <c r="C4" s="173">
        <v>1.57769168</v>
      </c>
      <c r="D4" s="173" t="s">
        <v>1925</v>
      </c>
      <c r="E4" s="173" t="s">
        <v>1926</v>
      </c>
      <c r="F4" s="173">
        <v>544711799</v>
      </c>
      <c r="G4" s="173" t="s">
        <v>1881</v>
      </c>
      <c r="H4" s="173">
        <v>199</v>
      </c>
      <c r="I4" s="173" t="s">
        <v>1758</v>
      </c>
      <c r="J4" s="183" t="s">
        <v>1589</v>
      </c>
      <c r="K4" s="171">
        <v>45172</v>
      </c>
      <c r="L4" s="173"/>
    </row>
    <row r="5" spans="1:12">
      <c r="A5" s="173" t="s">
        <v>1754</v>
      </c>
      <c r="B5" s="171">
        <v>45172</v>
      </c>
      <c r="C5" s="173">
        <v>1.52294364</v>
      </c>
      <c r="D5" s="173" t="s">
        <v>1927</v>
      </c>
      <c r="E5" s="173" t="s">
        <v>1928</v>
      </c>
      <c r="F5" s="173">
        <v>559020548</v>
      </c>
      <c r="G5" s="173" t="s">
        <v>1611</v>
      </c>
      <c r="H5" s="173">
        <v>199</v>
      </c>
      <c r="I5" s="173" t="s">
        <v>1758</v>
      </c>
      <c r="J5" s="183" t="s">
        <v>1589</v>
      </c>
      <c r="K5" s="171">
        <v>45173</v>
      </c>
      <c r="L5" s="173"/>
    </row>
    <row r="6" spans="1:12">
      <c r="A6" s="173" t="s">
        <v>1754</v>
      </c>
      <c r="B6" s="171">
        <v>45173</v>
      </c>
      <c r="C6" s="173">
        <v>1.4857130199999999</v>
      </c>
      <c r="D6" s="173" t="s">
        <v>1929</v>
      </c>
      <c r="E6" s="173" t="s">
        <v>1930</v>
      </c>
      <c r="F6" s="173">
        <v>556881463</v>
      </c>
      <c r="G6" s="173" t="s">
        <v>1611</v>
      </c>
      <c r="H6" s="173">
        <v>199</v>
      </c>
      <c r="I6" s="173" t="s">
        <v>1758</v>
      </c>
      <c r="J6" s="183" t="s">
        <v>1589</v>
      </c>
      <c r="K6" s="171">
        <v>45198</v>
      </c>
      <c r="L6" s="173"/>
    </row>
    <row r="7" spans="1:12">
      <c r="A7" s="173" t="s">
        <v>1754</v>
      </c>
      <c r="B7" s="171">
        <v>45173</v>
      </c>
      <c r="C7" s="173">
        <v>1.57413669</v>
      </c>
      <c r="D7" s="173" t="s">
        <v>1931</v>
      </c>
      <c r="E7" s="173" t="s">
        <v>1932</v>
      </c>
      <c r="F7" s="173">
        <v>556695914</v>
      </c>
      <c r="G7" s="173" t="s">
        <v>1933</v>
      </c>
      <c r="H7" s="173">
        <v>299</v>
      </c>
      <c r="I7" s="173" t="s">
        <v>1758</v>
      </c>
      <c r="J7" s="183" t="s">
        <v>1589</v>
      </c>
      <c r="K7" s="171">
        <v>45175</v>
      </c>
      <c r="L7" s="173" t="s">
        <v>1827</v>
      </c>
    </row>
    <row r="8" spans="1:12">
      <c r="A8" s="173" t="s">
        <v>1754</v>
      </c>
      <c r="B8" s="171">
        <v>45173</v>
      </c>
      <c r="C8" s="173"/>
      <c r="D8" s="173" t="s">
        <v>1934</v>
      </c>
      <c r="E8" s="173" t="s">
        <v>1935</v>
      </c>
      <c r="F8" s="173">
        <v>554615917</v>
      </c>
      <c r="G8" s="173" t="s">
        <v>1611</v>
      </c>
      <c r="H8" s="173">
        <v>199</v>
      </c>
      <c r="I8" s="173" t="s">
        <v>1758</v>
      </c>
      <c r="J8" s="182" t="s">
        <v>1563</v>
      </c>
      <c r="K8" s="171" t="e">
        <v>#N/A</v>
      </c>
      <c r="L8" s="173" t="s">
        <v>1936</v>
      </c>
    </row>
    <row r="9" spans="1:12">
      <c r="A9" s="173" t="s">
        <v>1754</v>
      </c>
      <c r="B9" s="171">
        <v>45167</v>
      </c>
      <c r="C9" s="173">
        <v>1.3804734700000001</v>
      </c>
      <c r="D9" s="173" t="s">
        <v>1872</v>
      </c>
      <c r="E9" s="173" t="s">
        <v>1873</v>
      </c>
      <c r="F9" s="173">
        <v>563543527</v>
      </c>
      <c r="G9" s="173" t="s">
        <v>1874</v>
      </c>
      <c r="H9" s="173">
        <v>199</v>
      </c>
      <c r="I9" s="173" t="s">
        <v>1758</v>
      </c>
      <c r="J9" s="183" t="s">
        <v>1589</v>
      </c>
      <c r="K9" s="171">
        <v>45170</v>
      </c>
      <c r="L9" s="173"/>
    </row>
    <row r="10" spans="1:12">
      <c r="A10" s="173" t="s">
        <v>1754</v>
      </c>
      <c r="B10" s="171">
        <v>45145</v>
      </c>
      <c r="C10" s="173"/>
      <c r="D10" s="173" t="s">
        <v>1937</v>
      </c>
      <c r="E10" s="173" t="s">
        <v>1938</v>
      </c>
      <c r="F10" s="173">
        <v>567168188</v>
      </c>
      <c r="G10" s="173" t="s">
        <v>1939</v>
      </c>
      <c r="H10" s="173">
        <v>299</v>
      </c>
      <c r="I10" s="173" t="s">
        <v>1758</v>
      </c>
      <c r="J10" s="182" t="s">
        <v>1563</v>
      </c>
      <c r="K10" s="171" t="e">
        <v>#N/A</v>
      </c>
      <c r="L10" s="173" t="s">
        <v>1940</v>
      </c>
    </row>
    <row r="11" spans="1:12">
      <c r="A11" s="173" t="s">
        <v>1754</v>
      </c>
      <c r="B11" s="171">
        <v>45145</v>
      </c>
      <c r="C11" s="173">
        <v>1.46339862</v>
      </c>
      <c r="D11" s="173" t="s">
        <v>1941</v>
      </c>
      <c r="E11" s="173" t="s">
        <v>1942</v>
      </c>
      <c r="F11" s="173">
        <v>568142889</v>
      </c>
      <c r="G11" s="173" t="s">
        <v>1881</v>
      </c>
      <c r="H11" s="173">
        <v>299</v>
      </c>
      <c r="I11" s="173" t="s">
        <v>1758</v>
      </c>
      <c r="J11" s="183" t="s">
        <v>1589</v>
      </c>
      <c r="K11" s="171">
        <v>45177</v>
      </c>
      <c r="L11" s="173"/>
    </row>
    <row r="12" spans="1:12">
      <c r="A12" s="173" t="s">
        <v>1754</v>
      </c>
      <c r="B12" s="171">
        <v>45177</v>
      </c>
      <c r="C12" s="173"/>
      <c r="D12" s="173" t="s">
        <v>1943</v>
      </c>
      <c r="E12" s="173" t="s">
        <v>1944</v>
      </c>
      <c r="F12" s="173">
        <v>506906643</v>
      </c>
      <c r="G12" s="173" t="s">
        <v>1945</v>
      </c>
      <c r="H12" s="173">
        <v>199</v>
      </c>
      <c r="I12" s="173" t="s">
        <v>1790</v>
      </c>
      <c r="J12" s="182" t="s">
        <v>1563</v>
      </c>
      <c r="K12" s="171" t="e">
        <v>#N/A</v>
      </c>
      <c r="L12" s="173" t="s">
        <v>1940</v>
      </c>
    </row>
    <row r="13" spans="1:12">
      <c r="A13" s="173" t="s">
        <v>1754</v>
      </c>
      <c r="B13" s="171">
        <v>45177</v>
      </c>
      <c r="C13" s="173">
        <v>1.5716910399999999</v>
      </c>
      <c r="D13" s="173" t="s">
        <v>1946</v>
      </c>
      <c r="E13" s="173" t="s">
        <v>1947</v>
      </c>
      <c r="F13" s="173">
        <v>555950271</v>
      </c>
      <c r="G13" s="173" t="s">
        <v>1611</v>
      </c>
      <c r="H13" s="173">
        <v>299</v>
      </c>
      <c r="I13" s="173" t="s">
        <v>1758</v>
      </c>
      <c r="J13" s="182" t="s">
        <v>1563</v>
      </c>
      <c r="K13" s="171" t="e">
        <v>#N/A</v>
      </c>
      <c r="L13" s="173" t="s">
        <v>1794</v>
      </c>
    </row>
    <row r="14" spans="1:12">
      <c r="A14" s="173" t="s">
        <v>1754</v>
      </c>
      <c r="B14" s="171">
        <v>45177</v>
      </c>
      <c r="C14" s="173">
        <v>1.2761686299999999</v>
      </c>
      <c r="D14" s="173" t="s">
        <v>1948</v>
      </c>
      <c r="E14" s="173" t="s">
        <v>1949</v>
      </c>
      <c r="F14" s="173">
        <v>557646226</v>
      </c>
      <c r="G14" s="173" t="s">
        <v>1950</v>
      </c>
      <c r="H14" s="173">
        <v>199</v>
      </c>
      <c r="I14" s="173" t="s">
        <v>1758</v>
      </c>
      <c r="J14" s="183" t="s">
        <v>1589</v>
      </c>
      <c r="K14" s="171">
        <v>45178</v>
      </c>
      <c r="L14" s="173"/>
    </row>
    <row r="15" spans="1:12">
      <c r="A15" s="173" t="s">
        <v>1754</v>
      </c>
      <c r="B15" s="171">
        <v>45178</v>
      </c>
      <c r="C15" s="173">
        <v>1.3304335199999999</v>
      </c>
      <c r="D15" s="173" t="s">
        <v>1951</v>
      </c>
      <c r="E15" s="173" t="s">
        <v>1952</v>
      </c>
      <c r="F15" s="173">
        <v>544914488</v>
      </c>
      <c r="G15" s="173" t="s">
        <v>1953</v>
      </c>
      <c r="H15" s="173">
        <v>299</v>
      </c>
      <c r="I15" s="173" t="s">
        <v>1758</v>
      </c>
      <c r="J15" s="183" t="s">
        <v>1589</v>
      </c>
      <c r="K15" s="171">
        <v>45179</v>
      </c>
      <c r="L15" s="173"/>
    </row>
    <row r="16" spans="1:12">
      <c r="A16" s="173" t="s">
        <v>1754</v>
      </c>
      <c r="B16" s="171">
        <v>45178</v>
      </c>
      <c r="C16" s="173">
        <v>1.5792226599999999</v>
      </c>
      <c r="D16" s="173" t="s">
        <v>1954</v>
      </c>
      <c r="E16" s="173" t="s">
        <v>1955</v>
      </c>
      <c r="F16" s="173">
        <v>566770033</v>
      </c>
      <c r="G16" s="173" t="s">
        <v>1956</v>
      </c>
      <c r="H16" s="173">
        <v>199</v>
      </c>
      <c r="I16" s="173" t="s">
        <v>1758</v>
      </c>
      <c r="J16" s="183" t="s">
        <v>1589</v>
      </c>
      <c r="K16" s="171">
        <v>45179</v>
      </c>
      <c r="L16" s="173"/>
    </row>
    <row r="17" spans="1:12">
      <c r="A17" s="173" t="s">
        <v>1754</v>
      </c>
      <c r="B17" s="171">
        <v>45179</v>
      </c>
      <c r="C17" s="173">
        <v>1.2203905900000001</v>
      </c>
      <c r="D17" s="173" t="s">
        <v>1957</v>
      </c>
      <c r="E17" s="173" t="s">
        <v>1958</v>
      </c>
      <c r="F17" s="173">
        <v>506499932</v>
      </c>
      <c r="G17" s="173" t="s">
        <v>1959</v>
      </c>
      <c r="H17" s="173">
        <v>199</v>
      </c>
      <c r="I17" s="173" t="s">
        <v>1758</v>
      </c>
      <c r="J17" s="183" t="s">
        <v>1589</v>
      </c>
      <c r="K17" s="171">
        <v>45181</v>
      </c>
      <c r="L17" s="173"/>
    </row>
    <row r="18" spans="1:12">
      <c r="A18" s="173" t="s">
        <v>1754</v>
      </c>
      <c r="B18" s="171">
        <v>45180</v>
      </c>
      <c r="C18" s="173">
        <v>1.5746901900000001</v>
      </c>
      <c r="D18" s="173" t="s">
        <v>1960</v>
      </c>
      <c r="E18" s="173" t="s">
        <v>1961</v>
      </c>
      <c r="F18" s="173">
        <v>567168188</v>
      </c>
      <c r="G18" s="173" t="s">
        <v>1939</v>
      </c>
      <c r="H18" s="173">
        <v>299</v>
      </c>
      <c r="I18" s="173" t="s">
        <v>1758</v>
      </c>
      <c r="J18" s="183" t="s">
        <v>1589</v>
      </c>
      <c r="K18" s="171">
        <v>45181</v>
      </c>
      <c r="L18" s="173"/>
    </row>
    <row r="19" spans="1:12">
      <c r="A19" s="173" t="s">
        <v>1754</v>
      </c>
      <c r="B19" s="171">
        <v>45180</v>
      </c>
      <c r="C19" s="173">
        <v>1.5797399299999999</v>
      </c>
      <c r="D19" s="173" t="s">
        <v>1962</v>
      </c>
      <c r="E19" s="173" t="s">
        <v>1963</v>
      </c>
      <c r="F19" s="173">
        <v>567722105</v>
      </c>
      <c r="G19" s="173" t="s">
        <v>1611</v>
      </c>
      <c r="H19" s="173">
        <v>199</v>
      </c>
      <c r="I19" s="173" t="s">
        <v>1758</v>
      </c>
      <c r="J19" s="183" t="s">
        <v>1589</v>
      </c>
      <c r="K19" s="171">
        <v>45182</v>
      </c>
      <c r="L19" s="173"/>
    </row>
    <row r="20" spans="1:12">
      <c r="A20" s="173" t="s">
        <v>1754</v>
      </c>
      <c r="B20" s="171">
        <v>45181</v>
      </c>
      <c r="C20" s="173">
        <v>1.5799375</v>
      </c>
      <c r="D20" s="173" t="s">
        <v>1964</v>
      </c>
      <c r="E20" s="173" t="s">
        <v>1965</v>
      </c>
      <c r="F20" s="173">
        <v>552104429</v>
      </c>
      <c r="G20" s="173" t="s">
        <v>1874</v>
      </c>
      <c r="H20" s="173">
        <v>199</v>
      </c>
      <c r="I20" s="173" t="s">
        <v>1758</v>
      </c>
      <c r="J20" s="183" t="s">
        <v>1589</v>
      </c>
      <c r="K20" s="171">
        <v>45184</v>
      </c>
      <c r="L20" s="173"/>
    </row>
    <row r="21" spans="1:12">
      <c r="A21" s="173" t="s">
        <v>1754</v>
      </c>
      <c r="B21" s="171">
        <v>45181</v>
      </c>
      <c r="C21" s="173"/>
      <c r="D21" s="173" t="s">
        <v>1966</v>
      </c>
      <c r="E21" s="173" t="s">
        <v>1967</v>
      </c>
      <c r="F21" s="173">
        <v>50649932</v>
      </c>
      <c r="G21" s="173" t="s">
        <v>1968</v>
      </c>
      <c r="H21" s="173">
        <v>199</v>
      </c>
      <c r="I21" s="173" t="s">
        <v>1790</v>
      </c>
      <c r="J21" s="182" t="s">
        <v>1563</v>
      </c>
      <c r="K21" s="171" t="e">
        <v>#N/A</v>
      </c>
      <c r="L21" s="173"/>
    </row>
    <row r="22" spans="1:12">
      <c r="A22" s="173" t="s">
        <v>1754</v>
      </c>
      <c r="B22" s="171">
        <v>45181</v>
      </c>
      <c r="C22" s="173">
        <v>1.4964510799999999</v>
      </c>
      <c r="D22" s="173" t="s">
        <v>1969</v>
      </c>
      <c r="E22" s="173" t="s">
        <v>1970</v>
      </c>
      <c r="F22" s="173">
        <v>543923093</v>
      </c>
      <c r="G22" s="173" t="s">
        <v>1611</v>
      </c>
      <c r="H22" s="173">
        <v>199</v>
      </c>
      <c r="I22" s="173" t="s">
        <v>1758</v>
      </c>
      <c r="J22" s="182" t="s">
        <v>1563</v>
      </c>
      <c r="K22" s="171" t="e">
        <v>#N/A</v>
      </c>
      <c r="L22" s="173" t="s">
        <v>1794</v>
      </c>
    </row>
    <row r="23" spans="1:12">
      <c r="A23" s="173" t="s">
        <v>1754</v>
      </c>
      <c r="B23" s="171">
        <v>45181</v>
      </c>
      <c r="C23" s="173">
        <v>1.5799382200000001</v>
      </c>
      <c r="D23" s="173" t="s">
        <v>1971</v>
      </c>
      <c r="E23" s="173" t="s">
        <v>1972</v>
      </c>
      <c r="F23" s="173">
        <v>506208219</v>
      </c>
      <c r="G23" s="173" t="s">
        <v>1611</v>
      </c>
      <c r="H23" s="173">
        <v>299</v>
      </c>
      <c r="I23" s="173" t="s">
        <v>1758</v>
      </c>
      <c r="J23" s="183" t="s">
        <v>1589</v>
      </c>
      <c r="K23" s="171">
        <v>45182</v>
      </c>
      <c r="L23" s="173"/>
    </row>
    <row r="24" spans="1:12">
      <c r="A24" s="173" t="s">
        <v>1754</v>
      </c>
      <c r="B24" s="171">
        <v>45181</v>
      </c>
      <c r="C24" s="173">
        <v>1.58001407</v>
      </c>
      <c r="D24" s="173" t="s">
        <v>1973</v>
      </c>
      <c r="E24" s="173" t="s">
        <v>1974</v>
      </c>
      <c r="F24" s="173">
        <v>544992069</v>
      </c>
      <c r="G24" s="173" t="s">
        <v>1881</v>
      </c>
      <c r="H24" s="173">
        <v>199</v>
      </c>
      <c r="I24" s="173" t="s">
        <v>1758</v>
      </c>
      <c r="J24" s="183" t="s">
        <v>1589</v>
      </c>
      <c r="K24" s="171">
        <v>45182</v>
      </c>
      <c r="L24" s="173"/>
    </row>
    <row r="25" spans="1:12">
      <c r="A25" s="173" t="s">
        <v>1754</v>
      </c>
      <c r="B25" s="171">
        <v>45181</v>
      </c>
      <c r="C25" s="173">
        <v>1.5801019999999999</v>
      </c>
      <c r="D25" s="173" t="s">
        <v>1975</v>
      </c>
      <c r="E25" s="173" t="s">
        <v>1976</v>
      </c>
      <c r="F25" s="173">
        <v>561023540</v>
      </c>
      <c r="G25" s="173" t="s">
        <v>1881</v>
      </c>
      <c r="H25" s="173">
        <v>199</v>
      </c>
      <c r="I25" s="173" t="s">
        <v>1758</v>
      </c>
      <c r="J25" s="182" t="s">
        <v>1563</v>
      </c>
      <c r="K25" s="171" t="e">
        <v>#N/A</v>
      </c>
      <c r="L25" s="173" t="s">
        <v>1977</v>
      </c>
    </row>
    <row r="26" spans="1:12">
      <c r="A26" s="173" t="s">
        <v>1754</v>
      </c>
      <c r="B26" s="171">
        <v>45182</v>
      </c>
      <c r="C26" s="173">
        <v>1.5801429199999999</v>
      </c>
      <c r="D26" s="173" t="s">
        <v>1978</v>
      </c>
      <c r="E26" s="173" t="s">
        <v>1979</v>
      </c>
      <c r="F26" s="173">
        <v>557797549</v>
      </c>
      <c r="G26" s="173" t="s">
        <v>1980</v>
      </c>
      <c r="H26" s="173">
        <v>199</v>
      </c>
      <c r="I26" s="173" t="s">
        <v>1758</v>
      </c>
      <c r="J26" s="183" t="s">
        <v>1589</v>
      </c>
      <c r="K26" s="171">
        <v>45184</v>
      </c>
      <c r="L26" s="173"/>
    </row>
    <row r="27" spans="1:12">
      <c r="A27" s="173" t="s">
        <v>1754</v>
      </c>
      <c r="B27" s="171">
        <v>45183</v>
      </c>
      <c r="C27" s="173">
        <v>1.4700073499999999</v>
      </c>
      <c r="D27" s="173" t="s">
        <v>1981</v>
      </c>
      <c r="E27" s="173" t="s">
        <v>1982</v>
      </c>
      <c r="F27" s="173">
        <v>547913709</v>
      </c>
      <c r="G27" s="173" t="s">
        <v>1983</v>
      </c>
      <c r="H27" s="173">
        <v>199</v>
      </c>
      <c r="I27" s="173" t="s">
        <v>1758</v>
      </c>
      <c r="J27" s="183" t="s">
        <v>1589</v>
      </c>
      <c r="K27" s="171">
        <v>45185</v>
      </c>
      <c r="L27" s="173"/>
    </row>
    <row r="28" spans="1:12">
      <c r="A28" s="173" t="s">
        <v>1754</v>
      </c>
      <c r="B28" s="171">
        <v>45187</v>
      </c>
      <c r="C28" s="173"/>
      <c r="D28" s="173" t="s">
        <v>1984</v>
      </c>
      <c r="E28" s="173" t="s">
        <v>1985</v>
      </c>
      <c r="F28" s="173">
        <v>557797549</v>
      </c>
      <c r="G28" s="173" t="s">
        <v>1611</v>
      </c>
      <c r="H28" s="173">
        <v>199</v>
      </c>
      <c r="I28" s="173" t="s">
        <v>1758</v>
      </c>
      <c r="J28" s="182" t="s">
        <v>1563</v>
      </c>
      <c r="K28" s="171" t="e">
        <v>#N/A</v>
      </c>
      <c r="L28" s="173" t="s">
        <v>1794</v>
      </c>
    </row>
    <row r="29" spans="1:12">
      <c r="A29" s="173" t="s">
        <v>1754</v>
      </c>
      <c r="B29" s="171">
        <v>45188</v>
      </c>
      <c r="C29" s="173">
        <v>1.58165661</v>
      </c>
      <c r="D29" s="173" t="s">
        <v>1986</v>
      </c>
      <c r="E29" s="173" t="s">
        <v>1987</v>
      </c>
      <c r="F29" s="173">
        <v>525817472</v>
      </c>
      <c r="G29" s="173" t="s">
        <v>1881</v>
      </c>
      <c r="H29" s="173">
        <v>199</v>
      </c>
      <c r="I29" s="173" t="s">
        <v>1758</v>
      </c>
      <c r="J29" s="183" t="s">
        <v>1589</v>
      </c>
      <c r="K29" s="171">
        <v>45189</v>
      </c>
      <c r="L29" s="173"/>
    </row>
    <row r="30" spans="1:12">
      <c r="A30" s="173" t="s">
        <v>1754</v>
      </c>
      <c r="B30" s="171">
        <v>45189</v>
      </c>
      <c r="C30" s="173">
        <v>1.5818797600000001</v>
      </c>
      <c r="D30" s="173" t="s">
        <v>1988</v>
      </c>
      <c r="E30" s="173" t="s">
        <v>1989</v>
      </c>
      <c r="F30" s="173">
        <v>521577532</v>
      </c>
      <c r="G30" s="173" t="s">
        <v>1990</v>
      </c>
      <c r="H30" s="173">
        <v>199</v>
      </c>
      <c r="I30" s="173" t="s">
        <v>1758</v>
      </c>
      <c r="J30" s="182" t="s">
        <v>1563</v>
      </c>
      <c r="K30" s="171" t="e">
        <v>#N/A</v>
      </c>
      <c r="L30" s="173" t="s">
        <v>1991</v>
      </c>
    </row>
    <row r="31" spans="1:12">
      <c r="A31" s="173" t="s">
        <v>1754</v>
      </c>
      <c r="B31" s="171">
        <v>45187</v>
      </c>
      <c r="C31" s="173">
        <v>1.5813804199999999</v>
      </c>
      <c r="D31" s="173" t="s">
        <v>1992</v>
      </c>
      <c r="E31" s="173"/>
      <c r="F31" s="173"/>
      <c r="G31" s="173"/>
      <c r="H31" s="173">
        <v>199</v>
      </c>
      <c r="I31" s="173"/>
      <c r="J31" s="183" t="s">
        <v>1589</v>
      </c>
      <c r="K31" s="171">
        <v>45188</v>
      </c>
      <c r="L31" s="173"/>
    </row>
    <row r="32" spans="1:12">
      <c r="A32" s="173" t="s">
        <v>1754</v>
      </c>
      <c r="B32" s="171">
        <v>45194</v>
      </c>
      <c r="C32" s="173">
        <v>1.4959949299999999</v>
      </c>
      <c r="D32" s="173" t="s">
        <v>1993</v>
      </c>
      <c r="E32" s="173" t="s">
        <v>1994</v>
      </c>
      <c r="F32" s="173">
        <v>563737611</v>
      </c>
      <c r="G32" s="173" t="s">
        <v>1881</v>
      </c>
      <c r="H32" s="173">
        <v>199</v>
      </c>
      <c r="I32" s="173" t="s">
        <v>1758</v>
      </c>
      <c r="J32" s="183" t="s">
        <v>1589</v>
      </c>
      <c r="K32" s="171">
        <v>45195</v>
      </c>
      <c r="L32" s="173"/>
    </row>
    <row r="33" spans="1:12">
      <c r="A33" s="173" t="s">
        <v>1754</v>
      </c>
      <c r="B33" s="171">
        <v>45195</v>
      </c>
      <c r="C33" s="173">
        <v>1.5834157499999999</v>
      </c>
      <c r="D33" s="173" t="s">
        <v>1995</v>
      </c>
      <c r="E33" s="173" t="s">
        <v>1996</v>
      </c>
      <c r="F33" s="173">
        <v>543797934</v>
      </c>
      <c r="G33" s="173" t="s">
        <v>1881</v>
      </c>
      <c r="H33" s="173">
        <v>199</v>
      </c>
      <c r="I33" s="173" t="s">
        <v>1758</v>
      </c>
      <c r="J33" s="183" t="s">
        <v>1589</v>
      </c>
      <c r="K33" s="171">
        <v>45198</v>
      </c>
      <c r="L33" s="173"/>
    </row>
    <row r="34" spans="1:12">
      <c r="A34" s="173" t="s">
        <v>1754</v>
      </c>
      <c r="B34" s="171">
        <v>45197</v>
      </c>
      <c r="C34" s="173">
        <v>1.4857130199999999</v>
      </c>
      <c r="D34" s="173" t="s">
        <v>1997</v>
      </c>
      <c r="E34" s="173" t="s">
        <v>1998</v>
      </c>
      <c r="F34" s="173">
        <v>556881463</v>
      </c>
      <c r="G34" s="173"/>
      <c r="H34" s="173">
        <v>199</v>
      </c>
      <c r="I34" s="173" t="s">
        <v>1758</v>
      </c>
      <c r="J34" s="183" t="s">
        <v>1589</v>
      </c>
      <c r="K34" s="171">
        <v>45198</v>
      </c>
      <c r="L34" s="173"/>
    </row>
    <row r="35" spans="1:12">
      <c r="A35" s="173" t="s">
        <v>1754</v>
      </c>
      <c r="B35" s="171">
        <v>45197</v>
      </c>
      <c r="C35" s="173">
        <v>1.58394865</v>
      </c>
      <c r="D35" s="173" t="s">
        <v>1999</v>
      </c>
      <c r="E35" s="173" t="s">
        <v>2000</v>
      </c>
      <c r="F35" s="173">
        <v>554205677</v>
      </c>
      <c r="G35" s="173" t="s">
        <v>1881</v>
      </c>
      <c r="H35" s="173">
        <v>299</v>
      </c>
      <c r="I35" s="173" t="s">
        <v>1758</v>
      </c>
      <c r="J35" s="182" t="s">
        <v>1563</v>
      </c>
      <c r="K35" s="171" t="e">
        <v>#N/A</v>
      </c>
      <c r="L35" s="173" t="s">
        <v>1768</v>
      </c>
    </row>
    <row r="36" spans="1:12">
      <c r="A36" s="173" t="s">
        <v>1754</v>
      </c>
      <c r="B36" s="171">
        <v>45197</v>
      </c>
      <c r="C36" s="173">
        <v>1.5840342199999999</v>
      </c>
      <c r="D36" s="173" t="s">
        <v>2001</v>
      </c>
      <c r="E36" s="173" t="s">
        <v>2002</v>
      </c>
      <c r="F36" s="173">
        <v>558009523</v>
      </c>
      <c r="G36" s="173" t="s">
        <v>1881</v>
      </c>
      <c r="H36" s="173">
        <v>199</v>
      </c>
      <c r="I36" s="173" t="s">
        <v>1758</v>
      </c>
      <c r="J36" s="183" t="s">
        <v>1589</v>
      </c>
      <c r="K36" s="171">
        <v>45198</v>
      </c>
      <c r="L36" s="173"/>
    </row>
  </sheetData>
  <conditionalFormatting sqref="C1:C36">
    <cfRule type="duplicateValues" dxfId="465" priority="5"/>
    <cfRule type="duplicateValues" dxfId="464" priority="6"/>
  </conditionalFormatting>
  <conditionalFormatting sqref="K1">
    <cfRule type="cellIs" dxfId="463" priority="2" operator="between">
      <formula>"DELIVERED"</formula>
      <formula>"DELIVERED"</formula>
    </cfRule>
  </conditionalFormatting>
  <conditionalFormatting sqref="K1:K36">
    <cfRule type="cellIs" dxfId="462" priority="1" operator="between">
      <formula>"DELIVERED"</formula>
      <formula>"DELIVERED"</formula>
    </cfRule>
    <cfRule type="cellIs" dxfId="461" priority="3" operator="between">
      <formula>"REJECTED"</formula>
      <formula>"CANCELLED"</formula>
    </cfRule>
    <cfRule type="cellIs" dxfId="460" priority="4" operator="between">
      <formula>"ACTIVATED"</formula>
      <formula>"ACTIVATED"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K30"/>
  <sheetViews>
    <sheetView topLeftCell="B1" zoomScale="116" workbookViewId="0">
      <selection activeCell="E4" sqref="E4"/>
    </sheetView>
  </sheetViews>
  <sheetFormatPr defaultRowHeight="14.5"/>
  <cols>
    <col min="1" max="1" width="11.7265625" bestFit="1" customWidth="1"/>
    <col min="2" max="2" width="9.26953125" bestFit="1" customWidth="1"/>
    <col min="3" max="3" width="9.1796875" bestFit="1" customWidth="1"/>
    <col min="4" max="4" width="14.1796875" bestFit="1" customWidth="1"/>
    <col min="5" max="5" width="44.1796875" bestFit="1" customWidth="1"/>
    <col min="6" max="7" width="9.26953125" bestFit="1" customWidth="1"/>
    <col min="9" max="10" width="9.26953125" bestFit="1" customWidth="1"/>
    <col min="11" max="11" width="20.1796875" bestFit="1" customWidth="1"/>
  </cols>
  <sheetData>
    <row r="1" spans="1:11">
      <c r="A1" s="184" t="s">
        <v>1739</v>
      </c>
      <c r="B1" s="185" t="s">
        <v>1740</v>
      </c>
      <c r="C1" s="184" t="s">
        <v>2003</v>
      </c>
      <c r="D1" s="184" t="s">
        <v>1919</v>
      </c>
      <c r="E1" s="184" t="s">
        <v>1743</v>
      </c>
      <c r="F1" s="184" t="s">
        <v>1744</v>
      </c>
      <c r="G1" s="184" t="s">
        <v>1746</v>
      </c>
      <c r="H1" s="184" t="s">
        <v>1748</v>
      </c>
      <c r="I1" s="186" t="s">
        <v>2004</v>
      </c>
      <c r="J1" s="185" t="s">
        <v>2005</v>
      </c>
      <c r="K1" s="184" t="s">
        <v>1752</v>
      </c>
    </row>
    <row r="2" spans="1:11">
      <c r="A2" s="173" t="s">
        <v>148</v>
      </c>
      <c r="B2" s="171">
        <v>45201</v>
      </c>
      <c r="C2" s="173" t="e">
        <v>#N/A</v>
      </c>
      <c r="D2" s="173" t="s">
        <v>2006</v>
      </c>
      <c r="E2" s="173" t="s">
        <v>2007</v>
      </c>
      <c r="F2" s="173">
        <v>565714220</v>
      </c>
      <c r="G2" s="173">
        <v>199</v>
      </c>
      <c r="H2" s="173" t="s">
        <v>1563</v>
      </c>
      <c r="I2" s="171" t="e">
        <v>#N/A</v>
      </c>
      <c r="J2" s="171" t="e">
        <v>#N/A</v>
      </c>
      <c r="K2" s="173" t="s">
        <v>1768</v>
      </c>
    </row>
    <row r="3" spans="1:11">
      <c r="A3" s="173" t="s">
        <v>148</v>
      </c>
      <c r="B3" s="171">
        <v>45206</v>
      </c>
      <c r="C3" s="173">
        <v>1.5863476400000001</v>
      </c>
      <c r="D3" s="173" t="s">
        <v>2008</v>
      </c>
      <c r="E3" s="173" t="s">
        <v>2009</v>
      </c>
      <c r="F3" s="173">
        <v>527431421</v>
      </c>
      <c r="G3" s="173">
        <v>299</v>
      </c>
      <c r="H3" s="173" t="s">
        <v>1589</v>
      </c>
      <c r="I3" s="171" t="e">
        <v>#N/A</v>
      </c>
      <c r="J3" s="171">
        <v>45207</v>
      </c>
      <c r="K3" s="173"/>
    </row>
    <row r="4" spans="1:11">
      <c r="A4" s="173" t="s">
        <v>148</v>
      </c>
      <c r="B4" s="171">
        <v>45206</v>
      </c>
      <c r="C4" s="173">
        <v>1.4672066800000001</v>
      </c>
      <c r="D4" s="173" t="s">
        <v>2010</v>
      </c>
      <c r="E4" s="173" t="s">
        <v>2011</v>
      </c>
      <c r="F4" s="173">
        <v>501268312</v>
      </c>
      <c r="G4" s="173">
        <v>299</v>
      </c>
      <c r="H4" s="173" t="s">
        <v>1589</v>
      </c>
      <c r="I4" s="171" t="e">
        <v>#N/A</v>
      </c>
      <c r="J4" s="171">
        <v>45207</v>
      </c>
      <c r="K4" s="173"/>
    </row>
    <row r="5" spans="1:11">
      <c r="A5" s="173" t="s">
        <v>148</v>
      </c>
      <c r="B5" s="171">
        <v>45206</v>
      </c>
      <c r="C5" s="173" t="e">
        <v>#N/A</v>
      </c>
      <c r="D5" s="173" t="s">
        <v>2012</v>
      </c>
      <c r="E5" s="173" t="s">
        <v>2013</v>
      </c>
      <c r="F5" s="173">
        <v>543778714</v>
      </c>
      <c r="G5" s="173">
        <v>199</v>
      </c>
      <c r="H5" s="173" t="s">
        <v>1563</v>
      </c>
      <c r="I5" s="171" t="e">
        <v>#N/A</v>
      </c>
      <c r="J5" s="171" t="e">
        <v>#N/A</v>
      </c>
      <c r="K5" s="173" t="s">
        <v>1768</v>
      </c>
    </row>
    <row r="6" spans="1:11">
      <c r="A6" s="173" t="s">
        <v>148</v>
      </c>
      <c r="B6" s="171">
        <v>45207</v>
      </c>
      <c r="C6" s="173">
        <v>1.5866346600000001</v>
      </c>
      <c r="D6" s="173" t="s">
        <v>2014</v>
      </c>
      <c r="E6" s="173" t="s">
        <v>2015</v>
      </c>
      <c r="F6" s="173">
        <v>564263716</v>
      </c>
      <c r="G6" s="173">
        <v>199</v>
      </c>
      <c r="H6" s="173" t="s">
        <v>1563</v>
      </c>
      <c r="I6" s="171" t="e">
        <v>#N/A</v>
      </c>
      <c r="J6" s="171" t="e">
        <v>#N/A</v>
      </c>
      <c r="K6" s="173" t="s">
        <v>1768</v>
      </c>
    </row>
    <row r="7" spans="1:11">
      <c r="A7" s="173" t="s">
        <v>148</v>
      </c>
      <c r="B7" s="171">
        <v>45207</v>
      </c>
      <c r="C7" s="173">
        <v>1.58664216</v>
      </c>
      <c r="D7" s="173" t="s">
        <v>2016</v>
      </c>
      <c r="E7" s="173" t="s">
        <v>2017</v>
      </c>
      <c r="F7" s="173">
        <v>525641896</v>
      </c>
      <c r="G7" s="173">
        <v>199</v>
      </c>
      <c r="H7" s="173" t="s">
        <v>1589</v>
      </c>
      <c r="I7" s="171" t="e">
        <v>#N/A</v>
      </c>
      <c r="J7" s="171">
        <v>45208</v>
      </c>
      <c r="K7" s="173"/>
    </row>
    <row r="8" spans="1:11">
      <c r="A8" s="173" t="s">
        <v>148</v>
      </c>
      <c r="B8" s="171">
        <v>45208</v>
      </c>
      <c r="C8" s="173">
        <v>1.5868943499999999</v>
      </c>
      <c r="D8" s="173" t="s">
        <v>2018</v>
      </c>
      <c r="E8" s="173" t="s">
        <v>2019</v>
      </c>
      <c r="F8" s="173">
        <v>502071222</v>
      </c>
      <c r="G8" s="173">
        <v>299</v>
      </c>
      <c r="H8" s="173" t="s">
        <v>1589</v>
      </c>
      <c r="I8" s="171" t="e">
        <v>#N/A</v>
      </c>
      <c r="J8" s="171">
        <v>45209</v>
      </c>
      <c r="K8" s="173"/>
    </row>
    <row r="9" spans="1:11">
      <c r="A9" s="173" t="s">
        <v>148</v>
      </c>
      <c r="B9" s="171">
        <v>45215</v>
      </c>
      <c r="C9" s="173">
        <v>1.5887788700000001</v>
      </c>
      <c r="D9" s="173" t="s">
        <v>2020</v>
      </c>
      <c r="E9" s="173" t="s">
        <v>2021</v>
      </c>
      <c r="F9" s="173">
        <v>509104321</v>
      </c>
      <c r="G9" s="173">
        <v>199</v>
      </c>
      <c r="H9" s="173" t="s">
        <v>1589</v>
      </c>
      <c r="I9" s="171" t="e">
        <v>#N/A</v>
      </c>
      <c r="J9" s="171">
        <v>45216</v>
      </c>
      <c r="K9" s="173"/>
    </row>
    <row r="10" spans="1:11">
      <c r="A10" s="173" t="s">
        <v>148</v>
      </c>
      <c r="B10" s="171">
        <v>45215</v>
      </c>
      <c r="C10" s="173">
        <v>1.5887907400000001</v>
      </c>
      <c r="D10" s="173" t="s">
        <v>2022</v>
      </c>
      <c r="E10" s="173" t="s">
        <v>2023</v>
      </c>
      <c r="F10" s="173">
        <v>554445969</v>
      </c>
      <c r="G10" s="173">
        <v>199</v>
      </c>
      <c r="H10" s="173" t="s">
        <v>1589</v>
      </c>
      <c r="I10" s="171" t="e">
        <v>#N/A</v>
      </c>
      <c r="J10" s="171">
        <v>45216</v>
      </c>
      <c r="K10" s="173"/>
    </row>
    <row r="11" spans="1:11">
      <c r="A11" s="173" t="s">
        <v>148</v>
      </c>
      <c r="B11" s="171">
        <v>45216</v>
      </c>
      <c r="C11" s="173">
        <v>1.58903576</v>
      </c>
      <c r="D11" s="173" t="s">
        <v>2024</v>
      </c>
      <c r="E11" s="173" t="s">
        <v>2025</v>
      </c>
      <c r="F11" s="173">
        <v>509893023</v>
      </c>
      <c r="G11" s="173">
        <v>299</v>
      </c>
      <c r="H11" s="173" t="s">
        <v>1563</v>
      </c>
      <c r="I11" s="171" t="e">
        <v>#N/A</v>
      </c>
      <c r="J11" s="171" t="e">
        <v>#N/A</v>
      </c>
      <c r="K11" s="173" t="s">
        <v>1768</v>
      </c>
    </row>
    <row r="12" spans="1:11">
      <c r="A12" s="173" t="s">
        <v>148</v>
      </c>
      <c r="B12" s="171">
        <v>45220</v>
      </c>
      <c r="C12" s="173">
        <v>1.5847783600000001</v>
      </c>
      <c r="D12" s="173" t="s">
        <v>2026</v>
      </c>
      <c r="E12" s="173" t="s">
        <v>2027</v>
      </c>
      <c r="F12" s="173">
        <v>568965705</v>
      </c>
      <c r="G12" s="173">
        <v>299</v>
      </c>
      <c r="H12" s="173" t="s">
        <v>1589</v>
      </c>
      <c r="I12" s="171" t="e">
        <v>#N/A</v>
      </c>
      <c r="J12" s="171">
        <v>45221</v>
      </c>
      <c r="K12" s="173"/>
    </row>
    <row r="13" spans="1:11">
      <c r="A13" s="173" t="s">
        <v>148</v>
      </c>
      <c r="B13" s="171">
        <v>45222</v>
      </c>
      <c r="C13" s="173">
        <v>1.59067881</v>
      </c>
      <c r="D13" s="173" t="s">
        <v>2028</v>
      </c>
      <c r="E13" s="173" t="s">
        <v>2029</v>
      </c>
      <c r="F13" s="173">
        <v>559041390</v>
      </c>
      <c r="G13" s="173">
        <v>299</v>
      </c>
      <c r="H13" s="173" t="s">
        <v>1589</v>
      </c>
      <c r="I13" s="171" t="e">
        <v>#N/A</v>
      </c>
      <c r="J13" s="171">
        <v>45223</v>
      </c>
      <c r="K13" s="173"/>
    </row>
    <row r="14" spans="1:11">
      <c r="A14" s="173" t="s">
        <v>148</v>
      </c>
      <c r="B14" s="171">
        <v>45223</v>
      </c>
      <c r="C14" s="173">
        <v>1.5848080899999999</v>
      </c>
      <c r="D14" s="173" t="s">
        <v>2030</v>
      </c>
      <c r="E14" s="173" t="s">
        <v>2031</v>
      </c>
      <c r="F14" s="173">
        <v>568965705</v>
      </c>
      <c r="G14" s="173">
        <v>199</v>
      </c>
      <c r="H14" s="173" t="s">
        <v>1589</v>
      </c>
      <c r="I14" s="171" t="e">
        <v>#N/A</v>
      </c>
      <c r="J14" s="171">
        <v>45224</v>
      </c>
      <c r="K14" s="173"/>
    </row>
    <row r="15" spans="1:11">
      <c r="A15" s="173" t="s">
        <v>148</v>
      </c>
      <c r="B15" s="171">
        <v>45223</v>
      </c>
      <c r="C15" s="173">
        <v>1.5909621599999999</v>
      </c>
      <c r="D15" s="173" t="s">
        <v>2032</v>
      </c>
      <c r="E15" s="173" t="s">
        <v>2033</v>
      </c>
      <c r="F15" s="173">
        <v>543968215</v>
      </c>
      <c r="G15" s="173">
        <v>299</v>
      </c>
      <c r="H15" s="173" t="s">
        <v>1589</v>
      </c>
      <c r="I15" s="171" t="e">
        <v>#N/A</v>
      </c>
      <c r="J15" s="171">
        <v>45226</v>
      </c>
      <c r="K15" s="173" t="s">
        <v>2034</v>
      </c>
    </row>
    <row r="16" spans="1:11">
      <c r="A16" s="173" t="s">
        <v>148</v>
      </c>
      <c r="B16" s="171">
        <v>45226</v>
      </c>
      <c r="C16" s="173">
        <v>1.5917323299999999</v>
      </c>
      <c r="D16" s="173" t="s">
        <v>2035</v>
      </c>
      <c r="E16" s="173" t="s">
        <v>2036</v>
      </c>
      <c r="F16" s="173">
        <v>553701049</v>
      </c>
      <c r="G16" s="173">
        <v>199</v>
      </c>
      <c r="H16" s="173" t="s">
        <v>1589</v>
      </c>
      <c r="I16" s="171" t="e">
        <v>#N/A</v>
      </c>
      <c r="J16" s="171">
        <v>45227</v>
      </c>
      <c r="K16" s="173"/>
    </row>
    <row r="17" spans="1:11">
      <c r="A17" s="173" t="s">
        <v>148</v>
      </c>
      <c r="B17" s="171">
        <v>45227</v>
      </c>
      <c r="C17" s="173">
        <v>1.5919687199999999</v>
      </c>
      <c r="D17" s="173" t="s">
        <v>2037</v>
      </c>
      <c r="E17" s="173" t="s">
        <v>2038</v>
      </c>
      <c r="F17" s="173">
        <v>501574140</v>
      </c>
      <c r="G17" s="173">
        <v>299</v>
      </c>
      <c r="H17" s="173" t="s">
        <v>1589</v>
      </c>
      <c r="I17" s="171" t="e">
        <v>#N/A</v>
      </c>
      <c r="J17" s="171">
        <v>45228</v>
      </c>
      <c r="K17" s="173"/>
    </row>
    <row r="18" spans="1:11">
      <c r="A18" s="173" t="s">
        <v>148</v>
      </c>
      <c r="B18" s="171">
        <v>45227</v>
      </c>
      <c r="C18" s="173">
        <v>1.5919886299999999</v>
      </c>
      <c r="D18" s="173" t="s">
        <v>2039</v>
      </c>
      <c r="E18" s="173" t="s">
        <v>2040</v>
      </c>
      <c r="F18" s="173">
        <v>564092635</v>
      </c>
      <c r="G18" s="173">
        <v>199</v>
      </c>
      <c r="H18" s="173" t="s">
        <v>1563</v>
      </c>
      <c r="I18" s="171" t="e">
        <v>#N/A</v>
      </c>
      <c r="J18" s="171" t="e">
        <v>#N/A</v>
      </c>
      <c r="K18" s="173" t="s">
        <v>1794</v>
      </c>
    </row>
    <row r="19" spans="1:11">
      <c r="A19" s="173" t="s">
        <v>148</v>
      </c>
      <c r="B19" s="171">
        <v>45227</v>
      </c>
      <c r="C19" s="173">
        <v>1.5911535999999999</v>
      </c>
      <c r="D19" s="173" t="s">
        <v>2041</v>
      </c>
      <c r="E19" s="173" t="s">
        <v>2042</v>
      </c>
      <c r="F19" s="173">
        <v>522107476</v>
      </c>
      <c r="G19" s="173">
        <v>199</v>
      </c>
      <c r="H19" s="173" t="s">
        <v>1589</v>
      </c>
      <c r="I19" s="171" t="e">
        <v>#N/A</v>
      </c>
      <c r="J19" s="171">
        <v>45225</v>
      </c>
      <c r="K19" s="173"/>
    </row>
    <row r="20" spans="1:11">
      <c r="A20" s="173" t="s">
        <v>148</v>
      </c>
      <c r="B20" s="171">
        <v>45228</v>
      </c>
      <c r="C20" s="173">
        <v>1.5922501600000001</v>
      </c>
      <c r="D20" s="173" t="s">
        <v>2043</v>
      </c>
      <c r="E20" s="173" t="s">
        <v>2044</v>
      </c>
      <c r="F20" s="173">
        <v>568744655</v>
      </c>
      <c r="G20" s="173">
        <v>199</v>
      </c>
      <c r="H20" s="173" t="s">
        <v>1589</v>
      </c>
      <c r="I20" s="171" t="e">
        <v>#N/A</v>
      </c>
      <c r="J20" s="171">
        <v>45230</v>
      </c>
      <c r="K20" s="173"/>
    </row>
    <row r="21" spans="1:11">
      <c r="A21" s="173" t="s">
        <v>148</v>
      </c>
      <c r="B21" s="171">
        <v>45228</v>
      </c>
      <c r="C21" s="173">
        <v>1.5922514800000001</v>
      </c>
      <c r="D21" s="173" t="s">
        <v>2045</v>
      </c>
      <c r="E21" s="173" t="s">
        <v>2046</v>
      </c>
      <c r="F21" s="173">
        <v>564546721</v>
      </c>
      <c r="G21" s="173">
        <v>199</v>
      </c>
      <c r="H21" s="173" t="s">
        <v>1589</v>
      </c>
      <c r="I21" s="171" t="e">
        <v>#N/A</v>
      </c>
      <c r="J21" s="171">
        <v>45228</v>
      </c>
      <c r="K21" s="173"/>
    </row>
    <row r="22" spans="1:11">
      <c r="A22" s="173" t="s">
        <v>148</v>
      </c>
      <c r="B22" s="171">
        <v>45228</v>
      </c>
      <c r="C22" s="173">
        <v>1.5911530199999999</v>
      </c>
      <c r="D22" s="173" t="s">
        <v>2047</v>
      </c>
      <c r="E22" s="173" t="s">
        <v>2048</v>
      </c>
      <c r="F22" s="173">
        <v>563685605</v>
      </c>
      <c r="G22" s="173">
        <v>199</v>
      </c>
      <c r="H22" s="173" t="s">
        <v>1589</v>
      </c>
      <c r="I22" s="171" t="e">
        <v>#N/A</v>
      </c>
      <c r="J22" s="171">
        <v>45225</v>
      </c>
      <c r="K22" s="173"/>
    </row>
    <row r="23" spans="1:11">
      <c r="A23" s="173" t="s">
        <v>148</v>
      </c>
      <c r="B23" s="171">
        <v>45228</v>
      </c>
      <c r="C23" s="173">
        <v>1.59133477</v>
      </c>
      <c r="D23" s="173" t="s">
        <v>2049</v>
      </c>
      <c r="E23" s="173" t="s">
        <v>2050</v>
      </c>
      <c r="F23" s="173">
        <v>553372627</v>
      </c>
      <c r="G23" s="173">
        <v>199</v>
      </c>
      <c r="H23" s="173" t="s">
        <v>1589</v>
      </c>
      <c r="I23" s="171" t="e">
        <v>#N/A</v>
      </c>
      <c r="J23" s="171">
        <v>45229</v>
      </c>
      <c r="K23" s="173"/>
    </row>
    <row r="24" spans="1:11">
      <c r="A24" s="173" t="s">
        <v>148</v>
      </c>
      <c r="B24" s="171">
        <v>45228</v>
      </c>
      <c r="C24" s="173">
        <v>1.5920393900000001</v>
      </c>
      <c r="D24" s="173" t="s">
        <v>2051</v>
      </c>
      <c r="E24" s="173" t="s">
        <v>2052</v>
      </c>
      <c r="F24" s="173">
        <v>568091747</v>
      </c>
      <c r="G24" s="173">
        <v>199</v>
      </c>
      <c r="H24" s="173" t="s">
        <v>1589</v>
      </c>
      <c r="I24" s="171" t="e">
        <v>#N/A</v>
      </c>
      <c r="J24" s="171" t="e">
        <v>#N/A</v>
      </c>
      <c r="K24" s="173" t="s">
        <v>2053</v>
      </c>
    </row>
    <row r="25" spans="1:11">
      <c r="A25" s="173" t="s">
        <v>148</v>
      </c>
      <c r="B25" s="171">
        <v>45229</v>
      </c>
      <c r="C25" s="173">
        <v>1.5919569600000001</v>
      </c>
      <c r="D25" s="173" t="s">
        <v>2054</v>
      </c>
      <c r="E25" s="173" t="s">
        <v>2055</v>
      </c>
      <c r="F25" s="173">
        <v>509514168</v>
      </c>
      <c r="G25" s="173">
        <v>199</v>
      </c>
      <c r="H25" s="173" t="s">
        <v>2056</v>
      </c>
      <c r="I25" s="171" t="e">
        <v>#N/A</v>
      </c>
      <c r="J25" s="171" t="e">
        <v>#N/A</v>
      </c>
      <c r="K25" s="173" t="s">
        <v>2057</v>
      </c>
    </row>
    <row r="26" spans="1:11">
      <c r="A26" s="173" t="s">
        <v>148</v>
      </c>
      <c r="B26" s="171">
        <v>45229</v>
      </c>
      <c r="C26" s="173" t="e">
        <v>#N/A</v>
      </c>
      <c r="D26" s="173" t="s">
        <v>2058</v>
      </c>
      <c r="E26" s="173" t="s">
        <v>2044</v>
      </c>
      <c r="F26" s="173">
        <v>568744655</v>
      </c>
      <c r="G26" s="173">
        <v>199</v>
      </c>
      <c r="H26" s="173" t="s">
        <v>1563</v>
      </c>
      <c r="I26" s="171" t="e">
        <v>#N/A</v>
      </c>
      <c r="J26" s="171" t="e">
        <v>#N/A</v>
      </c>
      <c r="K26" s="173" t="s">
        <v>2059</v>
      </c>
    </row>
    <row r="27" spans="1:11">
      <c r="A27" s="173" t="s">
        <v>148</v>
      </c>
      <c r="B27" s="171">
        <v>45229</v>
      </c>
      <c r="C27" s="173">
        <v>1.5926459799999999</v>
      </c>
      <c r="D27" s="173" t="s">
        <v>2060</v>
      </c>
      <c r="E27" s="173" t="s">
        <v>2061</v>
      </c>
      <c r="F27" s="173">
        <v>547763459</v>
      </c>
      <c r="G27" s="173">
        <v>199</v>
      </c>
      <c r="H27" s="173" t="s">
        <v>1589</v>
      </c>
      <c r="I27" s="171" t="e">
        <v>#N/A</v>
      </c>
      <c r="J27" s="171">
        <v>45230</v>
      </c>
      <c r="K27" s="173" t="s">
        <v>1827</v>
      </c>
    </row>
    <row r="28" spans="1:11">
      <c r="A28" s="173" t="s">
        <v>148</v>
      </c>
      <c r="B28" s="171">
        <v>45230</v>
      </c>
      <c r="C28" s="173">
        <v>1.5927855500000001</v>
      </c>
      <c r="D28" s="173" t="s">
        <v>2062</v>
      </c>
      <c r="E28" s="173" t="s">
        <v>2063</v>
      </c>
      <c r="F28" s="173">
        <v>554457496</v>
      </c>
      <c r="G28" s="173">
        <v>199</v>
      </c>
      <c r="H28" s="173" t="s">
        <v>1589</v>
      </c>
      <c r="I28" s="171" t="e">
        <v>#N/A</v>
      </c>
      <c r="J28" s="171">
        <v>45230</v>
      </c>
      <c r="K28" s="173" t="s">
        <v>1827</v>
      </c>
    </row>
    <row r="29" spans="1:11">
      <c r="A29" s="173" t="s">
        <v>148</v>
      </c>
      <c r="B29" s="171">
        <v>45230</v>
      </c>
      <c r="C29" s="173">
        <v>1.39074498</v>
      </c>
      <c r="D29" s="173" t="s">
        <v>2064</v>
      </c>
      <c r="E29" s="173" t="s">
        <v>2065</v>
      </c>
      <c r="F29" s="173">
        <v>526403220</v>
      </c>
      <c r="G29" s="173">
        <v>199</v>
      </c>
      <c r="H29" s="173" t="s">
        <v>2056</v>
      </c>
      <c r="I29" s="171" t="e">
        <v>#N/A</v>
      </c>
      <c r="J29" s="171" t="e">
        <v>#N/A</v>
      </c>
      <c r="K29" s="173" t="s">
        <v>2057</v>
      </c>
    </row>
    <row r="30" spans="1:11">
      <c r="A30" s="173" t="s">
        <v>148</v>
      </c>
      <c r="B30" s="171">
        <v>45230</v>
      </c>
      <c r="C30" s="173" t="e">
        <v>#N/A</v>
      </c>
      <c r="D30" s="173" t="s">
        <v>2066</v>
      </c>
      <c r="E30" s="173" t="s">
        <v>2067</v>
      </c>
      <c r="F30" s="173"/>
      <c r="G30" s="173">
        <v>199</v>
      </c>
      <c r="H30" s="173" t="s">
        <v>331</v>
      </c>
      <c r="I30" s="171" t="e">
        <v>#N/A</v>
      </c>
      <c r="J30" s="171" t="e">
        <v>#N/A</v>
      </c>
      <c r="K30" s="173" t="s">
        <v>1823</v>
      </c>
    </row>
  </sheetData>
  <autoFilter ref="A1:K30" xr:uid="{00000000-0009-0000-0000-000018000000}"/>
  <conditionalFormatting sqref="C1:C30">
    <cfRule type="duplicateValues" dxfId="459" priority="1"/>
  </conditionalFormatting>
  <conditionalFormatting sqref="D1:D30">
    <cfRule type="duplicateValues" dxfId="458" priority="2"/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J35"/>
  <sheetViews>
    <sheetView zoomScale="72" workbookViewId="0">
      <selection activeCell="E36" sqref="E36"/>
    </sheetView>
  </sheetViews>
  <sheetFormatPr defaultRowHeight="14.5"/>
  <cols>
    <col min="2" max="2" width="25.26953125" bestFit="1" customWidth="1"/>
    <col min="3" max="3" width="9.81640625" bestFit="1" customWidth="1"/>
    <col min="4" max="4" width="12.453125" bestFit="1" customWidth="1"/>
    <col min="5" max="5" width="12.453125" customWidth="1"/>
    <col min="6" max="6" width="48.453125" bestFit="1" customWidth="1"/>
    <col min="7" max="7" width="12.81640625" bestFit="1" customWidth="1"/>
    <col min="8" max="8" width="9.81640625" bestFit="1" customWidth="1"/>
    <col min="9" max="9" width="9.54296875" bestFit="1" customWidth="1"/>
    <col min="10" max="10" width="20.26953125" bestFit="1" customWidth="1"/>
  </cols>
  <sheetData>
    <row r="1" spans="1:10">
      <c r="A1" s="187" t="s">
        <v>1739</v>
      </c>
      <c r="B1" s="188" t="s">
        <v>1740</v>
      </c>
      <c r="C1" s="187" t="s">
        <v>2068</v>
      </c>
      <c r="D1" s="187" t="s">
        <v>1919</v>
      </c>
      <c r="E1" s="187" t="s">
        <v>3303</v>
      </c>
      <c r="F1" s="187" t="s">
        <v>1743</v>
      </c>
      <c r="G1" s="187" t="s">
        <v>1746</v>
      </c>
      <c r="H1" s="187" t="s">
        <v>2069</v>
      </c>
      <c r="I1" s="189" t="s">
        <v>2070</v>
      </c>
      <c r="J1" s="187" t="s">
        <v>1752</v>
      </c>
    </row>
    <row r="2" spans="1:10">
      <c r="A2" s="173" t="s">
        <v>148</v>
      </c>
      <c r="B2" s="190">
        <v>45229</v>
      </c>
      <c r="C2" s="173">
        <v>1.5919569600000001</v>
      </c>
      <c r="D2" s="173" t="s">
        <v>2054</v>
      </c>
      <c r="E2" s="173">
        <v>509514168</v>
      </c>
      <c r="F2" s="173" t="s">
        <v>2055</v>
      </c>
      <c r="G2" s="173">
        <v>199</v>
      </c>
      <c r="H2" s="173" t="s">
        <v>1589</v>
      </c>
      <c r="I2" s="171">
        <v>45232</v>
      </c>
      <c r="J2" s="173"/>
    </row>
    <row r="3" spans="1:10">
      <c r="A3" s="173" t="s">
        <v>148</v>
      </c>
      <c r="B3" s="190">
        <v>45230</v>
      </c>
      <c r="C3" s="173">
        <v>1.39074498</v>
      </c>
      <c r="D3" s="173" t="s">
        <v>2064</v>
      </c>
      <c r="E3" s="173"/>
      <c r="F3" s="173" t="s">
        <v>2065</v>
      </c>
      <c r="G3" s="173">
        <v>199</v>
      </c>
      <c r="H3" s="173" t="s">
        <v>1589</v>
      </c>
      <c r="I3" s="171">
        <v>45231</v>
      </c>
      <c r="J3" s="173"/>
    </row>
    <row r="4" spans="1:10">
      <c r="A4" s="173" t="s">
        <v>148</v>
      </c>
      <c r="B4" s="190">
        <v>45232</v>
      </c>
      <c r="C4" s="173">
        <v>1.57976071</v>
      </c>
      <c r="D4" s="173" t="s">
        <v>2071</v>
      </c>
      <c r="E4" s="173">
        <v>551312545</v>
      </c>
      <c r="F4" s="173" t="s">
        <v>2072</v>
      </c>
      <c r="G4" s="173">
        <v>199</v>
      </c>
      <c r="H4" s="173" t="s">
        <v>1589</v>
      </c>
      <c r="I4" s="171">
        <v>45232</v>
      </c>
      <c r="J4" s="173" t="e">
        <v>#N/A</v>
      </c>
    </row>
    <row r="5" spans="1:10">
      <c r="A5" s="173" t="s">
        <v>148</v>
      </c>
      <c r="B5" s="190">
        <v>45233</v>
      </c>
      <c r="C5" s="173">
        <v>1.5931114</v>
      </c>
      <c r="D5" s="173" t="s">
        <v>2073</v>
      </c>
      <c r="E5" s="173">
        <v>525103433</v>
      </c>
      <c r="F5" s="173" t="s">
        <v>2074</v>
      </c>
      <c r="G5" s="173">
        <v>199</v>
      </c>
      <c r="H5" s="173" t="s">
        <v>1589</v>
      </c>
      <c r="I5" s="171">
        <v>45235</v>
      </c>
      <c r="J5" s="173" t="e">
        <v>#N/A</v>
      </c>
    </row>
    <row r="6" spans="1:10">
      <c r="A6" s="173" t="s">
        <v>148</v>
      </c>
      <c r="B6" s="190">
        <v>45234</v>
      </c>
      <c r="C6" s="173">
        <v>1.5939254300000001</v>
      </c>
      <c r="D6" s="173" t="s">
        <v>2075</v>
      </c>
      <c r="E6" s="173">
        <v>509447784</v>
      </c>
      <c r="F6" s="173" t="s">
        <v>2076</v>
      </c>
      <c r="G6" s="173">
        <v>199</v>
      </c>
      <c r="H6" s="173" t="s">
        <v>1589</v>
      </c>
      <c r="I6" s="171">
        <v>45235</v>
      </c>
      <c r="J6" s="173" t="e">
        <v>#N/A</v>
      </c>
    </row>
    <row r="7" spans="1:10">
      <c r="A7" s="173" t="s">
        <v>148</v>
      </c>
      <c r="B7" s="190">
        <v>45234</v>
      </c>
      <c r="C7" s="173">
        <v>1.3207872899999999</v>
      </c>
      <c r="D7" s="173" t="s">
        <v>2077</v>
      </c>
      <c r="E7" s="173">
        <v>563519135</v>
      </c>
      <c r="F7" s="173" t="s">
        <v>2078</v>
      </c>
      <c r="G7" s="173">
        <v>199</v>
      </c>
      <c r="H7" s="173" t="s">
        <v>1589</v>
      </c>
      <c r="I7" s="171">
        <v>45235</v>
      </c>
      <c r="J7" s="173" t="e">
        <v>#N/A</v>
      </c>
    </row>
    <row r="8" spans="1:10">
      <c r="A8" s="173" t="s">
        <v>148</v>
      </c>
      <c r="B8" s="190">
        <v>45235</v>
      </c>
      <c r="C8" s="173">
        <v>1.5943855199999999</v>
      </c>
      <c r="D8" s="173" t="s">
        <v>2079</v>
      </c>
      <c r="E8" s="173">
        <v>557746001</v>
      </c>
      <c r="F8" s="173" t="s">
        <v>3304</v>
      </c>
      <c r="G8" s="173">
        <v>199</v>
      </c>
      <c r="H8" s="173" t="s">
        <v>1589</v>
      </c>
      <c r="I8" s="171">
        <v>45238</v>
      </c>
      <c r="J8" s="173" t="s">
        <v>1827</v>
      </c>
    </row>
    <row r="9" spans="1:10">
      <c r="A9" s="173" t="s">
        <v>148</v>
      </c>
      <c r="B9" s="190">
        <v>45237</v>
      </c>
      <c r="C9" s="173">
        <v>1.5948875899999999</v>
      </c>
      <c r="D9" s="173" t="s">
        <v>2080</v>
      </c>
      <c r="E9" s="173">
        <v>5277905566</v>
      </c>
      <c r="F9" s="173" t="s">
        <v>2081</v>
      </c>
      <c r="G9" s="173">
        <v>299</v>
      </c>
      <c r="H9" s="173" t="s">
        <v>1589</v>
      </c>
      <c r="I9" s="171">
        <v>45238</v>
      </c>
      <c r="J9" s="173" t="s">
        <v>1827</v>
      </c>
    </row>
    <row r="10" spans="1:10">
      <c r="A10" s="173" t="s">
        <v>148</v>
      </c>
      <c r="B10" s="190">
        <v>45238</v>
      </c>
      <c r="C10" s="173">
        <v>1.5654999999999999</v>
      </c>
      <c r="D10" s="173" t="s">
        <v>2082</v>
      </c>
      <c r="E10" s="173">
        <v>562944120</v>
      </c>
      <c r="F10" s="173" t="s">
        <v>2083</v>
      </c>
      <c r="G10" s="173">
        <v>299</v>
      </c>
      <c r="H10" s="173" t="s">
        <v>1589</v>
      </c>
      <c r="I10" s="171">
        <v>45240</v>
      </c>
      <c r="J10" s="173"/>
    </row>
    <row r="11" spans="1:10">
      <c r="A11" s="173" t="s">
        <v>148</v>
      </c>
      <c r="B11" s="190">
        <v>45241</v>
      </c>
      <c r="C11" s="173">
        <v>1.59609468</v>
      </c>
      <c r="D11" s="173" t="s">
        <v>2084</v>
      </c>
      <c r="E11" s="173">
        <v>565931671</v>
      </c>
      <c r="F11" s="173" t="s">
        <v>2085</v>
      </c>
      <c r="G11" s="173">
        <v>199</v>
      </c>
      <c r="H11" s="173" t="s">
        <v>1589</v>
      </c>
      <c r="I11" s="171"/>
      <c r="J11" s="173" t="s">
        <v>2086</v>
      </c>
    </row>
    <row r="12" spans="1:10">
      <c r="A12" s="173" t="s">
        <v>148</v>
      </c>
      <c r="B12" s="190">
        <v>45241</v>
      </c>
      <c r="C12" s="173">
        <v>1.59609468</v>
      </c>
      <c r="D12" s="173" t="s">
        <v>2087</v>
      </c>
      <c r="E12" s="173">
        <v>565931671</v>
      </c>
      <c r="F12" s="173" t="s">
        <v>2085</v>
      </c>
      <c r="G12" s="173">
        <v>199</v>
      </c>
      <c r="H12" s="173" t="s">
        <v>1589</v>
      </c>
      <c r="I12" s="171"/>
      <c r="J12" s="173" t="s">
        <v>2086</v>
      </c>
    </row>
    <row r="13" spans="1:10">
      <c r="A13" s="173" t="s">
        <v>148</v>
      </c>
      <c r="B13" s="190">
        <v>45244</v>
      </c>
      <c r="C13" s="173">
        <v>1.5261894499999999</v>
      </c>
      <c r="D13" s="173" t="s">
        <v>2088</v>
      </c>
      <c r="E13" s="173">
        <v>503821289</v>
      </c>
      <c r="F13" s="173" t="s">
        <v>2089</v>
      </c>
      <c r="G13" s="173">
        <v>199</v>
      </c>
      <c r="H13" s="173" t="s">
        <v>1589</v>
      </c>
      <c r="I13" s="171"/>
      <c r="J13" s="173"/>
    </row>
    <row r="14" spans="1:10">
      <c r="A14" s="173" t="s">
        <v>148</v>
      </c>
      <c r="B14" s="190">
        <v>45246</v>
      </c>
      <c r="C14" s="173">
        <v>1.5974731600000001</v>
      </c>
      <c r="D14" s="173" t="s">
        <v>2090</v>
      </c>
      <c r="E14" s="173">
        <v>503816464</v>
      </c>
      <c r="F14" s="173" t="s">
        <v>2091</v>
      </c>
      <c r="G14" s="173">
        <v>199</v>
      </c>
      <c r="H14" s="173" t="s">
        <v>1589</v>
      </c>
      <c r="I14" s="171"/>
      <c r="J14" s="173" t="s">
        <v>2086</v>
      </c>
    </row>
    <row r="15" spans="1:10">
      <c r="A15" s="173" t="s">
        <v>148</v>
      </c>
      <c r="B15" s="190">
        <v>45246</v>
      </c>
      <c r="C15" s="173">
        <v>1.5928406100000001</v>
      </c>
      <c r="D15" s="173" t="s">
        <v>2092</v>
      </c>
      <c r="E15" s="173">
        <v>561594756</v>
      </c>
      <c r="F15" s="173" t="s">
        <v>2093</v>
      </c>
      <c r="G15" s="173">
        <v>299</v>
      </c>
      <c r="H15" s="173" t="s">
        <v>1589</v>
      </c>
      <c r="I15" s="171"/>
      <c r="J15" s="173"/>
    </row>
    <row r="16" spans="1:10">
      <c r="A16" s="173" t="s">
        <v>148</v>
      </c>
      <c r="B16" s="190">
        <v>45250</v>
      </c>
      <c r="C16" s="173">
        <v>1.59874844</v>
      </c>
      <c r="D16" s="173" t="s">
        <v>2094</v>
      </c>
      <c r="E16" s="173">
        <v>529650550</v>
      </c>
      <c r="F16" s="173" t="s">
        <v>2095</v>
      </c>
      <c r="G16" s="173">
        <v>199</v>
      </c>
      <c r="H16" s="173" t="s">
        <v>1589</v>
      </c>
      <c r="I16" s="171"/>
      <c r="J16" s="173"/>
    </row>
    <row r="17" spans="1:10">
      <c r="A17" s="173" t="s">
        <v>148</v>
      </c>
      <c r="B17" s="190">
        <v>45251</v>
      </c>
      <c r="C17" s="173">
        <v>1.5974731600000001</v>
      </c>
      <c r="D17" s="173" t="s">
        <v>2096</v>
      </c>
      <c r="E17" s="173">
        <v>503816464</v>
      </c>
      <c r="F17" s="173" t="s">
        <v>2097</v>
      </c>
      <c r="G17" s="173">
        <v>199</v>
      </c>
      <c r="H17" s="173" t="s">
        <v>1589</v>
      </c>
      <c r="I17" s="171"/>
      <c r="J17" s="173" t="s">
        <v>2086</v>
      </c>
    </row>
    <row r="18" spans="1:10">
      <c r="A18" s="191" t="s">
        <v>148</v>
      </c>
      <c r="B18" s="192">
        <v>45251</v>
      </c>
      <c r="C18" s="191">
        <v>1.5948875899999999</v>
      </c>
      <c r="D18" s="191" t="s">
        <v>2098</v>
      </c>
      <c r="E18" s="191">
        <v>527790566</v>
      </c>
      <c r="F18" s="191" t="s">
        <v>2099</v>
      </c>
      <c r="G18" s="191">
        <v>199</v>
      </c>
      <c r="H18" s="191" t="s">
        <v>1589</v>
      </c>
      <c r="I18" s="193"/>
      <c r="J18" s="191"/>
    </row>
    <row r="19" spans="1:10">
      <c r="A19" s="173" t="s">
        <v>148</v>
      </c>
      <c r="B19" s="190">
        <v>45251</v>
      </c>
      <c r="C19" s="173">
        <v>1.39833371</v>
      </c>
      <c r="D19" s="173" t="s">
        <v>2100</v>
      </c>
      <c r="E19" s="173">
        <v>545494391</v>
      </c>
      <c r="F19" s="173" t="s">
        <v>2101</v>
      </c>
      <c r="G19" s="173">
        <v>199</v>
      </c>
      <c r="H19" s="173" t="s">
        <v>1589</v>
      </c>
      <c r="I19" s="171"/>
      <c r="J19" s="173"/>
    </row>
    <row r="20" spans="1:10">
      <c r="A20" s="173" t="s">
        <v>148</v>
      </c>
      <c r="B20" s="190">
        <v>45251</v>
      </c>
      <c r="C20" s="173">
        <v>1.5989466000000001</v>
      </c>
      <c r="D20" s="173" t="s">
        <v>2102</v>
      </c>
      <c r="E20" s="173">
        <v>525128296</v>
      </c>
      <c r="F20" s="173" t="s">
        <v>2103</v>
      </c>
      <c r="G20" s="173">
        <v>199</v>
      </c>
      <c r="H20" s="173" t="s">
        <v>1589</v>
      </c>
      <c r="I20" s="171"/>
      <c r="J20" s="173"/>
    </row>
    <row r="21" spans="1:10">
      <c r="A21" s="173" t="s">
        <v>148</v>
      </c>
      <c r="B21" s="190">
        <v>45252</v>
      </c>
      <c r="C21" s="173">
        <v>1.5989165599999999</v>
      </c>
      <c r="D21" s="173" t="s">
        <v>2104</v>
      </c>
      <c r="E21" s="173">
        <v>509835281</v>
      </c>
      <c r="F21" s="173" t="s">
        <v>2105</v>
      </c>
      <c r="G21" s="173">
        <v>199</v>
      </c>
      <c r="H21" s="173" t="s">
        <v>1589</v>
      </c>
      <c r="I21" s="171"/>
      <c r="J21" s="173"/>
    </row>
    <row r="22" spans="1:10">
      <c r="A22" s="194" t="s">
        <v>148</v>
      </c>
      <c r="B22" s="171">
        <v>45253</v>
      </c>
      <c r="C22" s="173">
        <v>1.5994644</v>
      </c>
      <c r="D22" s="173" t="s">
        <v>2106</v>
      </c>
      <c r="E22" s="173">
        <v>503657346</v>
      </c>
      <c r="F22" s="173" t="s">
        <v>2107</v>
      </c>
      <c r="G22" s="194">
        <v>299</v>
      </c>
      <c r="H22" s="173" t="s">
        <v>1589</v>
      </c>
      <c r="I22" s="171"/>
      <c r="J22" s="173"/>
    </row>
    <row r="23" spans="1:10">
      <c r="A23" s="194" t="s">
        <v>148</v>
      </c>
      <c r="B23" s="171">
        <v>45254</v>
      </c>
      <c r="C23" s="173">
        <v>1.5996217699999999</v>
      </c>
      <c r="D23" s="173" t="s">
        <v>2108</v>
      </c>
      <c r="E23" s="173">
        <v>523247022</v>
      </c>
      <c r="F23" s="173" t="s">
        <v>2109</v>
      </c>
      <c r="G23" s="194">
        <v>299</v>
      </c>
      <c r="H23" s="173" t="s">
        <v>1589</v>
      </c>
      <c r="I23" s="171"/>
      <c r="J23" s="173"/>
    </row>
    <row r="24" spans="1:10">
      <c r="A24" s="194" t="s">
        <v>148</v>
      </c>
      <c r="B24" s="171">
        <v>45255</v>
      </c>
      <c r="C24" s="173">
        <v>1.26448962</v>
      </c>
      <c r="D24" s="173" t="s">
        <v>2110</v>
      </c>
      <c r="E24" s="173">
        <v>527140404</v>
      </c>
      <c r="F24" s="173" t="s">
        <v>2111</v>
      </c>
      <c r="G24" s="173">
        <v>199</v>
      </c>
      <c r="H24" s="173" t="s">
        <v>1589</v>
      </c>
      <c r="I24" s="171"/>
      <c r="J24" s="173"/>
    </row>
    <row r="25" spans="1:10">
      <c r="A25" s="194" t="s">
        <v>148</v>
      </c>
      <c r="B25" s="171">
        <v>45255</v>
      </c>
      <c r="C25" s="173" t="e">
        <v>#N/A</v>
      </c>
      <c r="D25" s="173" t="s">
        <v>2112</v>
      </c>
      <c r="E25" s="173">
        <v>544934711</v>
      </c>
      <c r="F25" s="173" t="s">
        <v>2113</v>
      </c>
      <c r="G25" s="173">
        <v>299</v>
      </c>
      <c r="H25" s="173" t="s">
        <v>1589</v>
      </c>
      <c r="I25" s="171"/>
      <c r="J25" s="173"/>
    </row>
    <row r="26" spans="1:10">
      <c r="A26" s="194" t="s">
        <v>148</v>
      </c>
      <c r="B26" s="171">
        <v>45256</v>
      </c>
      <c r="C26" s="173" t="e">
        <v>#N/A</v>
      </c>
      <c r="D26" s="173" t="s">
        <v>2114</v>
      </c>
      <c r="E26" s="173">
        <v>508791988</v>
      </c>
      <c r="F26" s="173" t="s">
        <v>2115</v>
      </c>
      <c r="G26" s="173">
        <v>199</v>
      </c>
      <c r="H26" s="173" t="s">
        <v>1589</v>
      </c>
      <c r="I26" s="171"/>
      <c r="J26" s="173"/>
    </row>
    <row r="27" spans="1:10">
      <c r="A27" s="194" t="s">
        <v>148</v>
      </c>
      <c r="B27" s="171">
        <v>45256</v>
      </c>
      <c r="C27" s="173" t="e">
        <v>#N/A</v>
      </c>
      <c r="D27" s="173" t="s">
        <v>2116</v>
      </c>
      <c r="E27" s="173">
        <v>507783523</v>
      </c>
      <c r="F27" s="173" t="s">
        <v>2117</v>
      </c>
      <c r="G27" s="173">
        <v>199</v>
      </c>
      <c r="H27" s="173" t="s">
        <v>1589</v>
      </c>
      <c r="I27" s="171"/>
      <c r="J27" s="173"/>
    </row>
    <row r="28" spans="1:10">
      <c r="A28" s="194" t="s">
        <v>148</v>
      </c>
      <c r="B28" s="176">
        <v>45258</v>
      </c>
      <c r="D28" s="173" t="s">
        <v>2118</v>
      </c>
      <c r="E28" s="173">
        <v>544966063</v>
      </c>
      <c r="F28" s="173" t="s">
        <v>2119</v>
      </c>
      <c r="G28" s="173">
        <v>199</v>
      </c>
      <c r="H28" s="173" t="s">
        <v>1589</v>
      </c>
    </row>
    <row r="29" spans="1:10">
      <c r="A29" s="194" t="s">
        <v>148</v>
      </c>
      <c r="B29" s="176">
        <v>45259</v>
      </c>
      <c r="D29" s="173" t="s">
        <v>2120</v>
      </c>
      <c r="E29" s="173">
        <v>561707639</v>
      </c>
      <c r="F29" s="173" t="s">
        <v>2121</v>
      </c>
      <c r="G29" s="173">
        <v>199</v>
      </c>
      <c r="H29" s="173" t="s">
        <v>1589</v>
      </c>
    </row>
    <row r="30" spans="1:10">
      <c r="A30" s="194" t="s">
        <v>148</v>
      </c>
      <c r="B30" s="176">
        <v>45259</v>
      </c>
      <c r="D30" s="173" t="s">
        <v>2122</v>
      </c>
      <c r="E30" s="173">
        <v>507505806</v>
      </c>
      <c r="F30" s="173" t="s">
        <v>2123</v>
      </c>
      <c r="G30" s="173">
        <v>199</v>
      </c>
      <c r="H30" s="173" t="s">
        <v>1589</v>
      </c>
    </row>
    <row r="31" spans="1:10">
      <c r="A31" s="194" t="s">
        <v>148</v>
      </c>
      <c r="B31" s="176">
        <v>45259</v>
      </c>
      <c r="D31" s="173" t="s">
        <v>2124</v>
      </c>
      <c r="E31" s="173">
        <v>506146678</v>
      </c>
      <c r="F31" s="173" t="s">
        <v>2125</v>
      </c>
      <c r="G31" s="173">
        <v>299</v>
      </c>
      <c r="H31" s="173" t="s">
        <v>1589</v>
      </c>
    </row>
    <row r="32" spans="1:10">
      <c r="A32" s="194" t="s">
        <v>148</v>
      </c>
      <c r="B32" s="176">
        <v>45259</v>
      </c>
      <c r="D32" s="173" t="s">
        <v>2126</v>
      </c>
      <c r="E32" s="173">
        <v>582359988</v>
      </c>
      <c r="F32" s="173" t="s">
        <v>2127</v>
      </c>
      <c r="G32" s="173">
        <v>299</v>
      </c>
      <c r="H32" s="173" t="s">
        <v>1589</v>
      </c>
    </row>
    <row r="33" spans="1:8">
      <c r="A33" s="194" t="s">
        <v>148</v>
      </c>
      <c r="B33" s="176">
        <v>45260</v>
      </c>
      <c r="D33" s="173" t="s">
        <v>2128</v>
      </c>
      <c r="E33" s="173"/>
      <c r="F33" s="173" t="s">
        <v>2129</v>
      </c>
      <c r="G33" s="173">
        <v>199</v>
      </c>
      <c r="H33" s="173" t="s">
        <v>1589</v>
      </c>
    </row>
    <row r="34" spans="1:8">
      <c r="A34" s="194" t="s">
        <v>148</v>
      </c>
      <c r="B34" s="176">
        <v>45260</v>
      </c>
      <c r="D34" s="173" t="s">
        <v>2130</v>
      </c>
      <c r="E34" s="173"/>
      <c r="F34" s="173" t="s">
        <v>2131</v>
      </c>
      <c r="G34" s="173">
        <v>199</v>
      </c>
      <c r="H34" s="173" t="s">
        <v>1589</v>
      </c>
    </row>
    <row r="35" spans="1:8">
      <c r="A35" s="194" t="s">
        <v>148</v>
      </c>
      <c r="B35" s="176">
        <v>45260</v>
      </c>
      <c r="D35" s="173" t="s">
        <v>2132</v>
      </c>
      <c r="E35" s="173"/>
      <c r="F35" s="173" t="s">
        <v>2133</v>
      </c>
      <c r="G35" s="173">
        <v>199</v>
      </c>
      <c r="H35" s="173" t="s">
        <v>1589</v>
      </c>
    </row>
  </sheetData>
  <conditionalFormatting sqref="C1:C27">
    <cfRule type="duplicateValues" dxfId="457" priority="2"/>
    <cfRule type="duplicateValues" dxfId="456" priority="3"/>
  </conditionalFormatting>
  <conditionalFormatting sqref="D1:E35">
    <cfRule type="duplicateValues" dxfId="455" priority="1"/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09"/>
  <sheetViews>
    <sheetView topLeftCell="B1" zoomScale="121" workbookViewId="0">
      <selection activeCell="E54" sqref="E1:G54"/>
    </sheetView>
  </sheetViews>
  <sheetFormatPr defaultRowHeight="14.5"/>
  <cols>
    <col min="2" max="2" width="8.54296875" bestFit="1" customWidth="1"/>
    <col min="3" max="3" width="9" bestFit="1" customWidth="1"/>
    <col min="4" max="4" width="12.453125" bestFit="1" customWidth="1"/>
    <col min="5" max="5" width="12.453125" customWidth="1"/>
    <col min="6" max="6" width="38.81640625" bestFit="1" customWidth="1"/>
    <col min="7" max="7" width="12.7265625" bestFit="1" customWidth="1"/>
    <col min="8" max="8" width="8.54296875" bestFit="1" customWidth="1"/>
    <col min="9" max="9" width="15.26953125" bestFit="1" customWidth="1"/>
  </cols>
  <sheetData>
    <row r="1" spans="1:10">
      <c r="A1" s="195" t="s">
        <v>1739</v>
      </c>
      <c r="B1" s="196" t="s">
        <v>1740</v>
      </c>
      <c r="C1" s="195" t="s">
        <v>2003</v>
      </c>
      <c r="D1" s="195" t="s">
        <v>1919</v>
      </c>
      <c r="E1" s="195" t="s">
        <v>2635</v>
      </c>
      <c r="F1" s="195" t="s">
        <v>1743</v>
      </c>
      <c r="G1" s="195" t="s">
        <v>1746</v>
      </c>
      <c r="H1" s="195" t="s">
        <v>2069</v>
      </c>
      <c r="I1" s="196" t="s">
        <v>2134</v>
      </c>
      <c r="J1" s="195" t="s">
        <v>1752</v>
      </c>
    </row>
    <row r="2" spans="1:10">
      <c r="A2" s="173" t="s">
        <v>148</v>
      </c>
      <c r="B2" s="171">
        <v>45263</v>
      </c>
      <c r="C2" s="173">
        <v>1.6023712999999999</v>
      </c>
      <c r="D2" s="173" t="s">
        <v>2135</v>
      </c>
      <c r="E2" s="173">
        <v>542769047</v>
      </c>
      <c r="F2" s="173" t="s">
        <v>2136</v>
      </c>
      <c r="G2" s="173">
        <v>199</v>
      </c>
      <c r="H2" s="197" t="s">
        <v>1589</v>
      </c>
      <c r="I2" s="171" t="e">
        <v>#N/A</v>
      </c>
      <c r="J2" s="173"/>
    </row>
    <row r="3" spans="1:10">
      <c r="A3" s="173" t="s">
        <v>148</v>
      </c>
      <c r="B3" s="171">
        <v>45264</v>
      </c>
      <c r="C3" s="173" t="e">
        <v>#N/A</v>
      </c>
      <c r="D3" s="173" t="s">
        <v>2137</v>
      </c>
      <c r="E3" s="173">
        <v>553291420</v>
      </c>
      <c r="F3" s="173" t="s">
        <v>2138</v>
      </c>
      <c r="G3" s="173">
        <v>299</v>
      </c>
      <c r="H3" s="198" t="s">
        <v>1563</v>
      </c>
      <c r="I3" s="171" t="e">
        <v>#N/A</v>
      </c>
      <c r="J3" s="173"/>
    </row>
    <row r="4" spans="1:10">
      <c r="A4" s="173" t="s">
        <v>148</v>
      </c>
      <c r="B4" s="171">
        <v>45265</v>
      </c>
      <c r="C4" s="173">
        <v>1.6029503899999999</v>
      </c>
      <c r="D4" s="173" t="s">
        <v>2139</v>
      </c>
      <c r="E4" s="173">
        <v>544397053</v>
      </c>
      <c r="F4" s="173" t="s">
        <v>2140</v>
      </c>
      <c r="G4" s="173">
        <v>199</v>
      </c>
      <c r="H4" s="197" t="s">
        <v>1589</v>
      </c>
      <c r="I4" s="171" t="e">
        <v>#N/A</v>
      </c>
      <c r="J4" s="173"/>
    </row>
    <row r="5" spans="1:10">
      <c r="A5" s="173" t="s">
        <v>148</v>
      </c>
      <c r="B5" s="171">
        <v>45265</v>
      </c>
      <c r="C5" s="173" t="e">
        <v>#N/A</v>
      </c>
      <c r="D5" s="173" t="s">
        <v>2141</v>
      </c>
      <c r="E5" s="173">
        <v>529208989</v>
      </c>
      <c r="F5" s="173" t="s">
        <v>2142</v>
      </c>
      <c r="G5" s="173">
        <v>299</v>
      </c>
      <c r="H5" s="198" t="s">
        <v>1563</v>
      </c>
      <c r="I5" s="171" t="e">
        <v>#N/A</v>
      </c>
      <c r="J5" s="173"/>
    </row>
    <row r="6" spans="1:10">
      <c r="A6" s="173" t="s">
        <v>148</v>
      </c>
      <c r="B6" s="171">
        <v>45266</v>
      </c>
      <c r="C6" s="173">
        <v>1.6030561000000001</v>
      </c>
      <c r="D6" s="173" t="s">
        <v>2143</v>
      </c>
      <c r="E6" s="173">
        <v>529208989</v>
      </c>
      <c r="F6" s="173" t="s">
        <v>2144</v>
      </c>
      <c r="G6" s="173">
        <v>299</v>
      </c>
      <c r="H6" s="197" t="s">
        <v>1589</v>
      </c>
      <c r="I6" s="171" t="s">
        <v>2145</v>
      </c>
      <c r="J6" s="173"/>
    </row>
    <row r="7" spans="1:10">
      <c r="A7" s="173" t="s">
        <v>148</v>
      </c>
      <c r="B7" s="171">
        <v>45267</v>
      </c>
      <c r="C7" s="173">
        <v>1.6035600000000001</v>
      </c>
      <c r="D7" s="173" t="s">
        <v>2146</v>
      </c>
      <c r="E7" s="173">
        <v>564251045</v>
      </c>
      <c r="F7" s="173" t="s">
        <v>2147</v>
      </c>
      <c r="G7" s="173">
        <v>199</v>
      </c>
      <c r="H7" s="197" t="s">
        <v>1589</v>
      </c>
      <c r="I7" s="171" t="e">
        <v>#N/A</v>
      </c>
      <c r="J7" s="173"/>
    </row>
    <row r="8" spans="1:10">
      <c r="A8" s="173" t="s">
        <v>148</v>
      </c>
      <c r="B8" s="171">
        <v>45268</v>
      </c>
      <c r="C8" s="173">
        <v>1.6037905100000001</v>
      </c>
      <c r="D8" s="173" t="s">
        <v>2148</v>
      </c>
      <c r="E8" s="173">
        <v>544679391</v>
      </c>
      <c r="F8" s="173" t="s">
        <v>2149</v>
      </c>
      <c r="G8" s="173">
        <v>199</v>
      </c>
      <c r="H8" s="197" t="s">
        <v>1589</v>
      </c>
      <c r="I8" s="171" t="e">
        <v>#N/A</v>
      </c>
      <c r="J8" s="173"/>
    </row>
    <row r="9" spans="1:10">
      <c r="A9" s="173" t="s">
        <v>148</v>
      </c>
      <c r="B9" s="171">
        <v>45268</v>
      </c>
      <c r="C9" s="173" t="e">
        <v>#N/A</v>
      </c>
      <c r="D9" s="173" t="s">
        <v>2150</v>
      </c>
      <c r="E9" s="173">
        <v>547716683</v>
      </c>
      <c r="F9" s="173" t="s">
        <v>2151</v>
      </c>
      <c r="G9" s="173">
        <v>199</v>
      </c>
      <c r="H9" s="198" t="s">
        <v>1563</v>
      </c>
      <c r="I9" s="171" t="e">
        <v>#N/A</v>
      </c>
      <c r="J9" s="173"/>
    </row>
    <row r="10" spans="1:10">
      <c r="A10" s="173" t="s">
        <v>148</v>
      </c>
      <c r="B10" s="171">
        <v>45269</v>
      </c>
      <c r="C10" s="173" t="e">
        <v>#N/A</v>
      </c>
      <c r="D10" s="173" t="s">
        <v>2152</v>
      </c>
      <c r="E10" s="173">
        <v>561707639</v>
      </c>
      <c r="F10" s="173" t="s">
        <v>2151</v>
      </c>
      <c r="G10" s="173">
        <v>199</v>
      </c>
      <c r="H10" s="198" t="s">
        <v>1563</v>
      </c>
      <c r="I10" s="171" t="e">
        <v>#N/A</v>
      </c>
      <c r="J10" s="173"/>
    </row>
    <row r="11" spans="1:10">
      <c r="A11" s="173" t="s">
        <v>148</v>
      </c>
      <c r="B11" s="171">
        <v>45269</v>
      </c>
      <c r="C11" s="173">
        <v>1.6041731100000001</v>
      </c>
      <c r="D11" s="173" t="s">
        <v>2153</v>
      </c>
      <c r="E11" s="173">
        <v>567716274</v>
      </c>
      <c r="F11" s="173" t="s">
        <v>2154</v>
      </c>
      <c r="G11" s="173">
        <v>299</v>
      </c>
      <c r="H11" s="197" t="s">
        <v>1589</v>
      </c>
      <c r="I11" s="171" t="e">
        <v>#N/A</v>
      </c>
      <c r="J11" s="173"/>
    </row>
    <row r="12" spans="1:10">
      <c r="A12" s="173" t="s">
        <v>148</v>
      </c>
      <c r="B12" s="171">
        <v>45271</v>
      </c>
      <c r="C12" s="173">
        <v>1.6046315499999999</v>
      </c>
      <c r="D12" s="173" t="s">
        <v>2155</v>
      </c>
      <c r="E12" s="173">
        <v>506680920</v>
      </c>
      <c r="F12" s="173" t="s">
        <v>2156</v>
      </c>
      <c r="G12" s="173">
        <v>199</v>
      </c>
      <c r="H12" s="197" t="s">
        <v>1589</v>
      </c>
      <c r="I12" s="171" t="s">
        <v>2145</v>
      </c>
      <c r="J12" s="173" t="s">
        <v>1827</v>
      </c>
    </row>
    <row r="13" spans="1:10">
      <c r="A13" s="173" t="s">
        <v>148</v>
      </c>
      <c r="B13" s="171">
        <v>45275</v>
      </c>
      <c r="C13" s="173">
        <v>1.60582687</v>
      </c>
      <c r="D13" s="173" t="s">
        <v>2157</v>
      </c>
      <c r="E13" s="173">
        <v>527801015</v>
      </c>
      <c r="F13" s="173" t="s">
        <v>2158</v>
      </c>
      <c r="G13" s="173">
        <v>199</v>
      </c>
      <c r="H13" s="197" t="s">
        <v>1589</v>
      </c>
      <c r="I13" s="171" t="e">
        <v>#N/A</v>
      </c>
      <c r="J13" s="173"/>
    </row>
    <row r="14" spans="1:10">
      <c r="A14" s="173" t="s">
        <v>148</v>
      </c>
      <c r="B14" s="171">
        <v>45275</v>
      </c>
      <c r="C14" s="173">
        <v>1.60588102</v>
      </c>
      <c r="D14" s="173" t="s">
        <v>2159</v>
      </c>
      <c r="E14" s="173">
        <v>547292963</v>
      </c>
      <c r="F14" s="173" t="s">
        <v>2160</v>
      </c>
      <c r="G14" s="173">
        <v>199</v>
      </c>
      <c r="H14" s="197" t="s">
        <v>1589</v>
      </c>
      <c r="I14" s="171" t="e">
        <v>#N/A</v>
      </c>
      <c r="J14" s="173"/>
    </row>
    <row r="15" spans="1:10">
      <c r="A15" s="173" t="s">
        <v>148</v>
      </c>
      <c r="B15" s="171">
        <v>45276</v>
      </c>
      <c r="C15" s="173" t="e">
        <v>#N/A</v>
      </c>
      <c r="D15" s="173" t="s">
        <v>2161</v>
      </c>
      <c r="E15" s="173"/>
      <c r="F15" s="173" t="s">
        <v>2162</v>
      </c>
      <c r="G15" s="173">
        <v>199</v>
      </c>
      <c r="H15" s="198" t="s">
        <v>1563</v>
      </c>
      <c r="I15" s="171" t="e">
        <v>#N/A</v>
      </c>
      <c r="J15" s="173" t="s">
        <v>2163</v>
      </c>
    </row>
    <row r="16" spans="1:10">
      <c r="A16" s="173" t="s">
        <v>148</v>
      </c>
      <c r="B16" s="171">
        <v>45276</v>
      </c>
      <c r="C16" s="173">
        <v>1.4910421700000001</v>
      </c>
      <c r="D16" s="173" t="s">
        <v>2164</v>
      </c>
      <c r="E16" s="173">
        <v>553827240</v>
      </c>
      <c r="F16" s="173" t="s">
        <v>2165</v>
      </c>
      <c r="G16" s="173">
        <v>199</v>
      </c>
      <c r="H16" s="197" t="s">
        <v>1589</v>
      </c>
      <c r="I16" s="171" t="e">
        <v>#N/A</v>
      </c>
      <c r="J16" s="173"/>
    </row>
    <row r="17" spans="1:10">
      <c r="A17" s="173" t="s">
        <v>148</v>
      </c>
      <c r="B17" s="171">
        <v>45276</v>
      </c>
      <c r="C17" s="173" t="e">
        <v>#N/A</v>
      </c>
      <c r="D17" s="173" t="s">
        <v>2166</v>
      </c>
      <c r="E17" s="173">
        <v>545259917</v>
      </c>
      <c r="F17" s="173" t="s">
        <v>2167</v>
      </c>
      <c r="G17" s="173">
        <v>299</v>
      </c>
      <c r="H17" s="198" t="s">
        <v>1563</v>
      </c>
      <c r="I17" s="171" t="e">
        <v>#N/A</v>
      </c>
      <c r="J17" s="173" t="s">
        <v>1768</v>
      </c>
    </row>
    <row r="18" spans="1:10">
      <c r="A18" s="173" t="s">
        <v>148</v>
      </c>
      <c r="B18" s="171">
        <v>45277</v>
      </c>
      <c r="C18" s="173">
        <v>1.6042475199999999</v>
      </c>
      <c r="D18" s="173" t="s">
        <v>2168</v>
      </c>
      <c r="E18" s="173">
        <v>523647881</v>
      </c>
      <c r="F18" s="173" t="s">
        <v>2169</v>
      </c>
      <c r="G18" s="173">
        <v>199</v>
      </c>
      <c r="H18" s="197" t="s">
        <v>1589</v>
      </c>
      <c r="I18" s="171" t="e">
        <v>#N/A</v>
      </c>
      <c r="J18" s="173"/>
    </row>
    <row r="19" spans="1:10">
      <c r="A19" s="173" t="s">
        <v>148</v>
      </c>
      <c r="B19" s="171">
        <v>45277</v>
      </c>
      <c r="C19" s="173">
        <v>1.50035293</v>
      </c>
      <c r="D19" s="173" t="s">
        <v>2170</v>
      </c>
      <c r="E19" s="173">
        <v>562065000</v>
      </c>
      <c r="F19" s="173" t="s">
        <v>2171</v>
      </c>
      <c r="G19" s="173">
        <v>199</v>
      </c>
      <c r="H19" s="197" t="s">
        <v>1589</v>
      </c>
      <c r="I19" s="171" t="e">
        <v>#N/A</v>
      </c>
      <c r="J19" s="173"/>
    </row>
    <row r="20" spans="1:10">
      <c r="A20" s="173" t="s">
        <v>148</v>
      </c>
      <c r="B20" s="171">
        <v>45278</v>
      </c>
      <c r="C20" s="173">
        <v>1.6066211100000001</v>
      </c>
      <c r="D20" s="173" t="s">
        <v>2172</v>
      </c>
      <c r="E20" s="173">
        <v>566313882</v>
      </c>
      <c r="F20" s="173" t="s">
        <v>2173</v>
      </c>
      <c r="G20" s="173">
        <v>199</v>
      </c>
      <c r="H20" s="197" t="s">
        <v>1589</v>
      </c>
      <c r="I20" s="171" t="e">
        <v>#N/A</v>
      </c>
      <c r="J20" s="173"/>
    </row>
    <row r="21" spans="1:10">
      <c r="A21" s="173" t="s">
        <v>148</v>
      </c>
      <c r="B21" s="171">
        <v>45278</v>
      </c>
      <c r="C21" s="173" t="e">
        <v>#N/A</v>
      </c>
      <c r="D21" s="173" t="s">
        <v>2174</v>
      </c>
      <c r="E21" s="173">
        <v>55551601</v>
      </c>
      <c r="F21" s="173" t="s">
        <v>2175</v>
      </c>
      <c r="G21" s="173">
        <v>199</v>
      </c>
      <c r="H21" s="198" t="s">
        <v>1563</v>
      </c>
      <c r="I21" s="171" t="e">
        <v>#N/A</v>
      </c>
      <c r="J21" s="173" t="s">
        <v>1768</v>
      </c>
    </row>
    <row r="22" spans="1:10">
      <c r="A22" s="173" t="s">
        <v>148</v>
      </c>
      <c r="B22" s="171">
        <v>45278</v>
      </c>
      <c r="C22" s="173">
        <v>1.60668619</v>
      </c>
      <c r="D22" s="173" t="s">
        <v>2176</v>
      </c>
      <c r="E22" s="173">
        <v>505284184</v>
      </c>
      <c r="F22" s="173" t="s">
        <v>2177</v>
      </c>
      <c r="G22" s="173">
        <v>199</v>
      </c>
      <c r="H22" s="197" t="s">
        <v>1589</v>
      </c>
      <c r="I22" s="171" t="e">
        <v>#N/A</v>
      </c>
      <c r="J22" s="173"/>
    </row>
    <row r="23" spans="1:10">
      <c r="A23" s="173" t="s">
        <v>148</v>
      </c>
      <c r="B23" s="171">
        <v>45280</v>
      </c>
      <c r="C23" s="173" t="e">
        <v>#N/A</v>
      </c>
      <c r="D23" s="173" t="s">
        <v>2178</v>
      </c>
      <c r="E23" s="173">
        <v>527096336</v>
      </c>
      <c r="F23" s="173" t="s">
        <v>2179</v>
      </c>
      <c r="G23" s="173">
        <v>199</v>
      </c>
      <c r="H23" s="198" t="s">
        <v>1563</v>
      </c>
      <c r="I23" s="171" t="e">
        <v>#N/A</v>
      </c>
      <c r="J23" s="173" t="s">
        <v>1768</v>
      </c>
    </row>
    <row r="24" spans="1:10">
      <c r="A24" s="173" t="s">
        <v>148</v>
      </c>
      <c r="B24" s="171">
        <v>45280</v>
      </c>
      <c r="C24" s="173">
        <v>1.3983876</v>
      </c>
      <c r="D24" s="173" t="s">
        <v>2180</v>
      </c>
      <c r="E24" s="173">
        <v>528841299</v>
      </c>
      <c r="F24" s="173" t="s">
        <v>2181</v>
      </c>
      <c r="G24" s="173">
        <v>199</v>
      </c>
      <c r="H24" s="197" t="s">
        <v>1589</v>
      </c>
      <c r="I24" s="171" t="e">
        <v>#N/A</v>
      </c>
      <c r="J24" s="173" t="s">
        <v>1827</v>
      </c>
    </row>
    <row r="25" spans="1:10">
      <c r="A25" s="173" t="s">
        <v>148</v>
      </c>
      <c r="B25" s="171">
        <v>45280</v>
      </c>
      <c r="C25" s="173">
        <v>1.6071656599999999</v>
      </c>
      <c r="D25" s="173" t="s">
        <v>2182</v>
      </c>
      <c r="E25" s="173">
        <v>527096336</v>
      </c>
      <c r="F25" s="173" t="s">
        <v>2179</v>
      </c>
      <c r="G25" s="173">
        <v>199</v>
      </c>
      <c r="H25" s="197" t="s">
        <v>1589</v>
      </c>
      <c r="I25" s="171" t="e">
        <v>#N/A</v>
      </c>
      <c r="J25" s="173" t="s">
        <v>1827</v>
      </c>
    </row>
    <row r="26" spans="1:10">
      <c r="A26" s="173" t="s">
        <v>148</v>
      </c>
      <c r="B26" s="171">
        <v>45280</v>
      </c>
      <c r="C26" s="173" t="e">
        <v>#N/A</v>
      </c>
      <c r="D26" s="173" t="s">
        <v>2183</v>
      </c>
      <c r="E26" s="173">
        <v>524477217</v>
      </c>
      <c r="F26" s="173" t="s">
        <v>2184</v>
      </c>
      <c r="G26" s="173">
        <v>199</v>
      </c>
      <c r="H26" s="198" t="s">
        <v>1563</v>
      </c>
      <c r="I26" s="171" t="e">
        <v>#N/A</v>
      </c>
      <c r="J26" s="173" t="s">
        <v>2163</v>
      </c>
    </row>
    <row r="27" spans="1:10">
      <c r="A27" s="173" t="s">
        <v>148</v>
      </c>
      <c r="B27" s="171">
        <v>45281</v>
      </c>
      <c r="C27" s="173" t="e">
        <v>#N/A</v>
      </c>
      <c r="D27" s="173" t="s">
        <v>2185</v>
      </c>
      <c r="E27" s="173"/>
      <c r="F27" s="173" t="s">
        <v>2186</v>
      </c>
      <c r="G27" s="173">
        <v>199</v>
      </c>
      <c r="H27" s="198" t="s">
        <v>1563</v>
      </c>
      <c r="I27" s="171" t="e">
        <v>#N/A</v>
      </c>
      <c r="J27" s="173" t="s">
        <v>2187</v>
      </c>
    </row>
    <row r="28" spans="1:10">
      <c r="A28" s="173" t="s">
        <v>148</v>
      </c>
      <c r="B28" s="171">
        <v>45281</v>
      </c>
      <c r="C28" s="173">
        <v>1.6076182299999999</v>
      </c>
      <c r="D28" s="173" t="s">
        <v>2188</v>
      </c>
      <c r="E28" s="173">
        <v>565006157</v>
      </c>
      <c r="F28" s="173" t="s">
        <v>2189</v>
      </c>
      <c r="G28" s="173">
        <v>299</v>
      </c>
      <c r="H28" s="197" t="s">
        <v>1589</v>
      </c>
      <c r="I28" s="171" t="e">
        <v>#N/A</v>
      </c>
      <c r="J28" s="173" t="s">
        <v>1827</v>
      </c>
    </row>
    <row r="29" spans="1:10">
      <c r="A29" s="173" t="s">
        <v>148</v>
      </c>
      <c r="B29" s="171">
        <v>45281</v>
      </c>
      <c r="C29" s="173" t="e">
        <v>#N/A</v>
      </c>
      <c r="D29" s="173" t="s">
        <v>2190</v>
      </c>
      <c r="E29" s="173">
        <v>522304013</v>
      </c>
      <c r="F29" s="173" t="s">
        <v>2189</v>
      </c>
      <c r="G29" s="173">
        <v>299</v>
      </c>
      <c r="H29" s="198" t="s">
        <v>2191</v>
      </c>
      <c r="I29" s="171" t="e">
        <v>#N/A</v>
      </c>
      <c r="J29" s="173" t="s">
        <v>2059</v>
      </c>
    </row>
    <row r="30" spans="1:10">
      <c r="A30" s="173" t="s">
        <v>148</v>
      </c>
      <c r="B30" s="171">
        <v>45282</v>
      </c>
      <c r="C30" s="173">
        <v>1.6078948</v>
      </c>
      <c r="D30" s="173" t="s">
        <v>2192</v>
      </c>
      <c r="E30" s="173">
        <v>502826465</v>
      </c>
      <c r="F30" s="173" t="s">
        <v>2193</v>
      </c>
      <c r="G30" s="173">
        <v>199</v>
      </c>
      <c r="H30" s="197" t="s">
        <v>1589</v>
      </c>
      <c r="I30" s="171" t="e">
        <v>#N/A</v>
      </c>
      <c r="J30" s="173" t="s">
        <v>1827</v>
      </c>
    </row>
    <row r="31" spans="1:10">
      <c r="A31" s="173" t="s">
        <v>148</v>
      </c>
      <c r="B31" s="171">
        <v>45283</v>
      </c>
      <c r="C31" s="173" t="e">
        <v>#N/A</v>
      </c>
      <c r="D31" s="173" t="s">
        <v>2194</v>
      </c>
      <c r="E31" s="173">
        <v>523335219</v>
      </c>
      <c r="F31" s="173" t="s">
        <v>2195</v>
      </c>
      <c r="G31" s="173">
        <v>199</v>
      </c>
      <c r="H31" s="198" t="s">
        <v>1563</v>
      </c>
      <c r="I31" s="171" t="e">
        <v>#N/A</v>
      </c>
      <c r="J31" s="173" t="s">
        <v>1768</v>
      </c>
    </row>
    <row r="32" spans="1:10">
      <c r="A32" s="173" t="s">
        <v>148</v>
      </c>
      <c r="B32" s="171">
        <v>45283</v>
      </c>
      <c r="C32" s="173" t="e">
        <v>#N/A</v>
      </c>
      <c r="D32" s="173" t="s">
        <v>2196</v>
      </c>
      <c r="E32" s="173">
        <v>505197280</v>
      </c>
      <c r="F32" s="173" t="s">
        <v>2197</v>
      </c>
      <c r="G32" s="173">
        <v>299</v>
      </c>
      <c r="H32" s="198" t="s">
        <v>2191</v>
      </c>
      <c r="I32" s="171" t="e">
        <v>#N/A</v>
      </c>
      <c r="J32" s="173" t="s">
        <v>2053</v>
      </c>
    </row>
    <row r="33" spans="1:10">
      <c r="A33" s="173" t="s">
        <v>148</v>
      </c>
      <c r="B33" s="171">
        <v>45283</v>
      </c>
      <c r="C33" s="173">
        <v>1.6082965300000001</v>
      </c>
      <c r="D33" s="173" t="s">
        <v>2198</v>
      </c>
      <c r="E33" s="173">
        <v>529378898</v>
      </c>
      <c r="F33" s="173" t="s">
        <v>2199</v>
      </c>
      <c r="G33" s="173">
        <v>299</v>
      </c>
      <c r="H33" s="197" t="s">
        <v>1589</v>
      </c>
      <c r="I33" s="171" t="e">
        <v>#N/A</v>
      </c>
      <c r="J33" s="173" t="s">
        <v>1827</v>
      </c>
    </row>
    <row r="34" spans="1:10">
      <c r="A34" s="173" t="s">
        <v>148</v>
      </c>
      <c r="B34" s="171">
        <v>45284</v>
      </c>
      <c r="C34" s="173" t="e">
        <v>#N/A</v>
      </c>
      <c r="D34" s="173" t="s">
        <v>2200</v>
      </c>
      <c r="E34" s="173">
        <v>529378898</v>
      </c>
      <c r="F34" s="173" t="s">
        <v>2201</v>
      </c>
      <c r="G34" s="173">
        <v>299</v>
      </c>
      <c r="H34" s="198" t="s">
        <v>2191</v>
      </c>
      <c r="I34" s="171" t="e">
        <v>#N/A</v>
      </c>
      <c r="J34" s="173" t="s">
        <v>2059</v>
      </c>
    </row>
    <row r="35" spans="1:10">
      <c r="A35" s="173" t="s">
        <v>148</v>
      </c>
      <c r="B35" s="171">
        <v>45285</v>
      </c>
      <c r="C35" s="173">
        <v>1.5954956899999999</v>
      </c>
      <c r="D35" s="173" t="s">
        <v>2202</v>
      </c>
      <c r="E35" s="173">
        <v>553487456</v>
      </c>
      <c r="F35" s="173" t="s">
        <v>2203</v>
      </c>
      <c r="G35" s="173">
        <v>199</v>
      </c>
      <c r="H35" s="197" t="s">
        <v>1589</v>
      </c>
      <c r="I35" s="171" t="e">
        <v>#N/A</v>
      </c>
      <c r="J35" s="173"/>
    </row>
    <row r="36" spans="1:10">
      <c r="A36" s="173" t="s">
        <v>148</v>
      </c>
      <c r="B36" s="171">
        <v>45285</v>
      </c>
      <c r="C36" s="173">
        <v>1.6012436299999999</v>
      </c>
      <c r="D36" s="173" t="s">
        <v>2204</v>
      </c>
      <c r="E36" s="173">
        <v>551637543</v>
      </c>
      <c r="F36" s="173" t="s">
        <v>2205</v>
      </c>
      <c r="G36" s="173">
        <v>199</v>
      </c>
      <c r="H36" s="197" t="s">
        <v>1589</v>
      </c>
      <c r="I36" s="171" t="e">
        <v>#N/A</v>
      </c>
      <c r="J36" s="173"/>
    </row>
    <row r="37" spans="1:10">
      <c r="A37" s="173" t="s">
        <v>148</v>
      </c>
      <c r="B37" s="171">
        <v>45285</v>
      </c>
      <c r="C37" s="173">
        <v>1.6088132100000001</v>
      </c>
      <c r="D37" s="173" t="s">
        <v>2206</v>
      </c>
      <c r="E37" s="173">
        <v>567350591</v>
      </c>
      <c r="F37" s="173" t="s">
        <v>2207</v>
      </c>
      <c r="G37" s="173">
        <v>199</v>
      </c>
      <c r="H37" s="197" t="s">
        <v>1589</v>
      </c>
      <c r="I37" s="171" t="e">
        <v>#N/A</v>
      </c>
      <c r="J37" s="173"/>
    </row>
    <row r="38" spans="1:10">
      <c r="A38" s="173" t="s">
        <v>148</v>
      </c>
      <c r="B38" s="171">
        <v>45285</v>
      </c>
      <c r="C38" s="173" t="e">
        <v>#N/A</v>
      </c>
      <c r="D38" s="173" t="s">
        <v>2208</v>
      </c>
      <c r="E38" s="173">
        <v>528259808</v>
      </c>
      <c r="F38" s="173" t="s">
        <v>2209</v>
      </c>
      <c r="G38" s="173">
        <v>199</v>
      </c>
      <c r="H38" s="198" t="s">
        <v>1563</v>
      </c>
      <c r="I38" s="171" t="e">
        <v>#N/A</v>
      </c>
      <c r="J38" s="173" t="s">
        <v>1768</v>
      </c>
    </row>
    <row r="39" spans="1:10">
      <c r="A39" s="173" t="s">
        <v>148</v>
      </c>
      <c r="B39" s="171">
        <v>45285</v>
      </c>
      <c r="C39" s="173">
        <v>1.6089584400000001</v>
      </c>
      <c r="D39" s="173" t="s">
        <v>2210</v>
      </c>
      <c r="E39" s="173">
        <v>562656390</v>
      </c>
      <c r="F39" s="173" t="s">
        <v>2211</v>
      </c>
      <c r="G39" s="173">
        <v>299</v>
      </c>
      <c r="H39" s="197" t="s">
        <v>1589</v>
      </c>
      <c r="I39" s="171" t="e">
        <v>#N/A</v>
      </c>
      <c r="J39" s="173" t="s">
        <v>1827</v>
      </c>
    </row>
    <row r="40" spans="1:10">
      <c r="A40" s="173" t="s">
        <v>148</v>
      </c>
      <c r="B40" s="171">
        <v>45286</v>
      </c>
      <c r="C40" s="173">
        <v>1.4153397400000001</v>
      </c>
      <c r="D40" s="173" t="s">
        <v>2212</v>
      </c>
      <c r="E40" s="173">
        <v>552043505</v>
      </c>
      <c r="F40" s="173" t="s">
        <v>2213</v>
      </c>
      <c r="G40" s="173">
        <v>199</v>
      </c>
      <c r="H40" s="197" t="s">
        <v>1589</v>
      </c>
      <c r="I40" s="171" t="e">
        <v>#N/A</v>
      </c>
      <c r="J40" s="173"/>
    </row>
    <row r="41" spans="1:10">
      <c r="A41" s="173" t="s">
        <v>148</v>
      </c>
      <c r="B41" s="171">
        <v>45287</v>
      </c>
      <c r="C41" s="173">
        <v>1.3183280399999999</v>
      </c>
      <c r="D41" s="173" t="s">
        <v>2214</v>
      </c>
      <c r="E41" s="173">
        <v>556312015</v>
      </c>
      <c r="F41" s="173" t="s">
        <v>2215</v>
      </c>
      <c r="G41" s="173">
        <v>199</v>
      </c>
      <c r="H41" s="197" t="s">
        <v>1589</v>
      </c>
      <c r="I41" s="171" t="e">
        <v>#N/A</v>
      </c>
      <c r="J41" s="173"/>
    </row>
    <row r="42" spans="1:10">
      <c r="A42" s="173" t="s">
        <v>148</v>
      </c>
      <c r="B42" s="171">
        <v>45287</v>
      </c>
      <c r="C42" s="173">
        <v>1.60949239</v>
      </c>
      <c r="D42" s="173" t="s">
        <v>2216</v>
      </c>
      <c r="E42" s="173">
        <v>558303439</v>
      </c>
      <c r="F42" s="173" t="s">
        <v>2217</v>
      </c>
      <c r="G42" s="173">
        <v>199</v>
      </c>
      <c r="H42" s="197" t="s">
        <v>1589</v>
      </c>
      <c r="I42" s="171" t="e">
        <v>#N/A</v>
      </c>
      <c r="J42" s="173"/>
    </row>
    <row r="43" spans="1:10">
      <c r="A43" s="173" t="s">
        <v>2218</v>
      </c>
      <c r="B43" s="171" t="s">
        <v>2219</v>
      </c>
      <c r="C43" s="173" t="e">
        <v>#N/A</v>
      </c>
      <c r="D43" s="173" t="s">
        <v>2220</v>
      </c>
      <c r="E43" s="173">
        <v>522936370</v>
      </c>
      <c r="F43" s="173" t="s">
        <v>2221</v>
      </c>
      <c r="G43" s="173">
        <v>199</v>
      </c>
      <c r="H43" s="199" t="s">
        <v>1663</v>
      </c>
      <c r="I43" s="171" t="e">
        <v>#N/A</v>
      </c>
      <c r="J43" s="173"/>
    </row>
    <row r="44" spans="1:10">
      <c r="A44" s="173" t="s">
        <v>2218</v>
      </c>
      <c r="B44" s="171" t="s">
        <v>2222</v>
      </c>
      <c r="C44" s="173">
        <v>1.6101779599999999</v>
      </c>
      <c r="D44" s="173" t="s">
        <v>2223</v>
      </c>
      <c r="E44" s="173"/>
      <c r="F44" s="173" t="s">
        <v>2224</v>
      </c>
      <c r="G44" s="173">
        <v>199</v>
      </c>
      <c r="H44" s="197" t="s">
        <v>1589</v>
      </c>
      <c r="I44" s="171" t="e">
        <v>#N/A</v>
      </c>
      <c r="J44" s="173"/>
    </row>
    <row r="45" spans="1:10">
      <c r="A45" s="173" t="s">
        <v>2218</v>
      </c>
      <c r="B45" s="171" t="s">
        <v>2222</v>
      </c>
      <c r="C45" s="173">
        <v>1.3483746999999999</v>
      </c>
      <c r="D45" s="173" t="s">
        <v>2225</v>
      </c>
      <c r="E45" s="173">
        <v>557209659</v>
      </c>
      <c r="F45" s="173" t="s">
        <v>2226</v>
      </c>
      <c r="G45" s="173">
        <v>299</v>
      </c>
      <c r="H45" s="197" t="s">
        <v>1589</v>
      </c>
      <c r="I45" s="171" t="e">
        <v>#N/A</v>
      </c>
      <c r="J45" s="173"/>
    </row>
    <row r="46" spans="1:10">
      <c r="A46" s="173" t="s">
        <v>2218</v>
      </c>
      <c r="B46" s="171" t="s">
        <v>2227</v>
      </c>
      <c r="C46" s="173">
        <v>1.61046293</v>
      </c>
      <c r="D46" s="173" t="s">
        <v>2228</v>
      </c>
      <c r="E46" s="173">
        <v>555885349</v>
      </c>
      <c r="F46" s="173" t="s">
        <v>2229</v>
      </c>
      <c r="G46" s="173">
        <v>199</v>
      </c>
      <c r="H46" s="197" t="s">
        <v>1589</v>
      </c>
      <c r="I46" s="171" t="e">
        <v>#N/A</v>
      </c>
      <c r="J46" s="173"/>
    </row>
    <row r="47" spans="1:10">
      <c r="A47" s="173" t="s">
        <v>2218</v>
      </c>
      <c r="B47" s="171" t="s">
        <v>2227</v>
      </c>
      <c r="C47" s="173">
        <v>1.3854442199999999</v>
      </c>
      <c r="D47" s="173" t="s">
        <v>2230</v>
      </c>
      <c r="E47" s="173">
        <v>555378754</v>
      </c>
      <c r="F47" s="173" t="s">
        <v>2231</v>
      </c>
      <c r="G47" s="173">
        <v>199</v>
      </c>
      <c r="H47" s="197" t="s">
        <v>1589</v>
      </c>
      <c r="I47" s="171" t="e">
        <v>#N/A</v>
      </c>
      <c r="J47" s="173"/>
    </row>
    <row r="48" spans="1:10">
      <c r="A48" s="173" t="s">
        <v>2218</v>
      </c>
      <c r="B48" s="171" t="s">
        <v>2227</v>
      </c>
      <c r="C48" s="173">
        <v>1.61048049</v>
      </c>
      <c r="D48" s="173" t="s">
        <v>2232</v>
      </c>
      <c r="E48" s="173">
        <v>552661825</v>
      </c>
      <c r="F48" s="173" t="s">
        <v>2233</v>
      </c>
      <c r="G48" s="173">
        <v>199</v>
      </c>
      <c r="H48" s="197" t="s">
        <v>1589</v>
      </c>
      <c r="I48" s="171" t="e">
        <v>#N/A</v>
      </c>
      <c r="J48" s="173"/>
    </row>
    <row r="49" spans="1:10">
      <c r="A49" s="173" t="s">
        <v>2218</v>
      </c>
      <c r="B49" s="171" t="s">
        <v>2227</v>
      </c>
      <c r="C49" s="173">
        <v>1.6105375900000001</v>
      </c>
      <c r="D49" s="173" t="s">
        <v>2234</v>
      </c>
      <c r="E49" s="173">
        <v>569533615</v>
      </c>
      <c r="F49" s="173" t="s">
        <v>2235</v>
      </c>
      <c r="G49" s="173">
        <v>199</v>
      </c>
      <c r="H49" s="197" t="s">
        <v>1589</v>
      </c>
      <c r="I49" s="171" t="e">
        <v>#N/A</v>
      </c>
      <c r="J49" s="173"/>
    </row>
    <row r="50" spans="1:10">
      <c r="A50" s="173" t="s">
        <v>2218</v>
      </c>
      <c r="B50" s="171" t="s">
        <v>2227</v>
      </c>
      <c r="C50" s="173" t="e">
        <v>#N/A</v>
      </c>
      <c r="D50" s="173" t="s">
        <v>2236</v>
      </c>
      <c r="E50" s="173">
        <v>503464114</v>
      </c>
      <c r="F50" s="173" t="s">
        <v>2237</v>
      </c>
      <c r="G50" s="173">
        <v>199</v>
      </c>
      <c r="H50" s="199" t="s">
        <v>1663</v>
      </c>
      <c r="I50" s="171" t="e">
        <v>#N/A</v>
      </c>
      <c r="J50" s="173"/>
    </row>
    <row r="51" spans="1:10">
      <c r="A51" s="173" t="s">
        <v>2218</v>
      </c>
      <c r="B51" s="171" t="s">
        <v>2227</v>
      </c>
      <c r="C51" s="173">
        <v>1.41926807</v>
      </c>
      <c r="D51" s="173" t="s">
        <v>2238</v>
      </c>
      <c r="E51" s="173">
        <v>526582939</v>
      </c>
      <c r="F51" s="173" t="s">
        <v>2239</v>
      </c>
      <c r="G51" s="173">
        <v>199</v>
      </c>
      <c r="H51" s="197" t="s">
        <v>1589</v>
      </c>
      <c r="I51" s="171" t="e">
        <v>#N/A</v>
      </c>
      <c r="J51" s="173"/>
    </row>
    <row r="52" spans="1:10">
      <c r="A52" s="173" t="s">
        <v>2218</v>
      </c>
      <c r="B52" s="171" t="s">
        <v>2227</v>
      </c>
      <c r="C52" s="173">
        <v>1.61061192</v>
      </c>
      <c r="D52" s="173" t="s">
        <v>2240</v>
      </c>
      <c r="E52" s="173">
        <v>503680866</v>
      </c>
      <c r="F52" s="173" t="s">
        <v>2241</v>
      </c>
      <c r="G52" s="173">
        <v>199</v>
      </c>
      <c r="H52" s="197" t="s">
        <v>1589</v>
      </c>
      <c r="I52" s="171" t="e">
        <v>#N/A</v>
      </c>
      <c r="J52" s="173"/>
    </row>
    <row r="53" spans="1:10">
      <c r="A53" s="173" t="s">
        <v>2218</v>
      </c>
      <c r="B53" s="171" t="s">
        <v>2242</v>
      </c>
      <c r="C53" s="173" t="e">
        <v>#N/A</v>
      </c>
      <c r="D53" s="173" t="s">
        <v>2243</v>
      </c>
      <c r="E53" s="173">
        <v>558004151</v>
      </c>
      <c r="F53" s="173" t="s">
        <v>2244</v>
      </c>
      <c r="G53" s="173">
        <v>199</v>
      </c>
      <c r="H53" s="199" t="s">
        <v>1663</v>
      </c>
      <c r="I53" s="171" t="e">
        <v>#N/A</v>
      </c>
      <c r="J53" s="173"/>
    </row>
    <row r="54" spans="1:10">
      <c r="A54" s="173" t="s">
        <v>2218</v>
      </c>
      <c r="B54" s="171" t="s">
        <v>2242</v>
      </c>
      <c r="C54" s="173">
        <v>1.14810323</v>
      </c>
      <c r="D54" s="173" t="s">
        <v>2245</v>
      </c>
      <c r="E54" s="173">
        <v>522247117</v>
      </c>
      <c r="F54" s="173" t="s">
        <v>2246</v>
      </c>
      <c r="G54" s="173">
        <v>199</v>
      </c>
      <c r="H54" s="200" t="s">
        <v>2056</v>
      </c>
      <c r="I54" s="171" t="e">
        <v>#N/A</v>
      </c>
      <c r="J54" s="173" t="s">
        <v>2247</v>
      </c>
    </row>
    <row r="55" spans="1:10">
      <c r="A55" s="195" t="s">
        <v>1739</v>
      </c>
      <c r="B55" s="196" t="s">
        <v>1740</v>
      </c>
      <c r="C55" s="195" t="s">
        <v>2003</v>
      </c>
      <c r="D55" s="195" t="s">
        <v>1919</v>
      </c>
      <c r="E55" s="195"/>
      <c r="F55" s="195" t="s">
        <v>1743</v>
      </c>
      <c r="G55" s="195" t="s">
        <v>1746</v>
      </c>
      <c r="H55" s="195" t="s">
        <v>2069</v>
      </c>
      <c r="I55" s="196" t="s">
        <v>2134</v>
      </c>
      <c r="J55" s="195" t="s">
        <v>1752</v>
      </c>
    </row>
    <row r="56" spans="1:10">
      <c r="A56" s="173" t="s">
        <v>898</v>
      </c>
      <c r="B56" s="171">
        <v>45258</v>
      </c>
      <c r="C56" s="173">
        <v>1.6008755299999999</v>
      </c>
      <c r="D56" s="173" t="s">
        <v>2248</v>
      </c>
      <c r="E56" s="173"/>
      <c r="F56" s="173" t="s">
        <v>2249</v>
      </c>
      <c r="G56" s="173">
        <v>199</v>
      </c>
      <c r="H56" s="197" t="s">
        <v>1589</v>
      </c>
      <c r="I56" s="171" t="e">
        <v>#N/A</v>
      </c>
      <c r="J56" s="173"/>
    </row>
    <row r="57" spans="1:10">
      <c r="A57" s="173" t="s">
        <v>898</v>
      </c>
      <c r="B57" s="171">
        <v>45261</v>
      </c>
      <c r="C57" s="173">
        <v>1.6018565499999999</v>
      </c>
      <c r="D57" s="173" t="s">
        <v>2250</v>
      </c>
      <c r="E57" s="173"/>
      <c r="F57" s="173" t="s">
        <v>2251</v>
      </c>
      <c r="G57" s="173">
        <v>199</v>
      </c>
      <c r="H57" s="197" t="s">
        <v>1589</v>
      </c>
      <c r="I57" s="171" t="e">
        <v>#N/A</v>
      </c>
      <c r="J57" s="173"/>
    </row>
    <row r="58" spans="1:10">
      <c r="A58" s="173" t="s">
        <v>898</v>
      </c>
      <c r="B58" s="171">
        <v>45261</v>
      </c>
      <c r="C58" s="173">
        <v>1.60185866</v>
      </c>
      <c r="D58" s="173" t="s">
        <v>2252</v>
      </c>
      <c r="E58" s="173"/>
      <c r="F58" s="173" t="s">
        <v>2253</v>
      </c>
      <c r="G58" s="173">
        <v>199</v>
      </c>
      <c r="H58" s="197" t="s">
        <v>1589</v>
      </c>
      <c r="I58" s="171" t="e">
        <v>#N/A</v>
      </c>
      <c r="J58" s="173"/>
    </row>
    <row r="59" spans="1:10">
      <c r="A59" s="173" t="s">
        <v>898</v>
      </c>
      <c r="B59" s="171">
        <v>45261</v>
      </c>
      <c r="C59" s="173" t="e">
        <v>#N/A</v>
      </c>
      <c r="D59" s="173" t="s">
        <v>2254</v>
      </c>
      <c r="E59" s="173"/>
      <c r="F59" s="173" t="s">
        <v>2255</v>
      </c>
      <c r="G59" s="173">
        <v>199</v>
      </c>
      <c r="H59" s="198" t="s">
        <v>1563</v>
      </c>
      <c r="I59" s="171" t="e">
        <v>#N/A</v>
      </c>
      <c r="J59" s="173" t="s">
        <v>1794</v>
      </c>
    </row>
    <row r="60" spans="1:10">
      <c r="A60" s="173" t="s">
        <v>898</v>
      </c>
      <c r="B60" s="171">
        <v>45261</v>
      </c>
      <c r="C60" s="173">
        <v>1.5994797199999999</v>
      </c>
      <c r="D60" s="173" t="s">
        <v>2256</v>
      </c>
      <c r="E60" s="173"/>
      <c r="F60" s="173" t="s">
        <v>2257</v>
      </c>
      <c r="G60" s="173">
        <v>299</v>
      </c>
      <c r="H60" s="197" t="s">
        <v>1589</v>
      </c>
      <c r="I60" s="171" t="e">
        <v>#N/A</v>
      </c>
      <c r="J60" s="173"/>
    </row>
    <row r="61" spans="1:10">
      <c r="A61" s="173" t="s">
        <v>898</v>
      </c>
      <c r="B61" s="171">
        <v>45261</v>
      </c>
      <c r="C61" s="173">
        <v>1.60193382</v>
      </c>
      <c r="D61" s="173" t="s">
        <v>2258</v>
      </c>
      <c r="E61" s="173"/>
      <c r="F61" s="173" t="s">
        <v>2259</v>
      </c>
      <c r="G61" s="173">
        <v>199</v>
      </c>
      <c r="H61" s="197" t="s">
        <v>1589</v>
      </c>
      <c r="I61" s="171" t="e">
        <v>#N/A</v>
      </c>
      <c r="J61" s="173"/>
    </row>
    <row r="62" spans="1:10">
      <c r="A62" s="173" t="s">
        <v>898</v>
      </c>
      <c r="B62" s="171">
        <v>45262</v>
      </c>
      <c r="C62" s="173">
        <v>1.60213279</v>
      </c>
      <c r="D62" s="173" t="s">
        <v>2260</v>
      </c>
      <c r="E62" s="173"/>
      <c r="F62" s="173" t="s">
        <v>2261</v>
      </c>
      <c r="G62" s="173">
        <v>199</v>
      </c>
      <c r="H62" s="197" t="s">
        <v>1589</v>
      </c>
      <c r="I62" s="171" t="e">
        <v>#N/A</v>
      </c>
      <c r="J62" s="173"/>
    </row>
    <row r="63" spans="1:10">
      <c r="A63" s="173" t="s">
        <v>898</v>
      </c>
      <c r="B63" s="171">
        <v>45262</v>
      </c>
      <c r="C63" s="173">
        <v>1.6021678500000001</v>
      </c>
      <c r="D63" s="173" t="s">
        <v>2262</v>
      </c>
      <c r="E63" s="173"/>
      <c r="F63" s="173" t="s">
        <v>2263</v>
      </c>
      <c r="G63" s="173">
        <v>199</v>
      </c>
      <c r="H63" s="197" t="s">
        <v>1589</v>
      </c>
      <c r="I63" s="171" t="e">
        <v>#N/A</v>
      </c>
      <c r="J63" s="173"/>
    </row>
    <row r="64" spans="1:10">
      <c r="A64" s="173" t="s">
        <v>898</v>
      </c>
      <c r="B64" s="171">
        <v>45262</v>
      </c>
      <c r="C64" s="173">
        <v>1.4112976100000001</v>
      </c>
      <c r="D64" s="173" t="s">
        <v>2264</v>
      </c>
      <c r="E64" s="173"/>
      <c r="F64" s="173" t="s">
        <v>2265</v>
      </c>
      <c r="G64" s="173">
        <v>299</v>
      </c>
      <c r="H64" s="197" t="s">
        <v>1589</v>
      </c>
      <c r="I64" s="171" t="e">
        <v>#N/A</v>
      </c>
      <c r="J64" s="173"/>
    </row>
    <row r="65" spans="1:10">
      <c r="A65" s="173" t="s">
        <v>898</v>
      </c>
      <c r="B65" s="171">
        <v>45263</v>
      </c>
      <c r="C65" s="173">
        <v>1.45134714</v>
      </c>
      <c r="D65" s="173" t="s">
        <v>2266</v>
      </c>
      <c r="E65" s="173"/>
      <c r="F65" s="173" t="s">
        <v>2267</v>
      </c>
      <c r="G65" s="173">
        <v>199</v>
      </c>
      <c r="H65" s="197" t="s">
        <v>1589</v>
      </c>
      <c r="I65" s="171" t="e">
        <v>#N/A</v>
      </c>
      <c r="J65" s="173"/>
    </row>
    <row r="66" spans="1:10">
      <c r="A66" s="173" t="s">
        <v>898</v>
      </c>
      <c r="B66" s="171">
        <v>45263</v>
      </c>
      <c r="C66" s="173">
        <v>1.60239782</v>
      </c>
      <c r="D66" s="173" t="s">
        <v>2268</v>
      </c>
      <c r="E66" s="173"/>
      <c r="F66" s="173" t="s">
        <v>2269</v>
      </c>
      <c r="G66" s="173">
        <v>199</v>
      </c>
      <c r="H66" s="197" t="s">
        <v>1589</v>
      </c>
      <c r="I66" s="171" t="e">
        <v>#N/A</v>
      </c>
      <c r="J66" s="173"/>
    </row>
    <row r="67" spans="1:10">
      <c r="A67" s="173" t="s">
        <v>898</v>
      </c>
      <c r="B67" s="171">
        <v>45263</v>
      </c>
      <c r="C67" s="173" t="e">
        <v>#N/A</v>
      </c>
      <c r="D67" s="173" t="s">
        <v>2270</v>
      </c>
      <c r="E67" s="173"/>
      <c r="F67" s="173" t="s">
        <v>2271</v>
      </c>
      <c r="G67" s="173">
        <v>199</v>
      </c>
      <c r="H67" s="198" t="s">
        <v>1563</v>
      </c>
      <c r="I67" s="171" t="e">
        <v>#N/A</v>
      </c>
      <c r="J67" s="173" t="s">
        <v>1977</v>
      </c>
    </row>
    <row r="68" spans="1:10">
      <c r="A68" s="173" t="s">
        <v>898</v>
      </c>
      <c r="B68" s="171">
        <v>45263</v>
      </c>
      <c r="C68" s="173">
        <v>1.6024375900000001</v>
      </c>
      <c r="D68" s="173" t="s">
        <v>2272</v>
      </c>
      <c r="E68" s="173"/>
      <c r="F68" s="173" t="s">
        <v>2273</v>
      </c>
      <c r="G68" s="173">
        <v>199</v>
      </c>
      <c r="H68" s="197" t="s">
        <v>1589</v>
      </c>
      <c r="I68" s="171" t="e">
        <v>#N/A</v>
      </c>
      <c r="J68" s="173"/>
    </row>
    <row r="69" spans="1:10">
      <c r="A69" s="173" t="s">
        <v>898</v>
      </c>
      <c r="B69" s="171">
        <v>45263</v>
      </c>
      <c r="C69" s="173">
        <v>1.6024630499999999</v>
      </c>
      <c r="D69" s="173" t="s">
        <v>2274</v>
      </c>
      <c r="E69" s="173"/>
      <c r="F69" s="173" t="s">
        <v>2275</v>
      </c>
      <c r="G69" s="173">
        <v>199</v>
      </c>
      <c r="H69" s="197" t="s">
        <v>1589</v>
      </c>
      <c r="I69" s="171" t="e">
        <v>#N/A</v>
      </c>
      <c r="J69" s="173"/>
    </row>
    <row r="70" spans="1:10">
      <c r="A70" s="173" t="s">
        <v>898</v>
      </c>
      <c r="B70" s="171">
        <v>45264</v>
      </c>
      <c r="C70" s="173">
        <v>1.6026874799999999</v>
      </c>
      <c r="D70" s="173" t="s">
        <v>2276</v>
      </c>
      <c r="E70" s="173"/>
      <c r="F70" s="173" t="s">
        <v>2277</v>
      </c>
      <c r="G70" s="173">
        <v>199</v>
      </c>
      <c r="H70" s="197" t="s">
        <v>1589</v>
      </c>
      <c r="I70" s="171" t="e">
        <v>#N/A</v>
      </c>
      <c r="J70" s="173"/>
    </row>
    <row r="71" spans="1:10">
      <c r="A71" s="173" t="s">
        <v>898</v>
      </c>
      <c r="B71" s="171">
        <v>45264</v>
      </c>
      <c r="C71" s="173">
        <v>1.6027310800000001</v>
      </c>
      <c r="D71" s="173" t="s">
        <v>2278</v>
      </c>
      <c r="E71" s="173"/>
      <c r="F71" s="173" t="s">
        <v>2279</v>
      </c>
      <c r="G71" s="173">
        <v>199</v>
      </c>
      <c r="H71" s="197" t="s">
        <v>1589</v>
      </c>
      <c r="I71" s="171" t="e">
        <v>#N/A</v>
      </c>
      <c r="J71" s="173"/>
    </row>
    <row r="72" spans="1:10">
      <c r="A72" s="173" t="s">
        <v>898</v>
      </c>
      <c r="B72" s="171">
        <v>45267</v>
      </c>
      <c r="C72" s="173" t="e">
        <v>#N/A</v>
      </c>
      <c r="D72" s="173" t="s">
        <v>2280</v>
      </c>
      <c r="E72" s="173"/>
      <c r="F72" s="173" t="s">
        <v>2281</v>
      </c>
      <c r="G72" s="173">
        <v>199</v>
      </c>
      <c r="H72" s="198" t="s">
        <v>1563</v>
      </c>
      <c r="I72" s="171" t="e">
        <v>#N/A</v>
      </c>
      <c r="J72" s="173"/>
    </row>
    <row r="73" spans="1:10">
      <c r="A73" s="173" t="s">
        <v>898</v>
      </c>
      <c r="B73" s="171">
        <v>45268</v>
      </c>
      <c r="C73" s="173">
        <v>1.60383159</v>
      </c>
      <c r="D73" s="173" t="s">
        <v>2282</v>
      </c>
      <c r="E73" s="173"/>
      <c r="F73" s="173" t="s">
        <v>2283</v>
      </c>
      <c r="G73" s="173">
        <v>199</v>
      </c>
      <c r="H73" s="197" t="s">
        <v>1589</v>
      </c>
      <c r="I73" s="171" t="e">
        <v>#N/A</v>
      </c>
      <c r="J73" s="173"/>
    </row>
    <row r="74" spans="1:10">
      <c r="A74" s="173" t="s">
        <v>898</v>
      </c>
      <c r="B74" s="171">
        <v>45268</v>
      </c>
      <c r="C74" s="173">
        <v>1.1523971200000001</v>
      </c>
      <c r="D74" s="173" t="s">
        <v>2284</v>
      </c>
      <c r="E74" s="173"/>
      <c r="F74" s="173" t="s">
        <v>2285</v>
      </c>
      <c r="G74" s="173">
        <v>199</v>
      </c>
      <c r="H74" s="197" t="s">
        <v>1589</v>
      </c>
      <c r="I74" s="171" t="e">
        <v>#N/A</v>
      </c>
      <c r="J74" s="173"/>
    </row>
    <row r="75" spans="1:10">
      <c r="A75" s="173" t="s">
        <v>898</v>
      </c>
      <c r="B75" s="171">
        <v>45269</v>
      </c>
      <c r="C75" s="173">
        <v>1.2784209</v>
      </c>
      <c r="D75" s="173" t="s">
        <v>2286</v>
      </c>
      <c r="E75" s="173"/>
      <c r="F75" s="173" t="s">
        <v>2287</v>
      </c>
      <c r="G75" s="173">
        <v>199</v>
      </c>
      <c r="H75" s="197" t="s">
        <v>1589</v>
      </c>
      <c r="I75" s="171" t="e">
        <v>#N/A</v>
      </c>
      <c r="J75" s="173"/>
    </row>
    <row r="76" spans="1:10">
      <c r="A76" s="173" t="s">
        <v>898</v>
      </c>
      <c r="B76" s="171">
        <v>45269</v>
      </c>
      <c r="C76" s="173" t="e">
        <v>#N/A</v>
      </c>
      <c r="D76" s="173" t="s">
        <v>2288</v>
      </c>
      <c r="E76" s="173"/>
      <c r="F76" s="173" t="s">
        <v>2289</v>
      </c>
      <c r="G76" s="173">
        <v>199</v>
      </c>
      <c r="H76" s="198" t="s">
        <v>1563</v>
      </c>
      <c r="I76" s="171" t="e">
        <v>#N/A</v>
      </c>
      <c r="J76" s="173" t="s">
        <v>1768</v>
      </c>
    </row>
    <row r="77" spans="1:10">
      <c r="A77" s="173" t="s">
        <v>898</v>
      </c>
      <c r="B77" s="171">
        <v>45269</v>
      </c>
      <c r="C77" s="173" t="e">
        <v>#N/A</v>
      </c>
      <c r="D77" s="173" t="s">
        <v>2290</v>
      </c>
      <c r="E77" s="173"/>
      <c r="F77" s="173" t="s">
        <v>2291</v>
      </c>
      <c r="G77" s="173">
        <v>199</v>
      </c>
      <c r="H77" s="198" t="s">
        <v>1563</v>
      </c>
      <c r="I77" s="171" t="e">
        <v>#N/A</v>
      </c>
      <c r="J77" s="173" t="s">
        <v>2053</v>
      </c>
    </row>
    <row r="78" spans="1:10">
      <c r="A78" s="173" t="s">
        <v>898</v>
      </c>
      <c r="B78" s="171">
        <v>45270</v>
      </c>
      <c r="C78" s="173">
        <v>1.6037717300000001</v>
      </c>
      <c r="D78" s="173" t="s">
        <v>2292</v>
      </c>
      <c r="E78" s="173"/>
      <c r="F78" s="173" t="s">
        <v>2293</v>
      </c>
      <c r="G78" s="173">
        <v>199</v>
      </c>
      <c r="H78" s="197" t="s">
        <v>1589</v>
      </c>
      <c r="I78" s="171" t="e">
        <v>#N/A</v>
      </c>
      <c r="J78" s="173"/>
    </row>
    <row r="79" spans="1:10">
      <c r="A79" s="173" t="s">
        <v>898</v>
      </c>
      <c r="B79" s="171">
        <v>45270</v>
      </c>
      <c r="C79" s="173" t="e">
        <v>#N/A</v>
      </c>
      <c r="D79" s="173" t="s">
        <v>2294</v>
      </c>
      <c r="E79" s="173"/>
      <c r="F79" s="173" t="s">
        <v>2285</v>
      </c>
      <c r="G79" s="173">
        <v>199</v>
      </c>
      <c r="H79" s="198" t="s">
        <v>1563</v>
      </c>
      <c r="I79" s="171" t="e">
        <v>#N/A</v>
      </c>
      <c r="J79" s="173" t="s">
        <v>1768</v>
      </c>
    </row>
    <row r="80" spans="1:10">
      <c r="A80" s="173" t="s">
        <v>898</v>
      </c>
      <c r="B80" s="171">
        <v>45270</v>
      </c>
      <c r="C80" s="173" t="e">
        <v>#N/A</v>
      </c>
      <c r="D80" s="173" t="s">
        <v>2295</v>
      </c>
      <c r="E80" s="173"/>
      <c r="F80" s="173" t="s">
        <v>2291</v>
      </c>
      <c r="G80" s="173">
        <v>299</v>
      </c>
      <c r="H80" s="198" t="s">
        <v>1563</v>
      </c>
      <c r="I80" s="171" t="e">
        <v>#N/A</v>
      </c>
      <c r="J80" s="173" t="s">
        <v>2053</v>
      </c>
    </row>
    <row r="81" spans="1:10">
      <c r="A81" s="173" t="s">
        <v>898</v>
      </c>
      <c r="B81" s="171">
        <v>45271</v>
      </c>
      <c r="C81" s="173">
        <v>1.6045871300000001</v>
      </c>
      <c r="D81" s="173" t="s">
        <v>2296</v>
      </c>
      <c r="E81" s="173"/>
      <c r="F81" s="173" t="s">
        <v>2297</v>
      </c>
      <c r="G81" s="173">
        <v>199</v>
      </c>
      <c r="H81" s="197" t="s">
        <v>1589</v>
      </c>
      <c r="I81" s="171" t="e">
        <v>#N/A</v>
      </c>
      <c r="J81" s="173"/>
    </row>
    <row r="82" spans="1:10">
      <c r="A82" s="173" t="s">
        <v>898</v>
      </c>
      <c r="B82" s="171">
        <v>45272</v>
      </c>
      <c r="C82" s="173">
        <v>1.60483552</v>
      </c>
      <c r="D82" s="173" t="s">
        <v>2298</v>
      </c>
      <c r="E82" s="173"/>
      <c r="F82" s="173" t="s">
        <v>2299</v>
      </c>
      <c r="G82" s="173">
        <v>199</v>
      </c>
      <c r="H82" s="197" t="s">
        <v>1589</v>
      </c>
      <c r="I82" s="171" t="e">
        <v>#N/A</v>
      </c>
      <c r="J82" s="173"/>
    </row>
    <row r="83" spans="1:10">
      <c r="A83" s="173" t="s">
        <v>898</v>
      </c>
      <c r="B83" s="171">
        <v>45272</v>
      </c>
      <c r="C83" s="173">
        <v>1.60484855</v>
      </c>
      <c r="D83" s="173" t="s">
        <v>2300</v>
      </c>
      <c r="E83" s="173"/>
      <c r="F83" s="173" t="s">
        <v>2301</v>
      </c>
      <c r="G83" s="173">
        <v>199</v>
      </c>
      <c r="H83" s="197" t="s">
        <v>1589</v>
      </c>
      <c r="I83" s="171" t="e">
        <v>#N/A</v>
      </c>
      <c r="J83" s="173"/>
    </row>
    <row r="84" spans="1:10">
      <c r="A84" s="173" t="s">
        <v>898</v>
      </c>
      <c r="B84" s="171">
        <v>45273</v>
      </c>
      <c r="C84" s="173">
        <v>1.6051226000000001</v>
      </c>
      <c r="D84" s="173" t="s">
        <v>2302</v>
      </c>
      <c r="E84" s="173"/>
      <c r="F84" s="173" t="s">
        <v>2303</v>
      </c>
      <c r="G84" s="173">
        <v>199</v>
      </c>
      <c r="H84" s="197" t="s">
        <v>1589</v>
      </c>
      <c r="I84" s="171" t="e">
        <v>#N/A</v>
      </c>
      <c r="J84" s="173"/>
    </row>
    <row r="85" spans="1:10">
      <c r="A85" s="173" t="s">
        <v>898</v>
      </c>
      <c r="B85" s="171">
        <v>45273</v>
      </c>
      <c r="C85" s="173" t="e">
        <v>#N/A</v>
      </c>
      <c r="D85" s="173" t="s">
        <v>2304</v>
      </c>
      <c r="E85" s="173"/>
      <c r="F85" s="173" t="s">
        <v>2305</v>
      </c>
      <c r="G85" s="173">
        <v>199</v>
      </c>
      <c r="H85" s="198" t="s">
        <v>1563</v>
      </c>
      <c r="I85" s="171" t="e">
        <v>#N/A</v>
      </c>
      <c r="J85" s="173" t="s">
        <v>1768</v>
      </c>
    </row>
    <row r="86" spans="1:10">
      <c r="A86" s="173" t="s">
        <v>898</v>
      </c>
      <c r="B86" s="171">
        <v>45274</v>
      </c>
      <c r="C86" s="173">
        <v>1.60550736</v>
      </c>
      <c r="D86" s="173" t="s">
        <v>2306</v>
      </c>
      <c r="E86" s="173"/>
      <c r="F86" s="173" t="s">
        <v>2307</v>
      </c>
      <c r="G86" s="173">
        <v>199</v>
      </c>
      <c r="H86" s="197" t="s">
        <v>1589</v>
      </c>
      <c r="I86" s="171" t="e">
        <v>#N/A</v>
      </c>
      <c r="J86" s="173"/>
    </row>
    <row r="87" spans="1:10">
      <c r="A87" s="173" t="s">
        <v>898</v>
      </c>
      <c r="B87" s="171">
        <v>45275</v>
      </c>
      <c r="C87" s="173">
        <v>1.4437722099999999</v>
      </c>
      <c r="D87" s="173" t="s">
        <v>2308</v>
      </c>
      <c r="E87" s="173"/>
      <c r="F87" s="173" t="s">
        <v>2309</v>
      </c>
      <c r="G87" s="173">
        <v>199</v>
      </c>
      <c r="H87" s="197" t="s">
        <v>1589</v>
      </c>
      <c r="I87" s="171" t="e">
        <v>#N/A</v>
      </c>
      <c r="J87" s="173"/>
    </row>
    <row r="88" spans="1:10">
      <c r="A88" s="173" t="s">
        <v>898</v>
      </c>
      <c r="B88" s="171">
        <v>45276</v>
      </c>
      <c r="C88" s="173" t="e">
        <v>#N/A</v>
      </c>
      <c r="D88" s="173" t="s">
        <v>2310</v>
      </c>
      <c r="E88" s="173"/>
      <c r="F88" s="173" t="s">
        <v>2311</v>
      </c>
      <c r="G88" s="173">
        <v>199</v>
      </c>
      <c r="H88" s="198" t="s">
        <v>1563</v>
      </c>
      <c r="I88" s="171" t="e">
        <v>#N/A</v>
      </c>
      <c r="J88" s="173" t="s">
        <v>1977</v>
      </c>
    </row>
    <row r="89" spans="1:10">
      <c r="A89" s="173" t="s">
        <v>898</v>
      </c>
      <c r="B89" s="171">
        <v>45276</v>
      </c>
      <c r="C89" s="173">
        <v>1.6061058399999999</v>
      </c>
      <c r="D89" s="173" t="s">
        <v>2312</v>
      </c>
      <c r="E89" s="173"/>
      <c r="F89" s="173" t="s">
        <v>2313</v>
      </c>
      <c r="G89" s="173">
        <v>199</v>
      </c>
      <c r="H89" s="197" t="s">
        <v>1589</v>
      </c>
      <c r="I89" s="171" t="e">
        <v>#N/A</v>
      </c>
      <c r="J89" s="173"/>
    </row>
    <row r="90" spans="1:10">
      <c r="A90" s="173" t="s">
        <v>898</v>
      </c>
      <c r="B90" s="171">
        <v>45280</v>
      </c>
      <c r="C90" s="173">
        <v>1.58960502</v>
      </c>
      <c r="D90" s="173" t="s">
        <v>2314</v>
      </c>
      <c r="E90" s="173"/>
      <c r="F90" s="173" t="s">
        <v>2315</v>
      </c>
      <c r="G90" s="173">
        <v>299</v>
      </c>
      <c r="H90" s="197" t="s">
        <v>1589</v>
      </c>
      <c r="I90" s="171" t="e">
        <v>#N/A</v>
      </c>
      <c r="J90" s="173" t="s">
        <v>1827</v>
      </c>
    </row>
    <row r="91" spans="1:10">
      <c r="A91" s="173" t="s">
        <v>898</v>
      </c>
      <c r="B91" s="171">
        <v>45280</v>
      </c>
      <c r="C91" s="173">
        <v>1.6072905</v>
      </c>
      <c r="D91" s="173" t="s">
        <v>2316</v>
      </c>
      <c r="E91" s="173"/>
      <c r="F91" s="173" t="s">
        <v>2317</v>
      </c>
      <c r="G91" s="173">
        <v>299</v>
      </c>
      <c r="H91" s="197" t="s">
        <v>1589</v>
      </c>
      <c r="I91" s="171" t="e">
        <v>#N/A</v>
      </c>
      <c r="J91" s="173" t="s">
        <v>1827</v>
      </c>
    </row>
    <row r="92" spans="1:10">
      <c r="A92" s="173" t="s">
        <v>898</v>
      </c>
      <c r="B92" s="171">
        <v>45282</v>
      </c>
      <c r="C92" s="173">
        <v>1.6077984000000001</v>
      </c>
      <c r="D92" s="173" t="s">
        <v>2318</v>
      </c>
      <c r="E92" s="173"/>
      <c r="F92" s="173" t="s">
        <v>2319</v>
      </c>
      <c r="G92" s="173">
        <v>199</v>
      </c>
      <c r="H92" s="197" t="s">
        <v>1589</v>
      </c>
      <c r="I92" s="171" t="e">
        <v>#N/A</v>
      </c>
      <c r="J92" s="173" t="s">
        <v>1827</v>
      </c>
    </row>
    <row r="93" spans="1:10">
      <c r="A93" s="173" t="s">
        <v>898</v>
      </c>
      <c r="B93" s="171">
        <v>45282</v>
      </c>
      <c r="C93" s="173" t="e">
        <v>#N/A</v>
      </c>
      <c r="D93" s="173" t="s">
        <v>2320</v>
      </c>
      <c r="E93" s="173"/>
      <c r="F93" s="173" t="s">
        <v>2321</v>
      </c>
      <c r="G93" s="173">
        <v>199</v>
      </c>
      <c r="H93" s="198" t="s">
        <v>1563</v>
      </c>
      <c r="I93" s="171" t="e">
        <v>#N/A</v>
      </c>
      <c r="J93" s="173" t="s">
        <v>1768</v>
      </c>
    </row>
    <row r="94" spans="1:10">
      <c r="A94" s="173" t="s">
        <v>898</v>
      </c>
      <c r="B94" s="171">
        <v>45284</v>
      </c>
      <c r="C94" s="173">
        <v>1.60853756</v>
      </c>
      <c r="D94" s="173" t="s">
        <v>2322</v>
      </c>
      <c r="E94" s="173"/>
      <c r="F94" s="173" t="s">
        <v>2323</v>
      </c>
      <c r="G94" s="173">
        <v>199</v>
      </c>
      <c r="H94" s="197" t="s">
        <v>1589</v>
      </c>
      <c r="I94" s="171" t="e">
        <v>#N/A</v>
      </c>
      <c r="J94" s="173" t="s">
        <v>1827</v>
      </c>
    </row>
    <row r="95" spans="1:10">
      <c r="A95" s="173" t="s">
        <v>898</v>
      </c>
      <c r="B95" s="171">
        <v>45284</v>
      </c>
      <c r="C95" s="173" t="e">
        <v>#N/A</v>
      </c>
      <c r="D95" s="173" t="s">
        <v>2324</v>
      </c>
      <c r="E95" s="173"/>
      <c r="F95" s="173" t="s">
        <v>2325</v>
      </c>
      <c r="G95" s="173">
        <v>199</v>
      </c>
      <c r="H95" s="198" t="s">
        <v>1563</v>
      </c>
      <c r="I95" s="171" t="e">
        <v>#N/A</v>
      </c>
      <c r="J95" s="173" t="s">
        <v>2053</v>
      </c>
    </row>
    <row r="96" spans="1:10">
      <c r="A96" s="173" t="s">
        <v>898</v>
      </c>
      <c r="B96" s="171">
        <v>45285</v>
      </c>
      <c r="C96" s="173">
        <v>1.2903307500000001</v>
      </c>
      <c r="D96" s="173" t="s">
        <v>2326</v>
      </c>
      <c r="E96" s="173"/>
      <c r="F96" s="173" t="s">
        <v>2327</v>
      </c>
      <c r="G96" s="173">
        <v>199</v>
      </c>
      <c r="H96" s="197" t="s">
        <v>1589</v>
      </c>
      <c r="I96" s="171" t="e">
        <v>#N/A</v>
      </c>
      <c r="J96" s="173"/>
    </row>
    <row r="97" spans="1:10">
      <c r="A97" s="173" t="s">
        <v>898</v>
      </c>
      <c r="B97" s="171">
        <v>45287</v>
      </c>
      <c r="C97" s="173">
        <v>1.5173823200000001</v>
      </c>
      <c r="D97" s="173" t="s">
        <v>2328</v>
      </c>
      <c r="E97" s="173"/>
      <c r="F97" s="173" t="s">
        <v>2329</v>
      </c>
      <c r="G97" s="173">
        <v>299</v>
      </c>
      <c r="H97" s="197" t="s">
        <v>1589</v>
      </c>
      <c r="I97" s="171" t="e">
        <v>#N/A</v>
      </c>
      <c r="J97" s="173"/>
    </row>
    <row r="98" spans="1:10">
      <c r="A98" s="173" t="s">
        <v>898</v>
      </c>
      <c r="B98" s="171">
        <v>45287</v>
      </c>
      <c r="C98" s="173">
        <v>1.6094482999999999</v>
      </c>
      <c r="D98" s="173" t="s">
        <v>2330</v>
      </c>
      <c r="E98" s="173"/>
      <c r="F98" s="173" t="s">
        <v>2331</v>
      </c>
      <c r="G98" s="173">
        <v>199</v>
      </c>
      <c r="H98" s="197" t="s">
        <v>1589</v>
      </c>
      <c r="I98" s="171" t="e">
        <v>#N/A</v>
      </c>
      <c r="J98" s="173"/>
    </row>
    <row r="99" spans="1:10">
      <c r="A99" s="173" t="s">
        <v>898</v>
      </c>
      <c r="B99" s="171">
        <v>45287</v>
      </c>
      <c r="C99" s="173" t="e">
        <v>#N/A</v>
      </c>
      <c r="D99" s="173" t="s">
        <v>2332</v>
      </c>
      <c r="E99" s="173"/>
      <c r="F99" s="173" t="s">
        <v>2333</v>
      </c>
      <c r="G99" s="173">
        <v>299</v>
      </c>
      <c r="H99" s="199" t="s">
        <v>1663</v>
      </c>
      <c r="I99" s="171" t="e">
        <v>#N/A</v>
      </c>
      <c r="J99" s="173"/>
    </row>
    <row r="100" spans="1:10">
      <c r="A100" s="173" t="s">
        <v>898</v>
      </c>
      <c r="B100" s="171">
        <v>45287</v>
      </c>
      <c r="C100" s="173">
        <v>1.6095208400000001</v>
      </c>
      <c r="D100" s="173" t="s">
        <v>2334</v>
      </c>
      <c r="E100" s="173"/>
      <c r="F100" s="173" t="s">
        <v>2335</v>
      </c>
      <c r="G100" s="173">
        <v>199</v>
      </c>
      <c r="H100" s="197" t="s">
        <v>1589</v>
      </c>
      <c r="I100" s="171" t="e">
        <v>#N/A</v>
      </c>
      <c r="J100" s="173"/>
    </row>
    <row r="101" spans="1:10">
      <c r="A101" s="173" t="s">
        <v>2336</v>
      </c>
      <c r="B101" s="171" t="s">
        <v>2219</v>
      </c>
      <c r="C101" s="173">
        <v>1.60978171</v>
      </c>
      <c r="D101" s="173" t="s">
        <v>2337</v>
      </c>
      <c r="E101" s="173"/>
      <c r="F101" s="173" t="s">
        <v>2338</v>
      </c>
      <c r="G101" s="173">
        <v>199</v>
      </c>
      <c r="H101" s="197" t="s">
        <v>1589</v>
      </c>
      <c r="I101" s="171" t="e">
        <v>#N/A</v>
      </c>
      <c r="J101" s="173"/>
    </row>
    <row r="102" spans="1:10">
      <c r="A102" s="173" t="s">
        <v>2336</v>
      </c>
      <c r="B102" s="171" t="s">
        <v>2219</v>
      </c>
      <c r="C102" s="173">
        <v>1.60982275</v>
      </c>
      <c r="D102" s="173" t="s">
        <v>2339</v>
      </c>
      <c r="E102" s="173"/>
      <c r="F102" s="173" t="s">
        <v>2340</v>
      </c>
      <c r="G102" s="173">
        <v>199</v>
      </c>
      <c r="H102" s="197" t="s">
        <v>1589</v>
      </c>
      <c r="I102" s="171" t="e">
        <v>#N/A</v>
      </c>
      <c r="J102" s="173"/>
    </row>
    <row r="103" spans="1:10">
      <c r="A103" s="173" t="s">
        <v>2336</v>
      </c>
      <c r="B103" s="171" t="s">
        <v>2219</v>
      </c>
      <c r="C103" s="173">
        <v>1.60421573</v>
      </c>
      <c r="D103" s="173" t="s">
        <v>2341</v>
      </c>
      <c r="E103" s="173"/>
      <c r="F103" s="173" t="s">
        <v>2342</v>
      </c>
      <c r="G103" s="173">
        <v>299</v>
      </c>
      <c r="H103" s="200" t="s">
        <v>2056</v>
      </c>
      <c r="I103" s="171" t="e">
        <v>#N/A</v>
      </c>
      <c r="J103" s="173" t="s">
        <v>2247</v>
      </c>
    </row>
    <row r="104" spans="1:10">
      <c r="A104" s="173" t="s">
        <v>2336</v>
      </c>
      <c r="B104" s="171" t="s">
        <v>2219</v>
      </c>
      <c r="C104" s="173" t="e">
        <v>#N/A</v>
      </c>
      <c r="D104" s="173" t="s">
        <v>2343</v>
      </c>
      <c r="E104" s="173"/>
      <c r="F104" s="173" t="s">
        <v>2344</v>
      </c>
      <c r="G104" s="173">
        <v>199</v>
      </c>
      <c r="H104" s="199" t="s">
        <v>1663</v>
      </c>
      <c r="I104" s="171" t="e">
        <v>#N/A</v>
      </c>
      <c r="J104" s="173"/>
    </row>
    <row r="105" spans="1:10">
      <c r="A105" s="173" t="s">
        <v>2336</v>
      </c>
      <c r="B105" s="171" t="s">
        <v>2219</v>
      </c>
      <c r="C105" s="173">
        <v>1.60984829</v>
      </c>
      <c r="D105" s="173" t="s">
        <v>2345</v>
      </c>
      <c r="E105" s="173"/>
      <c r="F105" s="173" t="s">
        <v>2346</v>
      </c>
      <c r="G105" s="173">
        <v>199</v>
      </c>
      <c r="H105" s="197" t="s">
        <v>1589</v>
      </c>
      <c r="I105" s="171" t="e">
        <v>#N/A</v>
      </c>
      <c r="J105" s="173"/>
    </row>
    <row r="106" spans="1:10">
      <c r="A106" s="173" t="s">
        <v>2336</v>
      </c>
      <c r="B106" s="171" t="s">
        <v>2219</v>
      </c>
      <c r="C106" s="173" t="e">
        <v>#N/A</v>
      </c>
      <c r="D106" s="173" t="s">
        <v>2347</v>
      </c>
      <c r="E106" s="173"/>
      <c r="F106" s="173" t="s">
        <v>2348</v>
      </c>
      <c r="G106" s="173">
        <v>199</v>
      </c>
      <c r="H106" s="199" t="s">
        <v>1663</v>
      </c>
      <c r="I106" s="171" t="e">
        <v>#N/A</v>
      </c>
      <c r="J106" s="173"/>
    </row>
    <row r="107" spans="1:10">
      <c r="A107" s="173" t="s">
        <v>2336</v>
      </c>
      <c r="B107" s="171" t="s">
        <v>2222</v>
      </c>
      <c r="C107" s="173" t="e">
        <v>#N/A</v>
      </c>
      <c r="D107" s="173" t="s">
        <v>2349</v>
      </c>
      <c r="E107" s="173"/>
      <c r="F107" s="173" t="s">
        <v>2350</v>
      </c>
      <c r="G107" s="173">
        <v>199</v>
      </c>
      <c r="H107" s="199" t="s">
        <v>1663</v>
      </c>
      <c r="I107" s="171" t="e">
        <v>#N/A</v>
      </c>
      <c r="J107" s="173"/>
    </row>
    <row r="108" spans="1:10">
      <c r="A108" s="173" t="s">
        <v>2336</v>
      </c>
      <c r="B108" s="171" t="s">
        <v>2222</v>
      </c>
      <c r="C108" s="173" t="e">
        <v>#N/A</v>
      </c>
      <c r="D108" s="173" t="s">
        <v>2351</v>
      </c>
      <c r="E108" s="173"/>
      <c r="F108" s="173" t="s">
        <v>2352</v>
      </c>
      <c r="G108" s="173">
        <v>199</v>
      </c>
      <c r="H108" s="199" t="s">
        <v>1663</v>
      </c>
      <c r="I108" s="171" t="e">
        <v>#N/A</v>
      </c>
      <c r="J108" s="173"/>
    </row>
    <row r="109" spans="1:10">
      <c r="A109" s="173" t="s">
        <v>2336</v>
      </c>
      <c r="B109" s="171" t="s">
        <v>2227</v>
      </c>
      <c r="C109" s="173">
        <v>1.61049888</v>
      </c>
      <c r="D109" s="173" t="s">
        <v>2353</v>
      </c>
      <c r="E109" s="173"/>
      <c r="F109" s="173" t="s">
        <v>2354</v>
      </c>
      <c r="G109" s="173">
        <v>199</v>
      </c>
      <c r="H109" s="197" t="s">
        <v>1589</v>
      </c>
      <c r="I109" s="171" t="e">
        <v>#N/A</v>
      </c>
      <c r="J109" s="17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85"/>
  <sheetViews>
    <sheetView topLeftCell="C49" zoomScale="99" workbookViewId="0">
      <selection activeCell="F57" sqref="F57"/>
    </sheetView>
  </sheetViews>
  <sheetFormatPr defaultRowHeight="14.5"/>
  <cols>
    <col min="4" max="4" width="11.26953125" bestFit="1" customWidth="1"/>
    <col min="5" max="5" width="11.26953125" customWidth="1"/>
    <col min="6" max="6" width="40.81640625" bestFit="1" customWidth="1"/>
  </cols>
  <sheetData>
    <row r="1" spans="1:8">
      <c r="A1" s="201" t="s">
        <v>1739</v>
      </c>
      <c r="B1" s="202" t="s">
        <v>1740</v>
      </c>
      <c r="C1" s="201" t="s">
        <v>2355</v>
      </c>
      <c r="D1" s="201" t="s">
        <v>1919</v>
      </c>
      <c r="E1" s="201" t="s">
        <v>2635</v>
      </c>
      <c r="F1" s="201" t="s">
        <v>1743</v>
      </c>
      <c r="G1" s="201" t="s">
        <v>1746</v>
      </c>
      <c r="H1" s="201" t="s">
        <v>2069</v>
      </c>
    </row>
    <row r="2" spans="1:8">
      <c r="A2" s="173" t="s">
        <v>148</v>
      </c>
      <c r="B2" s="171">
        <v>45291</v>
      </c>
      <c r="C2" s="173">
        <v>1.14810323</v>
      </c>
      <c r="D2" s="173" t="s">
        <v>2245</v>
      </c>
      <c r="E2" s="173"/>
      <c r="F2" s="173" t="s">
        <v>2246</v>
      </c>
      <c r="G2" s="173">
        <v>199</v>
      </c>
      <c r="H2" s="203" t="s">
        <v>2358</v>
      </c>
    </row>
    <row r="3" spans="1:8">
      <c r="A3" s="173" t="s">
        <v>148</v>
      </c>
      <c r="B3" s="171">
        <v>45292</v>
      </c>
      <c r="C3" s="173" t="e">
        <v>#N/A</v>
      </c>
      <c r="D3" s="173" t="s">
        <v>2421</v>
      </c>
      <c r="E3" s="173">
        <v>522318959</v>
      </c>
      <c r="F3" s="173" t="s">
        <v>2422</v>
      </c>
      <c r="G3" s="173">
        <v>199</v>
      </c>
      <c r="H3" s="204" t="s">
        <v>2369</v>
      </c>
    </row>
    <row r="4" spans="1:8">
      <c r="A4" s="173" t="s">
        <v>148</v>
      </c>
      <c r="B4" s="171">
        <v>45292</v>
      </c>
      <c r="C4" s="173">
        <v>1.6110006400000001</v>
      </c>
      <c r="D4" s="173" t="s">
        <v>2423</v>
      </c>
      <c r="E4" s="173">
        <v>506532488</v>
      </c>
      <c r="F4" s="173" t="s">
        <v>2424</v>
      </c>
      <c r="G4" s="173">
        <v>299</v>
      </c>
      <c r="H4" s="203" t="s">
        <v>2358</v>
      </c>
    </row>
    <row r="5" spans="1:8">
      <c r="A5" s="173" t="s">
        <v>148</v>
      </c>
      <c r="B5" s="171">
        <v>45292</v>
      </c>
      <c r="C5" s="173">
        <v>1.6110214</v>
      </c>
      <c r="D5" s="173" t="s">
        <v>2425</v>
      </c>
      <c r="E5" s="173">
        <v>522717255</v>
      </c>
      <c r="F5" s="173" t="s">
        <v>2426</v>
      </c>
      <c r="G5" s="173">
        <v>199</v>
      </c>
      <c r="H5" s="203" t="s">
        <v>2358</v>
      </c>
    </row>
    <row r="6" spans="1:8">
      <c r="A6" s="173" t="s">
        <v>148</v>
      </c>
      <c r="B6" s="171">
        <v>45293</v>
      </c>
      <c r="C6" s="173">
        <v>1.5715460999999999</v>
      </c>
      <c r="D6" s="173" t="s">
        <v>2427</v>
      </c>
      <c r="E6" s="173">
        <v>555505412</v>
      </c>
      <c r="F6" s="173" t="s">
        <v>2428</v>
      </c>
      <c r="G6" s="173">
        <v>199</v>
      </c>
      <c r="H6" s="203" t="s">
        <v>2358</v>
      </c>
    </row>
    <row r="7" spans="1:8">
      <c r="A7" s="173" t="s">
        <v>148</v>
      </c>
      <c r="B7" s="171">
        <v>45293</v>
      </c>
      <c r="C7" s="173">
        <v>1.61118965</v>
      </c>
      <c r="D7" s="173" t="s">
        <v>2429</v>
      </c>
      <c r="E7" s="173">
        <v>554721100</v>
      </c>
      <c r="F7" s="173" t="s">
        <v>2430</v>
      </c>
      <c r="G7" s="173">
        <v>199</v>
      </c>
      <c r="H7" s="203" t="s">
        <v>2358</v>
      </c>
    </row>
    <row r="8" spans="1:8">
      <c r="A8" s="173" t="s">
        <v>148</v>
      </c>
      <c r="B8" s="171">
        <v>45294</v>
      </c>
      <c r="C8" s="173" t="e">
        <v>#N/A</v>
      </c>
      <c r="D8" s="173" t="s">
        <v>2431</v>
      </c>
      <c r="E8" s="173">
        <v>508580633</v>
      </c>
      <c r="F8" s="173" t="s">
        <v>2432</v>
      </c>
      <c r="G8" s="173">
        <v>199</v>
      </c>
      <c r="H8" s="204" t="s">
        <v>2369</v>
      </c>
    </row>
    <row r="9" spans="1:8">
      <c r="A9" s="173" t="s">
        <v>148</v>
      </c>
      <c r="B9" s="171">
        <v>45295</v>
      </c>
      <c r="C9" s="173" t="e">
        <v>#N/A</v>
      </c>
      <c r="D9" s="173" t="s">
        <v>2433</v>
      </c>
      <c r="E9" s="173">
        <v>521408667</v>
      </c>
      <c r="F9" s="173" t="s">
        <v>2434</v>
      </c>
      <c r="G9" s="173">
        <v>299</v>
      </c>
      <c r="H9" s="204" t="s">
        <v>2369</v>
      </c>
    </row>
    <row r="10" spans="1:8">
      <c r="A10" s="173" t="s">
        <v>148</v>
      </c>
      <c r="B10" s="171">
        <v>45295</v>
      </c>
      <c r="C10" s="173" t="e">
        <v>#N/A</v>
      </c>
      <c r="D10" s="173" t="s">
        <v>2435</v>
      </c>
      <c r="E10" s="173">
        <v>504994168</v>
      </c>
      <c r="F10" s="173" t="s">
        <v>2436</v>
      </c>
      <c r="G10" s="173">
        <v>199</v>
      </c>
      <c r="H10" s="204" t="s">
        <v>2369</v>
      </c>
    </row>
    <row r="11" spans="1:8">
      <c r="A11" s="173" t="s">
        <v>148</v>
      </c>
      <c r="B11" s="171">
        <v>45296</v>
      </c>
      <c r="C11" s="173" t="e">
        <v>#N/A</v>
      </c>
      <c r="D11" s="173" t="s">
        <v>2437</v>
      </c>
      <c r="E11" s="173">
        <v>526259493</v>
      </c>
      <c r="F11" s="173" t="s">
        <v>2438</v>
      </c>
      <c r="G11" s="173">
        <v>199</v>
      </c>
      <c r="H11" s="204" t="s">
        <v>2369</v>
      </c>
    </row>
    <row r="12" spans="1:8">
      <c r="A12" s="173" t="s">
        <v>148</v>
      </c>
      <c r="B12" s="171">
        <v>45296</v>
      </c>
      <c r="C12" s="173">
        <v>1.6118445400000001</v>
      </c>
      <c r="D12" s="173" t="s">
        <v>2439</v>
      </c>
      <c r="E12" s="173">
        <v>504994168</v>
      </c>
      <c r="F12" s="173" t="s">
        <v>2436</v>
      </c>
      <c r="G12" s="173">
        <v>199</v>
      </c>
      <c r="H12" s="203" t="s">
        <v>2358</v>
      </c>
    </row>
    <row r="13" spans="1:8">
      <c r="A13" s="173" t="s">
        <v>148</v>
      </c>
      <c r="B13" s="171">
        <v>45297</v>
      </c>
      <c r="C13" s="173" t="e">
        <v>#N/A</v>
      </c>
      <c r="D13" s="173" t="s">
        <v>2440</v>
      </c>
      <c r="E13" s="173">
        <v>521408667</v>
      </c>
      <c r="F13" s="173" t="s">
        <v>2434</v>
      </c>
      <c r="G13" s="173">
        <v>299</v>
      </c>
      <c r="H13" s="204" t="s">
        <v>1563</v>
      </c>
    </row>
    <row r="14" spans="1:8">
      <c r="A14" s="173" t="s">
        <v>148</v>
      </c>
      <c r="B14" s="171">
        <v>45297</v>
      </c>
      <c r="C14" s="173">
        <v>1.4994011300000001</v>
      </c>
      <c r="D14" s="173" t="s">
        <v>2441</v>
      </c>
      <c r="E14" s="173">
        <v>501021518</v>
      </c>
      <c r="F14" s="173" t="s">
        <v>2442</v>
      </c>
      <c r="G14" s="173">
        <v>299</v>
      </c>
      <c r="H14" s="203" t="s">
        <v>2358</v>
      </c>
    </row>
    <row r="15" spans="1:8">
      <c r="A15" s="173" t="s">
        <v>148</v>
      </c>
      <c r="B15" s="171">
        <v>45297</v>
      </c>
      <c r="C15" s="173">
        <v>1.61235632</v>
      </c>
      <c r="D15" s="173" t="s">
        <v>2443</v>
      </c>
      <c r="E15" s="173">
        <v>542029480</v>
      </c>
      <c r="F15" s="173" t="s">
        <v>2444</v>
      </c>
      <c r="G15" s="173">
        <v>199</v>
      </c>
      <c r="H15" s="203" t="s">
        <v>2358</v>
      </c>
    </row>
    <row r="16" spans="1:8">
      <c r="A16" s="173" t="s">
        <v>148</v>
      </c>
      <c r="B16" s="171">
        <v>45299</v>
      </c>
      <c r="C16" s="173">
        <v>1.48065508</v>
      </c>
      <c r="D16" s="173" t="s">
        <v>2445</v>
      </c>
      <c r="E16" s="173">
        <v>524227019</v>
      </c>
      <c r="F16" s="173" t="s">
        <v>2446</v>
      </c>
      <c r="G16" s="173">
        <v>299</v>
      </c>
      <c r="H16" s="203" t="s">
        <v>2358</v>
      </c>
    </row>
    <row r="17" spans="1:8">
      <c r="A17" s="173" t="s">
        <v>148</v>
      </c>
      <c r="B17" s="171">
        <v>45299</v>
      </c>
      <c r="C17" s="173">
        <v>1.61291283</v>
      </c>
      <c r="D17" s="173" t="s">
        <v>2447</v>
      </c>
      <c r="E17" s="173">
        <v>501318677</v>
      </c>
      <c r="F17" s="173" t="s">
        <v>2448</v>
      </c>
      <c r="G17" s="173">
        <v>299</v>
      </c>
      <c r="H17" s="203" t="s">
        <v>2358</v>
      </c>
    </row>
    <row r="18" spans="1:8">
      <c r="A18" s="173" t="s">
        <v>148</v>
      </c>
      <c r="B18" s="171">
        <v>45300</v>
      </c>
      <c r="C18" s="173">
        <v>1.6131618599999999</v>
      </c>
      <c r="D18" s="173" t="s">
        <v>2449</v>
      </c>
      <c r="E18" s="173">
        <v>558891786</v>
      </c>
      <c r="F18" s="173" t="s">
        <v>2450</v>
      </c>
      <c r="G18" s="173">
        <v>199</v>
      </c>
      <c r="H18" s="203" t="s">
        <v>2358</v>
      </c>
    </row>
    <row r="19" spans="1:8">
      <c r="A19" s="173" t="s">
        <v>148</v>
      </c>
      <c r="B19" s="171">
        <v>45301</v>
      </c>
      <c r="C19" s="173">
        <v>1.6133081</v>
      </c>
      <c r="D19" s="173" t="s">
        <v>2451</v>
      </c>
      <c r="E19" s="173">
        <v>555641550</v>
      </c>
      <c r="F19" s="173" t="s">
        <v>2452</v>
      </c>
      <c r="G19" s="173">
        <v>199</v>
      </c>
      <c r="H19" s="203" t="s">
        <v>2358</v>
      </c>
    </row>
    <row r="20" spans="1:8">
      <c r="A20" s="173" t="s">
        <v>148</v>
      </c>
      <c r="B20" s="171">
        <v>45301</v>
      </c>
      <c r="C20" s="173">
        <v>1.61341303</v>
      </c>
      <c r="D20" s="173" t="s">
        <v>2453</v>
      </c>
      <c r="E20" s="173">
        <v>547716683</v>
      </c>
      <c r="F20" s="173" t="s">
        <v>2454</v>
      </c>
      <c r="G20" s="173">
        <v>199</v>
      </c>
      <c r="H20" s="203" t="s">
        <v>2358</v>
      </c>
    </row>
    <row r="21" spans="1:8">
      <c r="A21" s="173" t="s">
        <v>148</v>
      </c>
      <c r="B21" s="171">
        <v>45301</v>
      </c>
      <c r="C21" s="173">
        <v>1.61344555</v>
      </c>
      <c r="D21" s="173" t="s">
        <v>2455</v>
      </c>
      <c r="E21" s="173">
        <v>552600246</v>
      </c>
      <c r="F21" s="173" t="s">
        <v>2456</v>
      </c>
      <c r="G21" s="173">
        <v>199</v>
      </c>
      <c r="H21" s="203" t="s">
        <v>2358</v>
      </c>
    </row>
    <row r="22" spans="1:8">
      <c r="A22" s="173" t="s">
        <v>148</v>
      </c>
      <c r="B22" s="171">
        <v>45303</v>
      </c>
      <c r="C22" s="173" t="e">
        <v>#N/A</v>
      </c>
      <c r="D22" s="173" t="s">
        <v>2457</v>
      </c>
      <c r="E22" s="173">
        <v>547811068</v>
      </c>
      <c r="F22" s="173" t="s">
        <v>2458</v>
      </c>
      <c r="G22" s="173">
        <v>199</v>
      </c>
      <c r="H22" s="204" t="s">
        <v>1563</v>
      </c>
    </row>
    <row r="23" spans="1:8">
      <c r="A23" s="173" t="s">
        <v>148</v>
      </c>
      <c r="B23" s="171">
        <v>45303</v>
      </c>
      <c r="C23" s="173" t="e">
        <v>#N/A</v>
      </c>
      <c r="D23" s="173" t="s">
        <v>2459</v>
      </c>
      <c r="E23" s="173"/>
      <c r="F23" s="173" t="s">
        <v>2460</v>
      </c>
      <c r="G23" s="173">
        <v>199</v>
      </c>
      <c r="H23" s="204" t="s">
        <v>1563</v>
      </c>
    </row>
    <row r="24" spans="1:8">
      <c r="A24" s="173" t="s">
        <v>148</v>
      </c>
      <c r="B24" s="171">
        <v>45303</v>
      </c>
      <c r="C24" s="173" t="e">
        <v>#N/A</v>
      </c>
      <c r="D24" s="173" t="s">
        <v>2461</v>
      </c>
      <c r="E24" s="173">
        <v>561572230</v>
      </c>
      <c r="F24" s="173" t="s">
        <v>2462</v>
      </c>
      <c r="G24" s="173">
        <v>199</v>
      </c>
      <c r="H24" s="204" t="s">
        <v>1563</v>
      </c>
    </row>
    <row r="25" spans="1:8">
      <c r="A25" s="173" t="s">
        <v>148</v>
      </c>
      <c r="B25" s="171">
        <v>45305</v>
      </c>
      <c r="C25" s="173">
        <v>1.32391214</v>
      </c>
      <c r="D25" s="173" t="s">
        <v>2463</v>
      </c>
      <c r="E25" s="173">
        <v>529416167</v>
      </c>
      <c r="F25" s="173" t="s">
        <v>2464</v>
      </c>
      <c r="G25" s="173">
        <v>199</v>
      </c>
      <c r="H25" s="203" t="s">
        <v>2358</v>
      </c>
    </row>
    <row r="26" spans="1:8">
      <c r="A26" s="173" t="s">
        <v>148</v>
      </c>
      <c r="B26" s="171">
        <v>45305</v>
      </c>
      <c r="C26" s="173" t="e">
        <v>#N/A</v>
      </c>
      <c r="D26" s="173" t="s">
        <v>2465</v>
      </c>
      <c r="E26" s="173">
        <v>505172117</v>
      </c>
      <c r="F26" s="173" t="s">
        <v>2466</v>
      </c>
      <c r="G26" s="173">
        <v>199</v>
      </c>
      <c r="H26" s="204" t="s">
        <v>1563</v>
      </c>
    </row>
    <row r="27" spans="1:8">
      <c r="A27" s="173" t="s">
        <v>148</v>
      </c>
      <c r="B27" s="171">
        <v>45306</v>
      </c>
      <c r="C27" s="173">
        <v>1.6148184800000001</v>
      </c>
      <c r="D27" s="173" t="s">
        <v>2467</v>
      </c>
      <c r="E27" s="173">
        <v>558431126</v>
      </c>
      <c r="F27" s="173" t="s">
        <v>2468</v>
      </c>
      <c r="G27" s="173">
        <v>199</v>
      </c>
      <c r="H27" s="203" t="s">
        <v>2358</v>
      </c>
    </row>
    <row r="28" spans="1:8">
      <c r="A28" s="173" t="s">
        <v>148</v>
      </c>
      <c r="B28" s="171">
        <v>45306</v>
      </c>
      <c r="C28" s="173">
        <v>1.6148706500000001</v>
      </c>
      <c r="D28" s="173" t="s">
        <v>2469</v>
      </c>
      <c r="E28" s="173">
        <v>567196717</v>
      </c>
      <c r="F28" s="173" t="s">
        <v>2470</v>
      </c>
      <c r="G28" s="173">
        <v>199</v>
      </c>
      <c r="H28" s="203" t="s">
        <v>2358</v>
      </c>
    </row>
    <row r="29" spans="1:8">
      <c r="A29" s="173" t="s">
        <v>148</v>
      </c>
      <c r="B29" s="171">
        <v>45309</v>
      </c>
      <c r="C29" s="173">
        <v>1.32564864</v>
      </c>
      <c r="D29" s="173" t="s">
        <v>2471</v>
      </c>
      <c r="E29" s="173">
        <v>554612927</v>
      </c>
      <c r="F29" s="173" t="s">
        <v>2472</v>
      </c>
      <c r="G29" s="173">
        <v>199</v>
      </c>
      <c r="H29" s="203" t="s">
        <v>2358</v>
      </c>
    </row>
    <row r="30" spans="1:8">
      <c r="A30" s="173" t="s">
        <v>148</v>
      </c>
      <c r="B30" s="171">
        <v>45310</v>
      </c>
      <c r="C30" s="173" t="e">
        <v>#N/A</v>
      </c>
      <c r="D30" s="173" t="s">
        <v>2473</v>
      </c>
      <c r="E30" s="173">
        <v>542819783</v>
      </c>
      <c r="F30" s="173" t="s">
        <v>2474</v>
      </c>
      <c r="G30" s="173">
        <v>199</v>
      </c>
      <c r="H30" s="206" t="s">
        <v>1663</v>
      </c>
    </row>
    <row r="31" spans="1:8">
      <c r="A31" s="173" t="s">
        <v>148</v>
      </c>
      <c r="B31" s="171">
        <v>45310</v>
      </c>
      <c r="C31" s="173">
        <v>1.6161436600000001</v>
      </c>
      <c r="D31" s="173" t="s">
        <v>2475</v>
      </c>
      <c r="E31" s="173">
        <v>503750212</v>
      </c>
      <c r="F31" s="173" t="s">
        <v>2476</v>
      </c>
      <c r="G31" s="173">
        <v>199</v>
      </c>
      <c r="H31" s="203" t="s">
        <v>2358</v>
      </c>
    </row>
    <row r="32" spans="1:8">
      <c r="A32" s="173" t="s">
        <v>148</v>
      </c>
      <c r="B32" s="171">
        <v>45311</v>
      </c>
      <c r="C32" s="173">
        <v>1.6145235499999999</v>
      </c>
      <c r="D32" s="173" t="s">
        <v>2477</v>
      </c>
      <c r="E32" s="173">
        <v>505172117</v>
      </c>
      <c r="F32" s="173" t="s">
        <v>2478</v>
      </c>
      <c r="G32" s="173">
        <v>199</v>
      </c>
      <c r="H32" s="203" t="s">
        <v>2358</v>
      </c>
    </row>
    <row r="33" spans="1:8">
      <c r="A33" s="173" t="s">
        <v>148</v>
      </c>
      <c r="B33" s="171">
        <v>45314</v>
      </c>
      <c r="C33" s="173">
        <v>1.6172300399999999</v>
      </c>
      <c r="D33" s="173" t="s">
        <v>2479</v>
      </c>
      <c r="E33" s="173">
        <v>543908950</v>
      </c>
      <c r="F33" s="173" t="s">
        <v>2480</v>
      </c>
      <c r="G33" s="173">
        <v>299</v>
      </c>
      <c r="H33" s="203" t="s">
        <v>2358</v>
      </c>
    </row>
    <row r="34" spans="1:8">
      <c r="A34" s="173" t="s">
        <v>148</v>
      </c>
      <c r="B34" s="171">
        <v>45314</v>
      </c>
      <c r="C34" s="173">
        <v>1.56634794</v>
      </c>
      <c r="D34" s="173" t="s">
        <v>2481</v>
      </c>
      <c r="E34" s="173">
        <v>554842786</v>
      </c>
      <c r="F34" s="173" t="s">
        <v>2482</v>
      </c>
      <c r="G34" s="173">
        <v>199</v>
      </c>
      <c r="H34" s="203" t="s">
        <v>2358</v>
      </c>
    </row>
    <row r="35" spans="1:8">
      <c r="A35" s="173" t="s">
        <v>148</v>
      </c>
      <c r="B35" s="171">
        <v>45315</v>
      </c>
      <c r="C35" s="173">
        <v>1.61751683</v>
      </c>
      <c r="D35" s="173" t="s">
        <v>2483</v>
      </c>
      <c r="E35" s="173">
        <v>503776311</v>
      </c>
      <c r="F35" s="173" t="s">
        <v>2484</v>
      </c>
      <c r="G35" s="173">
        <v>199</v>
      </c>
      <c r="H35" s="203" t="s">
        <v>2358</v>
      </c>
    </row>
    <row r="36" spans="1:8">
      <c r="A36" s="173" t="s">
        <v>148</v>
      </c>
      <c r="B36" s="171">
        <v>45315</v>
      </c>
      <c r="C36" s="173">
        <v>1.29566183</v>
      </c>
      <c r="D36" s="173" t="s">
        <v>2485</v>
      </c>
      <c r="E36" s="173">
        <v>507967802</v>
      </c>
      <c r="F36" s="173" t="s">
        <v>2486</v>
      </c>
      <c r="G36" s="173">
        <v>199</v>
      </c>
      <c r="H36" s="203" t="s">
        <v>2358</v>
      </c>
    </row>
    <row r="37" spans="1:8">
      <c r="A37" s="173" t="s">
        <v>148</v>
      </c>
      <c r="B37" s="171">
        <v>45315</v>
      </c>
      <c r="C37" s="173" t="e">
        <v>#N/A</v>
      </c>
      <c r="D37" s="173" t="s">
        <v>2487</v>
      </c>
      <c r="E37" s="173">
        <v>505640083</v>
      </c>
      <c r="F37" s="173" t="s">
        <v>2488</v>
      </c>
      <c r="G37" s="173">
        <v>199</v>
      </c>
      <c r="H37" s="204" t="s">
        <v>1563</v>
      </c>
    </row>
    <row r="38" spans="1:8">
      <c r="A38" s="173" t="s">
        <v>148</v>
      </c>
      <c r="B38" s="171">
        <v>45316</v>
      </c>
      <c r="C38" s="173">
        <v>1.36694537</v>
      </c>
      <c r="D38" s="173" t="s">
        <v>2489</v>
      </c>
      <c r="E38" s="173">
        <v>528986143</v>
      </c>
      <c r="F38" s="173" t="s">
        <v>2490</v>
      </c>
      <c r="G38" s="173">
        <v>199</v>
      </c>
      <c r="H38" s="203" t="s">
        <v>2358</v>
      </c>
    </row>
    <row r="39" spans="1:8">
      <c r="A39" s="173" t="s">
        <v>148</v>
      </c>
      <c r="B39" s="171">
        <v>45316</v>
      </c>
      <c r="C39" s="173">
        <v>1.6177727099999999</v>
      </c>
      <c r="D39" s="173" t="s">
        <v>2491</v>
      </c>
      <c r="E39" s="173">
        <v>569672810</v>
      </c>
      <c r="F39" s="173" t="s">
        <v>2492</v>
      </c>
      <c r="G39" s="173">
        <v>199</v>
      </c>
      <c r="H39" s="203" t="s">
        <v>2358</v>
      </c>
    </row>
    <row r="40" spans="1:8">
      <c r="A40" s="173" t="s">
        <v>148</v>
      </c>
      <c r="B40" s="171">
        <v>45316</v>
      </c>
      <c r="C40" s="173" t="e">
        <v>#N/A</v>
      </c>
      <c r="D40" s="173" t="s">
        <v>2493</v>
      </c>
      <c r="E40" s="173">
        <v>555521312</v>
      </c>
      <c r="F40" s="173" t="s">
        <v>2494</v>
      </c>
      <c r="G40" s="173">
        <v>199</v>
      </c>
      <c r="H40" s="204" t="s">
        <v>1563</v>
      </c>
    </row>
    <row r="41" spans="1:8">
      <c r="A41" s="173" t="s">
        <v>148</v>
      </c>
      <c r="B41" s="171">
        <v>45316</v>
      </c>
      <c r="C41" s="173">
        <v>1.6178906</v>
      </c>
      <c r="D41" s="173" t="s">
        <v>2495</v>
      </c>
      <c r="E41" s="173">
        <v>569457223</v>
      </c>
      <c r="F41" s="173" t="s">
        <v>2496</v>
      </c>
      <c r="G41" s="173">
        <v>199</v>
      </c>
      <c r="H41" s="203" t="s">
        <v>2358</v>
      </c>
    </row>
    <row r="42" spans="1:8">
      <c r="A42" s="173" t="s">
        <v>148</v>
      </c>
      <c r="B42" s="171">
        <v>45316</v>
      </c>
      <c r="C42" s="173" t="e">
        <v>#N/A</v>
      </c>
      <c r="D42" s="173" t="s">
        <v>2497</v>
      </c>
      <c r="E42" s="173">
        <v>555521312</v>
      </c>
      <c r="F42" s="173" t="s">
        <v>2498</v>
      </c>
      <c r="G42" s="173">
        <v>199</v>
      </c>
      <c r="H42" s="204" t="s">
        <v>1563</v>
      </c>
    </row>
    <row r="43" spans="1:8">
      <c r="A43" s="173" t="s">
        <v>148</v>
      </c>
      <c r="B43" s="171">
        <v>45317</v>
      </c>
      <c r="C43" s="173" t="e">
        <v>#N/A</v>
      </c>
      <c r="D43" s="173" t="s">
        <v>2499</v>
      </c>
      <c r="E43" s="173">
        <v>526640808</v>
      </c>
      <c r="F43" s="173" t="s">
        <v>2500</v>
      </c>
      <c r="G43" s="173">
        <v>199</v>
      </c>
      <c r="H43" s="204" t="s">
        <v>1563</v>
      </c>
    </row>
    <row r="44" spans="1:8">
      <c r="A44" s="173" t="s">
        <v>148</v>
      </c>
      <c r="B44" s="171">
        <v>45318</v>
      </c>
      <c r="C44" s="173">
        <v>1.61857378</v>
      </c>
      <c r="D44" s="173" t="s">
        <v>2501</v>
      </c>
      <c r="E44" s="173">
        <v>542521215</v>
      </c>
      <c r="F44" s="173" t="s">
        <v>2502</v>
      </c>
      <c r="G44" s="173">
        <v>199</v>
      </c>
      <c r="H44" s="203" t="s">
        <v>2358</v>
      </c>
    </row>
    <row r="45" spans="1:8">
      <c r="A45" s="173" t="s">
        <v>148</v>
      </c>
      <c r="B45" s="171">
        <v>45319</v>
      </c>
      <c r="C45" s="173">
        <v>1.61882569</v>
      </c>
      <c r="D45" s="173" t="s">
        <v>2503</v>
      </c>
      <c r="E45" s="173">
        <v>544172621</v>
      </c>
      <c r="F45" s="173" t="s">
        <v>2504</v>
      </c>
      <c r="G45" s="173">
        <v>199</v>
      </c>
      <c r="H45" s="203" t="s">
        <v>2358</v>
      </c>
    </row>
    <row r="46" spans="1:8">
      <c r="A46" s="173" t="s">
        <v>148</v>
      </c>
      <c r="B46" s="171">
        <v>45319</v>
      </c>
      <c r="C46" s="173">
        <v>1.61879258</v>
      </c>
      <c r="D46" s="173" t="s">
        <v>2505</v>
      </c>
      <c r="E46" s="173">
        <v>501827271</v>
      </c>
      <c r="F46" s="173" t="s">
        <v>2506</v>
      </c>
      <c r="G46" s="173">
        <v>199</v>
      </c>
      <c r="H46" s="203" t="s">
        <v>2358</v>
      </c>
    </row>
    <row r="47" spans="1:8">
      <c r="A47" s="173" t="s">
        <v>148</v>
      </c>
      <c r="B47" s="171">
        <v>45319</v>
      </c>
      <c r="C47" s="173">
        <v>1.32029474</v>
      </c>
      <c r="D47" s="173" t="s">
        <v>2507</v>
      </c>
      <c r="E47" s="173">
        <v>554742129</v>
      </c>
      <c r="F47" s="173" t="s">
        <v>2508</v>
      </c>
      <c r="G47" s="173">
        <v>199</v>
      </c>
      <c r="H47" s="203" t="s">
        <v>2358</v>
      </c>
    </row>
    <row r="48" spans="1:8">
      <c r="A48" s="173" t="s">
        <v>148</v>
      </c>
      <c r="B48" s="171">
        <v>45320</v>
      </c>
      <c r="C48" s="173">
        <v>1.3450518300000001</v>
      </c>
      <c r="D48" s="173" t="s">
        <v>2509</v>
      </c>
      <c r="E48" s="173">
        <v>561635006</v>
      </c>
      <c r="F48" s="173" t="s">
        <v>2510</v>
      </c>
      <c r="G48" s="173">
        <v>199</v>
      </c>
      <c r="H48" s="203" t="s">
        <v>2358</v>
      </c>
    </row>
    <row r="49" spans="1:9">
      <c r="A49" s="173" t="s">
        <v>148</v>
      </c>
      <c r="B49" s="171">
        <v>45320</v>
      </c>
      <c r="C49" s="173">
        <v>1.61924669</v>
      </c>
      <c r="D49" s="173" t="s">
        <v>2511</v>
      </c>
      <c r="E49" s="173">
        <v>556133848</v>
      </c>
      <c r="F49" s="173" t="s">
        <v>2512</v>
      </c>
      <c r="G49" s="173">
        <v>199</v>
      </c>
      <c r="H49" s="203" t="s">
        <v>2358</v>
      </c>
    </row>
    <row r="50" spans="1:9">
      <c r="A50" s="173" t="s">
        <v>148</v>
      </c>
      <c r="B50" s="171">
        <v>45321</v>
      </c>
      <c r="C50" s="173">
        <v>1.6195107</v>
      </c>
      <c r="D50" s="173" t="s">
        <v>2513</v>
      </c>
      <c r="E50" s="173">
        <v>527720087</v>
      </c>
      <c r="F50" s="173" t="s">
        <v>2514</v>
      </c>
      <c r="G50" s="173">
        <v>199</v>
      </c>
      <c r="H50" s="203" t="s">
        <v>2358</v>
      </c>
    </row>
    <row r="51" spans="1:9">
      <c r="A51" s="173" t="s">
        <v>148</v>
      </c>
      <c r="B51" s="171">
        <v>45322</v>
      </c>
      <c r="C51" s="173" t="e">
        <v>#N/A</v>
      </c>
      <c r="D51" s="173" t="s">
        <v>2515</v>
      </c>
      <c r="E51" s="173"/>
      <c r="F51" s="173" t="s">
        <v>2516</v>
      </c>
      <c r="G51" s="173">
        <v>199</v>
      </c>
      <c r="H51" s="205" t="s">
        <v>2408</v>
      </c>
    </row>
    <row r="52" spans="1:9">
      <c r="A52" s="173" t="s">
        <v>148</v>
      </c>
      <c r="B52" s="171">
        <v>45318</v>
      </c>
      <c r="C52" s="173">
        <v>1.6184584399999999</v>
      </c>
      <c r="D52" s="173" t="s">
        <v>2517</v>
      </c>
      <c r="E52" s="173"/>
      <c r="F52" s="173" t="s">
        <v>2518</v>
      </c>
      <c r="G52" s="173">
        <v>199</v>
      </c>
      <c r="H52" s="203" t="s">
        <v>2358</v>
      </c>
      <c r="I52" s="207"/>
    </row>
    <row r="53" spans="1:9">
      <c r="A53" s="173" t="s">
        <v>148</v>
      </c>
      <c r="B53" s="171">
        <v>45321</v>
      </c>
      <c r="C53" s="173">
        <v>1.6194042900000001</v>
      </c>
      <c r="D53" s="173" t="s">
        <v>2519</v>
      </c>
      <c r="E53" s="173"/>
      <c r="F53" s="173" t="s">
        <v>2520</v>
      </c>
      <c r="G53" s="173">
        <v>199</v>
      </c>
      <c r="H53" s="203" t="s">
        <v>2358</v>
      </c>
      <c r="I53" s="207"/>
    </row>
    <row r="54" spans="1:9">
      <c r="A54" s="201" t="s">
        <v>1739</v>
      </c>
      <c r="B54" s="202" t="s">
        <v>1740</v>
      </c>
      <c r="C54" s="201" t="s">
        <v>2355</v>
      </c>
      <c r="D54" s="201" t="s">
        <v>1919</v>
      </c>
      <c r="E54" s="201"/>
      <c r="F54" s="201" t="s">
        <v>1743</v>
      </c>
      <c r="G54" s="201" t="s">
        <v>1746</v>
      </c>
      <c r="H54" s="201" t="s">
        <v>2069</v>
      </c>
    </row>
    <row r="55" spans="1:9">
      <c r="A55" s="173" t="s">
        <v>898</v>
      </c>
      <c r="B55" s="171">
        <v>45293</v>
      </c>
      <c r="C55" s="173">
        <v>1.4120243699999999</v>
      </c>
      <c r="D55" s="173" t="s">
        <v>2356</v>
      </c>
      <c r="E55" s="173"/>
      <c r="F55" s="173" t="s">
        <v>2357</v>
      </c>
      <c r="G55" s="173">
        <v>199</v>
      </c>
      <c r="H55" s="203" t="s">
        <v>2358</v>
      </c>
    </row>
    <row r="56" spans="1:9">
      <c r="A56" s="173" t="s">
        <v>898</v>
      </c>
      <c r="B56" s="171">
        <v>45297</v>
      </c>
      <c r="C56" s="173">
        <v>1.6122564500000001</v>
      </c>
      <c r="D56" s="173" t="s">
        <v>2359</v>
      </c>
      <c r="E56" s="173"/>
      <c r="F56" s="173" t="s">
        <v>2360</v>
      </c>
      <c r="G56" s="173">
        <v>199</v>
      </c>
      <c r="H56" s="203" t="s">
        <v>2358</v>
      </c>
    </row>
    <row r="57" spans="1:9">
      <c r="A57" s="173" t="s">
        <v>898</v>
      </c>
      <c r="B57" s="171">
        <v>45298</v>
      </c>
      <c r="C57" s="173">
        <v>1.6125473800000001</v>
      </c>
      <c r="D57" s="173" t="s">
        <v>2361</v>
      </c>
      <c r="E57" s="173"/>
      <c r="F57" s="173" t="s">
        <v>2362</v>
      </c>
      <c r="G57" s="173">
        <v>199</v>
      </c>
      <c r="H57" s="203" t="s">
        <v>2358</v>
      </c>
    </row>
    <row r="58" spans="1:9">
      <c r="A58" s="173" t="s">
        <v>898</v>
      </c>
      <c r="B58" s="171">
        <v>45298</v>
      </c>
      <c r="C58" s="173">
        <v>1.61258649</v>
      </c>
      <c r="D58" s="173" t="s">
        <v>2363</v>
      </c>
      <c r="E58" s="173"/>
      <c r="F58" s="173" t="s">
        <v>2364</v>
      </c>
      <c r="G58" s="173">
        <v>199</v>
      </c>
      <c r="H58" s="203" t="s">
        <v>2358</v>
      </c>
    </row>
    <row r="59" spans="1:9">
      <c r="A59" s="173" t="s">
        <v>898</v>
      </c>
      <c r="B59" s="171">
        <v>45298</v>
      </c>
      <c r="C59" s="173">
        <v>1.61252478</v>
      </c>
      <c r="D59" s="173" t="s">
        <v>2365</v>
      </c>
      <c r="E59" s="173"/>
      <c r="F59" s="173" t="s">
        <v>2366</v>
      </c>
      <c r="G59" s="173">
        <v>199</v>
      </c>
      <c r="H59" s="203" t="s">
        <v>2358</v>
      </c>
    </row>
    <row r="60" spans="1:9">
      <c r="A60" s="173" t="s">
        <v>898</v>
      </c>
      <c r="B60" s="171">
        <v>45299</v>
      </c>
      <c r="C60" s="173" t="e">
        <v>#N/A</v>
      </c>
      <c r="D60" s="173" t="s">
        <v>2367</v>
      </c>
      <c r="E60" s="173"/>
      <c r="F60" s="173" t="s">
        <v>2368</v>
      </c>
      <c r="G60" s="173">
        <v>199</v>
      </c>
      <c r="H60" s="204" t="s">
        <v>2369</v>
      </c>
    </row>
    <row r="61" spans="1:9">
      <c r="A61" s="173" t="s">
        <v>898</v>
      </c>
      <c r="B61" s="171">
        <v>45299</v>
      </c>
      <c r="C61" s="173">
        <v>1.2526034100000001</v>
      </c>
      <c r="D61" s="173" t="s">
        <v>2370</v>
      </c>
      <c r="E61" s="173"/>
      <c r="F61" s="173" t="s">
        <v>2371</v>
      </c>
      <c r="G61" s="173">
        <v>199</v>
      </c>
      <c r="H61" s="203" t="s">
        <v>2358</v>
      </c>
    </row>
    <row r="62" spans="1:9">
      <c r="A62" s="173" t="s">
        <v>898</v>
      </c>
      <c r="B62" s="171">
        <v>45299</v>
      </c>
      <c r="C62" s="173">
        <v>1.6129069</v>
      </c>
      <c r="D62" s="173" t="s">
        <v>2372</v>
      </c>
      <c r="E62" s="173"/>
      <c r="F62" s="173" t="s">
        <v>2373</v>
      </c>
      <c r="G62" s="173">
        <v>199</v>
      </c>
      <c r="H62" s="203" t="s">
        <v>2358</v>
      </c>
    </row>
    <row r="63" spans="1:9">
      <c r="A63" s="173" t="s">
        <v>898</v>
      </c>
      <c r="B63" s="171">
        <v>45300</v>
      </c>
      <c r="C63" s="173">
        <v>1.5102519000000001</v>
      </c>
      <c r="D63" s="173" t="s">
        <v>2374</v>
      </c>
      <c r="E63" s="173"/>
      <c r="F63" s="173" t="s">
        <v>2375</v>
      </c>
      <c r="G63" s="173">
        <v>199</v>
      </c>
      <c r="H63" s="203" t="s">
        <v>2358</v>
      </c>
    </row>
    <row r="64" spans="1:9">
      <c r="A64" s="173" t="s">
        <v>898</v>
      </c>
      <c r="B64" s="171">
        <v>45300</v>
      </c>
      <c r="C64" s="173">
        <v>1.61314169</v>
      </c>
      <c r="D64" s="173" t="s">
        <v>2376</v>
      </c>
      <c r="E64" s="173"/>
      <c r="F64" s="173" t="s">
        <v>2377</v>
      </c>
      <c r="G64" s="173">
        <v>199</v>
      </c>
      <c r="H64" s="203" t="s">
        <v>2358</v>
      </c>
    </row>
    <row r="65" spans="1:8">
      <c r="A65" s="173" t="s">
        <v>898</v>
      </c>
      <c r="B65" s="171">
        <v>45301</v>
      </c>
      <c r="C65" s="173">
        <v>1.45200504</v>
      </c>
      <c r="D65" s="173" t="s">
        <v>2378</v>
      </c>
      <c r="E65" s="173"/>
      <c r="F65" s="173" t="s">
        <v>2379</v>
      </c>
      <c r="G65" s="173">
        <v>199</v>
      </c>
      <c r="H65" s="203" t="s">
        <v>2358</v>
      </c>
    </row>
    <row r="66" spans="1:8">
      <c r="A66" s="173" t="s">
        <v>898</v>
      </c>
      <c r="B66" s="171">
        <v>45303</v>
      </c>
      <c r="C66" s="173">
        <v>1.6138762200000001</v>
      </c>
      <c r="D66" s="173" t="s">
        <v>2380</v>
      </c>
      <c r="E66" s="173"/>
      <c r="F66" s="173" t="s">
        <v>2381</v>
      </c>
      <c r="G66" s="173">
        <v>199</v>
      </c>
      <c r="H66" s="203" t="s">
        <v>2358</v>
      </c>
    </row>
    <row r="67" spans="1:8">
      <c r="A67" s="173" t="s">
        <v>898</v>
      </c>
      <c r="B67" s="171">
        <v>45304</v>
      </c>
      <c r="C67" s="173">
        <v>1.6141891500000001</v>
      </c>
      <c r="D67" s="173" t="s">
        <v>2382</v>
      </c>
      <c r="E67" s="173"/>
      <c r="F67" s="173" t="s">
        <v>2383</v>
      </c>
      <c r="G67" s="173">
        <v>199</v>
      </c>
      <c r="H67" s="203" t="s">
        <v>2358</v>
      </c>
    </row>
    <row r="68" spans="1:8">
      <c r="A68" s="173" t="s">
        <v>898</v>
      </c>
      <c r="B68" s="171">
        <v>45304</v>
      </c>
      <c r="C68" s="173" t="e">
        <v>#N/A</v>
      </c>
      <c r="D68" s="173" t="s">
        <v>2384</v>
      </c>
      <c r="E68" s="173"/>
      <c r="F68" s="173" t="s">
        <v>2385</v>
      </c>
      <c r="G68" s="173">
        <v>199</v>
      </c>
      <c r="H68" s="204" t="s">
        <v>1563</v>
      </c>
    </row>
    <row r="69" spans="1:8">
      <c r="A69" s="173" t="s">
        <v>898</v>
      </c>
      <c r="B69" s="171">
        <v>45305</v>
      </c>
      <c r="C69" s="173">
        <v>1.61448003</v>
      </c>
      <c r="D69" s="173" t="s">
        <v>2386</v>
      </c>
      <c r="E69" s="173"/>
      <c r="F69" s="173" t="s">
        <v>2387</v>
      </c>
      <c r="G69" s="173">
        <v>199</v>
      </c>
      <c r="H69" s="203" t="s">
        <v>2358</v>
      </c>
    </row>
    <row r="70" spans="1:8">
      <c r="A70" s="173" t="s">
        <v>898</v>
      </c>
      <c r="B70" s="171">
        <v>45305</v>
      </c>
      <c r="C70" s="173" t="e">
        <v>#N/A</v>
      </c>
      <c r="D70" s="173" t="s">
        <v>2388</v>
      </c>
      <c r="E70" s="173"/>
      <c r="F70" s="173" t="s">
        <v>2389</v>
      </c>
      <c r="G70" s="173">
        <v>199</v>
      </c>
      <c r="H70" s="204" t="s">
        <v>1563</v>
      </c>
    </row>
    <row r="71" spans="1:8">
      <c r="A71" s="173" t="s">
        <v>898</v>
      </c>
      <c r="B71" s="171">
        <v>45310</v>
      </c>
      <c r="C71" s="173">
        <v>1.6159508600000001</v>
      </c>
      <c r="D71" s="173" t="s">
        <v>2390</v>
      </c>
      <c r="E71" s="173"/>
      <c r="F71" s="173" t="s">
        <v>2391</v>
      </c>
      <c r="G71" s="173">
        <v>199</v>
      </c>
      <c r="H71" s="203" t="s">
        <v>2358</v>
      </c>
    </row>
    <row r="72" spans="1:8">
      <c r="A72" s="173" t="s">
        <v>898</v>
      </c>
      <c r="B72" s="171">
        <v>45311</v>
      </c>
      <c r="C72" s="173">
        <v>1.6163548299999999</v>
      </c>
      <c r="D72" s="173" t="s">
        <v>2392</v>
      </c>
      <c r="E72" s="173"/>
      <c r="F72" s="173" t="s">
        <v>2393</v>
      </c>
      <c r="G72" s="173">
        <v>199</v>
      </c>
      <c r="H72" s="203" t="s">
        <v>2358</v>
      </c>
    </row>
    <row r="73" spans="1:8">
      <c r="A73" s="173" t="s">
        <v>898</v>
      </c>
      <c r="B73" s="171">
        <v>45312</v>
      </c>
      <c r="C73" s="173" t="e">
        <v>#N/A</v>
      </c>
      <c r="D73" s="173" t="s">
        <v>2394</v>
      </c>
      <c r="E73" s="173"/>
      <c r="F73" s="173" t="s">
        <v>2395</v>
      </c>
      <c r="G73" s="173">
        <v>199</v>
      </c>
      <c r="H73" s="204" t="s">
        <v>1563</v>
      </c>
    </row>
    <row r="74" spans="1:8">
      <c r="A74" s="173" t="s">
        <v>898</v>
      </c>
      <c r="B74" s="171">
        <v>45312</v>
      </c>
      <c r="C74" s="173">
        <v>1.61676763</v>
      </c>
      <c r="D74" s="173" t="s">
        <v>2396</v>
      </c>
      <c r="E74" s="173"/>
      <c r="F74" s="173" t="s">
        <v>2397</v>
      </c>
      <c r="G74" s="173">
        <v>199</v>
      </c>
      <c r="H74" s="203" t="s">
        <v>2358</v>
      </c>
    </row>
    <row r="75" spans="1:8">
      <c r="A75" s="173" t="s">
        <v>898</v>
      </c>
      <c r="B75" s="171">
        <v>45315</v>
      </c>
      <c r="C75" s="173">
        <v>1.61742035</v>
      </c>
      <c r="D75" s="173" t="s">
        <v>2398</v>
      </c>
      <c r="E75" s="173"/>
      <c r="F75" s="173" t="s">
        <v>2399</v>
      </c>
      <c r="G75" s="173">
        <v>199</v>
      </c>
      <c r="H75" s="203" t="s">
        <v>2358</v>
      </c>
    </row>
    <row r="76" spans="1:8">
      <c r="A76" s="173" t="s">
        <v>898</v>
      </c>
      <c r="B76" s="171">
        <v>45316</v>
      </c>
      <c r="C76" s="173" t="e">
        <v>#N/A</v>
      </c>
      <c r="D76" s="173" t="s">
        <v>2400</v>
      </c>
      <c r="E76" s="173"/>
      <c r="F76" s="173" t="s">
        <v>2401</v>
      </c>
      <c r="G76" s="173">
        <v>199</v>
      </c>
      <c r="H76" s="204" t="s">
        <v>1563</v>
      </c>
    </row>
    <row r="77" spans="1:8">
      <c r="A77" s="173" t="s">
        <v>898</v>
      </c>
      <c r="B77" s="171">
        <v>45317</v>
      </c>
      <c r="C77" s="173">
        <v>1.61811617</v>
      </c>
      <c r="D77" s="173" t="s">
        <v>2402</v>
      </c>
      <c r="E77" s="173"/>
      <c r="F77" s="173" t="s">
        <v>2403</v>
      </c>
      <c r="G77" s="173">
        <v>199</v>
      </c>
      <c r="H77" s="203" t="s">
        <v>2358</v>
      </c>
    </row>
    <row r="78" spans="1:8">
      <c r="A78" s="173" t="s">
        <v>898</v>
      </c>
      <c r="B78" s="171">
        <v>45317</v>
      </c>
      <c r="C78" s="173">
        <v>1.61824177</v>
      </c>
      <c r="D78" s="173" t="s">
        <v>2404</v>
      </c>
      <c r="E78" s="173"/>
      <c r="F78" s="173" t="s">
        <v>2405</v>
      </c>
      <c r="G78" s="173">
        <v>199</v>
      </c>
      <c r="H78" s="203" t="s">
        <v>2358</v>
      </c>
    </row>
    <row r="79" spans="1:8">
      <c r="A79" s="173" t="s">
        <v>898</v>
      </c>
      <c r="B79" s="171">
        <v>45318</v>
      </c>
      <c r="C79" s="173" t="e">
        <v>#N/A</v>
      </c>
      <c r="D79" s="173" t="s">
        <v>2406</v>
      </c>
      <c r="E79" s="173"/>
      <c r="F79" s="173" t="s">
        <v>2407</v>
      </c>
      <c r="G79" s="173">
        <v>199</v>
      </c>
      <c r="H79" s="205" t="s">
        <v>2408</v>
      </c>
    </row>
    <row r="80" spans="1:8">
      <c r="A80" s="173" t="s">
        <v>898</v>
      </c>
      <c r="B80" s="171">
        <v>45319</v>
      </c>
      <c r="C80" s="173">
        <v>1.61879814</v>
      </c>
      <c r="D80" s="173" t="s">
        <v>2409</v>
      </c>
      <c r="E80" s="173"/>
      <c r="F80" s="173" t="s">
        <v>2410</v>
      </c>
      <c r="G80" s="173">
        <v>199</v>
      </c>
      <c r="H80" s="203" t="s">
        <v>2358</v>
      </c>
    </row>
    <row r="81" spans="1:8">
      <c r="A81" s="173" t="s">
        <v>898</v>
      </c>
      <c r="B81" s="171">
        <v>45319</v>
      </c>
      <c r="C81" s="173">
        <v>1.61883321</v>
      </c>
      <c r="D81" s="173" t="s">
        <v>2411</v>
      </c>
      <c r="E81" s="173"/>
      <c r="F81" s="173" t="s">
        <v>2412</v>
      </c>
      <c r="G81" s="173">
        <v>199</v>
      </c>
      <c r="H81" s="203" t="s">
        <v>2358</v>
      </c>
    </row>
    <row r="82" spans="1:8">
      <c r="A82" s="173" t="s">
        <v>898</v>
      </c>
      <c r="B82" s="171">
        <v>45319</v>
      </c>
      <c r="C82" s="173" t="e">
        <v>#N/A</v>
      </c>
      <c r="D82" s="173" t="s">
        <v>2413</v>
      </c>
      <c r="E82" s="173"/>
      <c r="F82" s="173" t="s">
        <v>2414</v>
      </c>
      <c r="G82" s="173">
        <v>199</v>
      </c>
      <c r="H82" s="205" t="s">
        <v>2408</v>
      </c>
    </row>
    <row r="83" spans="1:8">
      <c r="A83" s="173" t="s">
        <v>898</v>
      </c>
      <c r="B83" s="171">
        <v>45320</v>
      </c>
      <c r="C83" s="173">
        <v>1.42228172</v>
      </c>
      <c r="D83" s="173" t="s">
        <v>2415</v>
      </c>
      <c r="E83" s="173"/>
      <c r="F83" s="173" t="s">
        <v>2416</v>
      </c>
      <c r="G83" s="173">
        <v>199</v>
      </c>
      <c r="H83" s="203" t="s">
        <v>2358</v>
      </c>
    </row>
    <row r="84" spans="1:8">
      <c r="A84" s="173" t="s">
        <v>898</v>
      </c>
      <c r="B84" s="171">
        <v>45321</v>
      </c>
      <c r="C84" s="173">
        <v>1.61322641</v>
      </c>
      <c r="D84" s="173" t="s">
        <v>2417</v>
      </c>
      <c r="E84" s="173"/>
      <c r="F84" s="173" t="s">
        <v>2418</v>
      </c>
      <c r="G84" s="173">
        <v>199</v>
      </c>
      <c r="H84" s="203" t="s">
        <v>2358</v>
      </c>
    </row>
    <row r="85" spans="1:8">
      <c r="A85" s="173" t="s">
        <v>898</v>
      </c>
      <c r="B85" s="171">
        <v>45322</v>
      </c>
      <c r="C85" s="173">
        <v>1.61971595</v>
      </c>
      <c r="D85" s="173" t="s">
        <v>2419</v>
      </c>
      <c r="E85" s="173"/>
      <c r="F85" s="173" t="s">
        <v>2420</v>
      </c>
      <c r="G85" s="173">
        <v>199</v>
      </c>
      <c r="H85" s="203" t="s">
        <v>2358</v>
      </c>
    </row>
  </sheetData>
  <conditionalFormatting sqref="C1:C53">
    <cfRule type="duplicateValues" dxfId="454" priority="1"/>
  </conditionalFormatting>
  <conditionalFormatting sqref="C54:C85">
    <cfRule type="duplicateValues" dxfId="453" priority="6"/>
  </conditionalFormatting>
  <conditionalFormatting sqref="D1:E51">
    <cfRule type="duplicateValues" dxfId="452" priority="3"/>
    <cfRule type="duplicateValues" dxfId="451" priority="4"/>
    <cfRule type="duplicateValues" dxfId="450" priority="5"/>
  </conditionalFormatting>
  <conditionalFormatting sqref="D54:E85">
    <cfRule type="duplicateValues" dxfId="449" priority="8"/>
    <cfRule type="duplicateValues" dxfId="448" priority="9"/>
    <cfRule type="duplicateValues" dxfId="447" priority="10"/>
  </conditionalFormatting>
  <conditionalFormatting sqref="F1:F51">
    <cfRule type="duplicateValues" dxfId="446" priority="2"/>
  </conditionalFormatting>
  <conditionalFormatting sqref="F54:F85">
    <cfRule type="duplicateValues" dxfId="445" priority="7"/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J57"/>
  <sheetViews>
    <sheetView topLeftCell="A43" zoomScale="88" workbookViewId="0">
      <selection activeCell="E5" sqref="E5"/>
    </sheetView>
  </sheetViews>
  <sheetFormatPr defaultRowHeight="14.5"/>
  <cols>
    <col min="2" max="2" width="21" bestFit="1" customWidth="1"/>
    <col min="3" max="3" width="9.26953125" bestFit="1" customWidth="1"/>
    <col min="4" max="4" width="11.26953125" bestFit="1" customWidth="1"/>
    <col min="5" max="5" width="11.26953125" customWidth="1"/>
    <col min="6" max="6" width="24.81640625" bestFit="1" customWidth="1"/>
    <col min="7" max="7" width="9.26953125" bestFit="1" customWidth="1"/>
    <col min="10" max="10" width="17.453125" bestFit="1" customWidth="1"/>
  </cols>
  <sheetData>
    <row r="1" spans="1:10">
      <c r="A1" s="208" t="s">
        <v>1739</v>
      </c>
      <c r="B1" s="209" t="s">
        <v>1740</v>
      </c>
      <c r="C1" s="210" t="s">
        <v>2003</v>
      </c>
      <c r="D1" s="210" t="s">
        <v>1919</v>
      </c>
      <c r="E1" s="210" t="s">
        <v>2635</v>
      </c>
      <c r="F1" s="210" t="s">
        <v>1743</v>
      </c>
      <c r="G1" s="210" t="s">
        <v>1746</v>
      </c>
      <c r="H1" s="211" t="s">
        <v>2069</v>
      </c>
      <c r="I1" s="210" t="s">
        <v>2521</v>
      </c>
      <c r="J1" s="210" t="s">
        <v>1752</v>
      </c>
    </row>
    <row r="2" spans="1:10">
      <c r="A2" s="212" t="s">
        <v>148</v>
      </c>
      <c r="B2" s="213">
        <v>45322</v>
      </c>
      <c r="C2" s="212">
        <v>1.6197656499999999</v>
      </c>
      <c r="D2" s="212" t="s">
        <v>2515</v>
      </c>
      <c r="E2" s="212"/>
      <c r="F2" s="214" t="s">
        <v>2516</v>
      </c>
      <c r="G2" s="212">
        <v>199</v>
      </c>
      <c r="H2" s="215" t="s">
        <v>2358</v>
      </c>
      <c r="I2" s="212"/>
      <c r="J2" s="212"/>
    </row>
    <row r="3" spans="1:10">
      <c r="A3" s="212" t="s">
        <v>148</v>
      </c>
      <c r="B3" s="213">
        <v>45323</v>
      </c>
      <c r="C3" s="212">
        <v>1.3309744400000001</v>
      </c>
      <c r="D3" s="212" t="s">
        <v>2522</v>
      </c>
      <c r="E3" s="212">
        <v>551952441</v>
      </c>
      <c r="F3" s="214" t="s">
        <v>2523</v>
      </c>
      <c r="G3" s="212">
        <v>199</v>
      </c>
      <c r="H3" s="215" t="s">
        <v>2358</v>
      </c>
      <c r="I3" s="212"/>
      <c r="J3" s="212" t="s">
        <v>2524</v>
      </c>
    </row>
    <row r="4" spans="1:10">
      <c r="A4" s="212" t="s">
        <v>148</v>
      </c>
      <c r="B4" s="213">
        <v>45323</v>
      </c>
      <c r="C4" s="212" t="e">
        <v>#N/A</v>
      </c>
      <c r="D4" s="212" t="s">
        <v>2525</v>
      </c>
      <c r="E4" s="212">
        <v>527317027</v>
      </c>
      <c r="F4" s="212" t="s">
        <v>2526</v>
      </c>
      <c r="G4" s="212">
        <v>299</v>
      </c>
      <c r="H4" s="212" t="s">
        <v>1563</v>
      </c>
      <c r="I4" s="212"/>
      <c r="J4" s="212" t="s">
        <v>2527</v>
      </c>
    </row>
    <row r="5" spans="1:10">
      <c r="A5" s="212" t="s">
        <v>148</v>
      </c>
      <c r="B5" s="213">
        <v>45323</v>
      </c>
      <c r="C5" s="212">
        <v>1.620025</v>
      </c>
      <c r="D5" s="212" t="s">
        <v>2528</v>
      </c>
      <c r="E5" s="212">
        <v>544913444</v>
      </c>
      <c r="F5" s="214" t="s">
        <v>2529</v>
      </c>
      <c r="G5" s="212">
        <v>199</v>
      </c>
      <c r="H5" s="215" t="s">
        <v>2358</v>
      </c>
      <c r="I5" s="212"/>
      <c r="J5" s="212" t="s">
        <v>2524</v>
      </c>
    </row>
    <row r="6" spans="1:10">
      <c r="A6" s="212" t="s">
        <v>148</v>
      </c>
      <c r="B6" s="213">
        <v>45324</v>
      </c>
      <c r="C6" s="212">
        <v>1.6203099400000001</v>
      </c>
      <c r="D6" s="212" t="s">
        <v>2530</v>
      </c>
      <c r="E6" s="212">
        <v>554317305</v>
      </c>
      <c r="F6" s="214" t="s">
        <v>2531</v>
      </c>
      <c r="G6" s="212">
        <v>199</v>
      </c>
      <c r="H6" s="215" t="s">
        <v>2358</v>
      </c>
      <c r="I6" s="212"/>
      <c r="J6" s="212" t="s">
        <v>2524</v>
      </c>
    </row>
    <row r="7" spans="1:10">
      <c r="A7" s="212" t="s">
        <v>148</v>
      </c>
      <c r="B7" s="213">
        <v>45325</v>
      </c>
      <c r="C7" s="212">
        <v>1.6207128200000001</v>
      </c>
      <c r="D7" s="212" t="s">
        <v>2532</v>
      </c>
      <c r="E7" s="212">
        <v>505299471</v>
      </c>
      <c r="F7" s="214" t="s">
        <v>2533</v>
      </c>
      <c r="G7" s="212">
        <v>199</v>
      </c>
      <c r="H7" s="215" t="s">
        <v>2358</v>
      </c>
      <c r="I7" s="212"/>
      <c r="J7" s="212" t="s">
        <v>2524</v>
      </c>
    </row>
    <row r="8" spans="1:10">
      <c r="A8" s="212" t="s">
        <v>148</v>
      </c>
      <c r="B8" s="213">
        <v>45326</v>
      </c>
      <c r="C8" s="212">
        <v>1.6209669900000001</v>
      </c>
      <c r="D8" s="212" t="s">
        <v>2534</v>
      </c>
      <c r="E8" s="212">
        <v>559190075</v>
      </c>
      <c r="F8" s="214" t="s">
        <v>2535</v>
      </c>
      <c r="G8" s="212">
        <v>199</v>
      </c>
      <c r="H8" s="215" t="s">
        <v>2358</v>
      </c>
      <c r="I8" s="212"/>
      <c r="J8" s="212" t="s">
        <v>2524</v>
      </c>
    </row>
    <row r="9" spans="1:10">
      <c r="A9" s="212" t="s">
        <v>148</v>
      </c>
      <c r="B9" s="213">
        <v>45326</v>
      </c>
      <c r="C9" s="212" t="e">
        <v>#N/A</v>
      </c>
      <c r="D9" s="212" t="s">
        <v>2536</v>
      </c>
      <c r="E9" s="212">
        <v>507898552</v>
      </c>
      <c r="F9" s="212" t="s">
        <v>2537</v>
      </c>
      <c r="G9" s="212">
        <v>199</v>
      </c>
      <c r="H9" s="212" t="s">
        <v>1563</v>
      </c>
      <c r="I9" s="212"/>
      <c r="J9" s="212" t="s">
        <v>1794</v>
      </c>
    </row>
    <row r="10" spans="1:10">
      <c r="A10" s="212" t="s">
        <v>148</v>
      </c>
      <c r="B10" s="213">
        <v>45326</v>
      </c>
      <c r="C10" s="212">
        <v>1.4685731500000001</v>
      </c>
      <c r="D10" s="212" t="s">
        <v>2538</v>
      </c>
      <c r="E10" s="212">
        <v>508972293</v>
      </c>
      <c r="F10" s="214" t="s">
        <v>2539</v>
      </c>
      <c r="G10" s="212">
        <v>199</v>
      </c>
      <c r="H10" s="215" t="s">
        <v>2358</v>
      </c>
      <c r="I10" s="212"/>
      <c r="J10" s="212" t="s">
        <v>2524</v>
      </c>
    </row>
    <row r="11" spans="1:10">
      <c r="A11" s="212" t="s">
        <v>148</v>
      </c>
      <c r="B11" s="213">
        <v>45327</v>
      </c>
      <c r="C11" s="212">
        <v>1.621278</v>
      </c>
      <c r="D11" s="212" t="s">
        <v>2540</v>
      </c>
      <c r="E11" s="212">
        <v>509514168</v>
      </c>
      <c r="F11" s="214" t="s">
        <v>2541</v>
      </c>
      <c r="G11" s="212">
        <v>199</v>
      </c>
      <c r="H11" s="215" t="s">
        <v>2358</v>
      </c>
      <c r="I11" s="212"/>
      <c r="J11" s="212" t="s">
        <v>2524</v>
      </c>
    </row>
    <row r="12" spans="1:10">
      <c r="A12" s="212" t="s">
        <v>148</v>
      </c>
      <c r="B12" s="213">
        <v>45327</v>
      </c>
      <c r="C12" s="212">
        <v>1.6213299299999999</v>
      </c>
      <c r="D12" s="212" t="s">
        <v>2542</v>
      </c>
      <c r="E12" s="212">
        <v>544720612</v>
      </c>
      <c r="F12" s="214" t="s">
        <v>2543</v>
      </c>
      <c r="G12" s="212">
        <v>199</v>
      </c>
      <c r="H12" s="215" t="s">
        <v>2358</v>
      </c>
      <c r="I12" s="212"/>
      <c r="J12" s="212" t="s">
        <v>2524</v>
      </c>
    </row>
    <row r="13" spans="1:10">
      <c r="A13" s="212" t="s">
        <v>148</v>
      </c>
      <c r="B13" s="216">
        <v>45330</v>
      </c>
      <c r="C13" s="212">
        <v>1.6223915900000001</v>
      </c>
      <c r="D13" s="212" t="s">
        <v>2544</v>
      </c>
      <c r="E13" s="212">
        <v>557790212</v>
      </c>
      <c r="F13" s="214" t="s">
        <v>2545</v>
      </c>
      <c r="G13" s="212">
        <v>199</v>
      </c>
      <c r="H13" s="215" t="s">
        <v>2358</v>
      </c>
      <c r="I13" s="212"/>
      <c r="J13" s="212" t="s">
        <v>2524</v>
      </c>
    </row>
    <row r="14" spans="1:10">
      <c r="A14" s="212" t="s">
        <v>148</v>
      </c>
      <c r="B14" s="216">
        <v>45331</v>
      </c>
      <c r="C14" s="212" t="e">
        <v>#N/A</v>
      </c>
      <c r="D14" s="212" t="s">
        <v>2546</v>
      </c>
      <c r="E14" s="212">
        <v>508061013</v>
      </c>
      <c r="F14" s="212" t="s">
        <v>2547</v>
      </c>
      <c r="G14" s="212">
        <v>199</v>
      </c>
      <c r="H14" s="217" t="s">
        <v>1563</v>
      </c>
      <c r="I14" s="212"/>
      <c r="J14" s="212" t="s">
        <v>1768</v>
      </c>
    </row>
    <row r="15" spans="1:10">
      <c r="A15" s="212" t="s">
        <v>148</v>
      </c>
      <c r="B15" s="216">
        <v>45331</v>
      </c>
      <c r="C15" s="212" t="e">
        <v>#N/A</v>
      </c>
      <c r="D15" s="212" t="s">
        <v>2548</v>
      </c>
      <c r="E15" s="212">
        <v>588451429</v>
      </c>
      <c r="F15" s="212" t="s">
        <v>2549</v>
      </c>
      <c r="G15" s="212">
        <v>299</v>
      </c>
      <c r="H15" s="217" t="s">
        <v>1563</v>
      </c>
      <c r="I15" s="212"/>
      <c r="J15" s="212" t="s">
        <v>1823</v>
      </c>
    </row>
    <row r="16" spans="1:10">
      <c r="A16" s="212" t="s">
        <v>148</v>
      </c>
      <c r="B16" s="216">
        <v>45331</v>
      </c>
      <c r="C16" s="212" t="e">
        <v>#N/A</v>
      </c>
      <c r="D16" s="212" t="s">
        <v>2550</v>
      </c>
      <c r="E16" s="212">
        <v>502292759</v>
      </c>
      <c r="F16" s="214" t="s">
        <v>2551</v>
      </c>
      <c r="G16" s="212">
        <v>199</v>
      </c>
      <c r="H16" s="215" t="s">
        <v>2056</v>
      </c>
      <c r="I16" s="212"/>
      <c r="J16" s="212"/>
    </row>
    <row r="17" spans="1:10">
      <c r="A17" s="212" t="s">
        <v>148</v>
      </c>
      <c r="B17" s="216">
        <v>45331</v>
      </c>
      <c r="C17" s="212">
        <v>1.18055241</v>
      </c>
      <c r="D17" s="212" t="s">
        <v>2552</v>
      </c>
      <c r="E17" s="212"/>
      <c r="F17" s="214" t="s">
        <v>2553</v>
      </c>
      <c r="G17" s="212">
        <v>199</v>
      </c>
      <c r="H17" s="215" t="s">
        <v>2358</v>
      </c>
      <c r="I17" s="212"/>
      <c r="J17" s="212" t="s">
        <v>2524</v>
      </c>
    </row>
    <row r="18" spans="1:10">
      <c r="A18" s="212" t="s">
        <v>148</v>
      </c>
      <c r="B18" s="216">
        <v>45331</v>
      </c>
      <c r="C18" s="212" t="e">
        <v>#N/A</v>
      </c>
      <c r="D18" s="212" t="s">
        <v>2554</v>
      </c>
      <c r="E18" s="212">
        <v>569561678</v>
      </c>
      <c r="F18" s="212" t="s">
        <v>2555</v>
      </c>
      <c r="G18" s="212">
        <v>199</v>
      </c>
      <c r="H18" s="217" t="s">
        <v>1563</v>
      </c>
      <c r="I18" s="212"/>
      <c r="J18" s="212" t="s">
        <v>1768</v>
      </c>
    </row>
    <row r="19" spans="1:10">
      <c r="A19" s="212" t="s">
        <v>148</v>
      </c>
      <c r="B19" s="216">
        <v>45332</v>
      </c>
      <c r="C19" s="212" t="e">
        <v>#N/A</v>
      </c>
      <c r="D19" s="212" t="s">
        <v>2556</v>
      </c>
      <c r="E19" s="212">
        <v>518992853</v>
      </c>
      <c r="F19" s="212" t="s">
        <v>2557</v>
      </c>
      <c r="G19" s="212">
        <v>199</v>
      </c>
      <c r="H19" s="217" t="s">
        <v>1563</v>
      </c>
      <c r="I19" s="212"/>
      <c r="J19" s="212" t="s">
        <v>2034</v>
      </c>
    </row>
    <row r="20" spans="1:10">
      <c r="A20" s="212" t="s">
        <v>148</v>
      </c>
      <c r="B20" s="216">
        <v>45332</v>
      </c>
      <c r="C20" s="212">
        <v>1.62313599</v>
      </c>
      <c r="D20" s="212" t="s">
        <v>2558</v>
      </c>
      <c r="E20" s="212">
        <v>543694485</v>
      </c>
      <c r="F20" s="214" t="s">
        <v>2559</v>
      </c>
      <c r="G20" s="212">
        <v>199</v>
      </c>
      <c r="H20" s="215" t="s">
        <v>2358</v>
      </c>
      <c r="I20" s="212"/>
      <c r="J20" s="212" t="s">
        <v>2524</v>
      </c>
    </row>
    <row r="21" spans="1:10">
      <c r="A21" s="212" t="s">
        <v>148</v>
      </c>
      <c r="B21" s="216">
        <v>45333</v>
      </c>
      <c r="C21" s="212">
        <v>1.62341617</v>
      </c>
      <c r="D21" s="212" t="s">
        <v>2560</v>
      </c>
      <c r="E21" s="212">
        <v>567464707</v>
      </c>
      <c r="F21" s="214" t="s">
        <v>2561</v>
      </c>
      <c r="G21" s="212">
        <v>199</v>
      </c>
      <c r="H21" s="215" t="s">
        <v>2358</v>
      </c>
      <c r="I21" s="212"/>
      <c r="J21" s="212" t="s">
        <v>2524</v>
      </c>
    </row>
    <row r="22" spans="1:10">
      <c r="A22" s="212" t="s">
        <v>148</v>
      </c>
      <c r="B22" s="216">
        <v>45333</v>
      </c>
      <c r="C22" s="212">
        <v>1.6234428400000001</v>
      </c>
      <c r="D22" s="212" t="s">
        <v>2562</v>
      </c>
      <c r="E22" s="212">
        <v>556219750</v>
      </c>
      <c r="F22" s="214" t="s">
        <v>2563</v>
      </c>
      <c r="G22" s="212">
        <v>199</v>
      </c>
      <c r="H22" s="215" t="s">
        <v>2358</v>
      </c>
      <c r="I22" s="212"/>
      <c r="J22" s="212" t="s">
        <v>2524</v>
      </c>
    </row>
    <row r="23" spans="1:10">
      <c r="A23" s="212" t="s">
        <v>148</v>
      </c>
      <c r="B23" s="216">
        <v>45334</v>
      </c>
      <c r="C23" s="212">
        <v>1.62364833</v>
      </c>
      <c r="D23" s="212" t="s">
        <v>2564</v>
      </c>
      <c r="E23" s="212">
        <v>552361872</v>
      </c>
      <c r="F23" s="214" t="s">
        <v>2565</v>
      </c>
      <c r="G23" s="212">
        <v>199</v>
      </c>
      <c r="H23" s="215" t="s">
        <v>2358</v>
      </c>
      <c r="I23" s="212"/>
      <c r="J23" s="212" t="s">
        <v>2524</v>
      </c>
    </row>
    <row r="24" spans="1:10">
      <c r="A24" s="212" t="s">
        <v>148</v>
      </c>
      <c r="B24" s="216">
        <v>45334</v>
      </c>
      <c r="C24" s="212" t="e">
        <v>#N/A</v>
      </c>
      <c r="D24" s="212" t="s">
        <v>2566</v>
      </c>
      <c r="E24" s="212">
        <v>509122645</v>
      </c>
      <c r="F24" s="212" t="s">
        <v>2567</v>
      </c>
      <c r="G24" s="212">
        <v>199</v>
      </c>
      <c r="H24" s="217" t="s">
        <v>1563</v>
      </c>
      <c r="I24" s="212"/>
      <c r="J24" s="212" t="s">
        <v>2568</v>
      </c>
    </row>
    <row r="25" spans="1:10">
      <c r="A25" s="212" t="s">
        <v>148</v>
      </c>
      <c r="B25" s="216">
        <v>45334</v>
      </c>
      <c r="C25" s="212">
        <v>1.6236841399999999</v>
      </c>
      <c r="D25" s="212" t="s">
        <v>2569</v>
      </c>
      <c r="E25" s="212">
        <v>523615045</v>
      </c>
      <c r="F25" s="214" t="s">
        <v>2570</v>
      </c>
      <c r="G25" s="212">
        <v>199</v>
      </c>
      <c r="H25" s="215" t="s">
        <v>2358</v>
      </c>
      <c r="I25" s="212"/>
      <c r="J25" s="212" t="s">
        <v>2524</v>
      </c>
    </row>
    <row r="26" spans="1:10">
      <c r="A26" s="212" t="s">
        <v>148</v>
      </c>
      <c r="B26" s="216">
        <v>45335</v>
      </c>
      <c r="C26" s="212">
        <v>1.6240204899999999</v>
      </c>
      <c r="D26" s="212" t="s">
        <v>2571</v>
      </c>
      <c r="E26" s="212">
        <v>544219391</v>
      </c>
      <c r="F26" s="214" t="s">
        <v>2572</v>
      </c>
      <c r="G26" s="212">
        <v>199</v>
      </c>
      <c r="H26" s="215" t="s">
        <v>2358</v>
      </c>
      <c r="I26" s="212"/>
      <c r="J26" s="212" t="s">
        <v>2524</v>
      </c>
    </row>
    <row r="27" spans="1:10">
      <c r="A27" s="212" t="s">
        <v>148</v>
      </c>
      <c r="B27" s="213">
        <v>45337</v>
      </c>
      <c r="C27" s="212">
        <v>1.6243750100000001</v>
      </c>
      <c r="D27" s="212" t="s">
        <v>2573</v>
      </c>
      <c r="E27" s="212">
        <v>562046030</v>
      </c>
      <c r="F27" s="214" t="s">
        <v>2574</v>
      </c>
      <c r="G27" s="212">
        <v>199</v>
      </c>
      <c r="H27" s="215" t="s">
        <v>2358</v>
      </c>
      <c r="I27" s="212"/>
      <c r="J27" s="212" t="s">
        <v>2524</v>
      </c>
    </row>
    <row r="28" spans="1:10">
      <c r="A28" s="212" t="s">
        <v>148</v>
      </c>
      <c r="B28" s="213">
        <v>45337</v>
      </c>
      <c r="C28" s="212" t="e">
        <v>#N/A</v>
      </c>
      <c r="D28" s="212" t="s">
        <v>2575</v>
      </c>
      <c r="E28" s="212">
        <v>553007714</v>
      </c>
      <c r="F28" s="212" t="s">
        <v>2576</v>
      </c>
      <c r="G28" s="212">
        <v>199</v>
      </c>
      <c r="H28" s="217" t="s">
        <v>1563</v>
      </c>
      <c r="I28" s="212"/>
      <c r="J28" s="212" t="s">
        <v>2527</v>
      </c>
    </row>
    <row r="29" spans="1:10">
      <c r="A29" s="212" t="s">
        <v>148</v>
      </c>
      <c r="B29" s="213">
        <v>45337</v>
      </c>
      <c r="C29" s="212" t="e">
        <v>#N/A</v>
      </c>
      <c r="D29" s="212" t="s">
        <v>2577</v>
      </c>
      <c r="E29" s="212">
        <v>566290646</v>
      </c>
      <c r="F29" s="212" t="s">
        <v>2578</v>
      </c>
      <c r="G29" s="212">
        <v>199</v>
      </c>
      <c r="H29" s="217" t="s">
        <v>331</v>
      </c>
      <c r="I29" s="212"/>
      <c r="J29" s="212"/>
    </row>
    <row r="30" spans="1:10">
      <c r="A30" s="212" t="s">
        <v>148</v>
      </c>
      <c r="B30" s="213">
        <v>45337</v>
      </c>
      <c r="C30" s="212" t="e">
        <v>#N/A</v>
      </c>
      <c r="D30" s="212" t="s">
        <v>2579</v>
      </c>
      <c r="E30" s="212">
        <v>561594756</v>
      </c>
      <c r="F30" s="212" t="s">
        <v>2580</v>
      </c>
      <c r="G30" s="212">
        <v>199</v>
      </c>
      <c r="H30" s="217" t="s">
        <v>1563</v>
      </c>
      <c r="I30" s="212"/>
      <c r="J30" s="212" t="s">
        <v>1794</v>
      </c>
    </row>
    <row r="31" spans="1:10">
      <c r="A31" s="212" t="s">
        <v>148</v>
      </c>
      <c r="B31" s="213">
        <v>45338</v>
      </c>
      <c r="C31" s="212">
        <v>1.6249919500000001</v>
      </c>
      <c r="D31" s="218" t="s">
        <v>2581</v>
      </c>
      <c r="E31" s="218">
        <v>523465652</v>
      </c>
      <c r="F31" s="219" t="s">
        <v>2582</v>
      </c>
      <c r="G31" s="212">
        <v>199</v>
      </c>
      <c r="H31" s="215" t="s">
        <v>2358</v>
      </c>
      <c r="I31" s="212"/>
      <c r="J31" s="212" t="s">
        <v>2524</v>
      </c>
    </row>
    <row r="32" spans="1:10">
      <c r="A32" s="212" t="s">
        <v>148</v>
      </c>
      <c r="B32" s="213">
        <v>45338</v>
      </c>
      <c r="C32" s="212" t="e">
        <v>#N/A</v>
      </c>
      <c r="D32" s="218" t="s">
        <v>2583</v>
      </c>
      <c r="E32" s="218">
        <v>547048667</v>
      </c>
      <c r="F32" s="218" t="s">
        <v>2584</v>
      </c>
      <c r="G32" s="218">
        <v>199</v>
      </c>
      <c r="H32" s="217" t="s">
        <v>331</v>
      </c>
      <c r="I32" s="212"/>
      <c r="J32" s="212" t="s">
        <v>1794</v>
      </c>
    </row>
    <row r="33" spans="1:10">
      <c r="A33" s="212" t="s">
        <v>148</v>
      </c>
      <c r="B33" s="213">
        <v>45339</v>
      </c>
      <c r="C33" s="212">
        <v>1.62543959</v>
      </c>
      <c r="D33" s="218" t="s">
        <v>2585</v>
      </c>
      <c r="E33" s="218">
        <v>506305008</v>
      </c>
      <c r="F33" s="219" t="s">
        <v>2586</v>
      </c>
      <c r="G33" s="212">
        <v>199</v>
      </c>
      <c r="H33" s="215" t="s">
        <v>2358</v>
      </c>
      <c r="I33" s="212"/>
      <c r="J33" s="212" t="s">
        <v>2524</v>
      </c>
    </row>
    <row r="34" spans="1:10">
      <c r="A34" s="212" t="s">
        <v>148</v>
      </c>
      <c r="B34" s="220">
        <v>45341</v>
      </c>
      <c r="C34" s="212">
        <v>1.62608156</v>
      </c>
      <c r="D34" s="221" t="s">
        <v>2587</v>
      </c>
      <c r="E34" s="221">
        <v>527819617</v>
      </c>
      <c r="F34" s="222" t="s">
        <v>2588</v>
      </c>
      <c r="G34" s="212">
        <v>199</v>
      </c>
      <c r="H34" s="215" t="s">
        <v>2358</v>
      </c>
      <c r="I34" s="212"/>
      <c r="J34" s="212" t="s">
        <v>2524</v>
      </c>
    </row>
    <row r="35" spans="1:10">
      <c r="A35" s="212" t="s">
        <v>148</v>
      </c>
      <c r="B35" s="213">
        <v>45342</v>
      </c>
      <c r="C35" s="212">
        <v>1.6264612599999999</v>
      </c>
      <c r="D35" s="221" t="s">
        <v>2589</v>
      </c>
      <c r="E35" s="221">
        <v>554382436</v>
      </c>
      <c r="F35" s="222" t="s">
        <v>2590</v>
      </c>
      <c r="G35" s="212">
        <v>299</v>
      </c>
      <c r="H35" s="215" t="s">
        <v>2358</v>
      </c>
      <c r="I35" s="212"/>
      <c r="J35" s="212" t="s">
        <v>2524</v>
      </c>
    </row>
    <row r="36" spans="1:10">
      <c r="A36" s="212" t="s">
        <v>148</v>
      </c>
      <c r="B36" s="213">
        <v>45343</v>
      </c>
      <c r="C36" s="212">
        <v>1.6265866600000001</v>
      </c>
      <c r="D36" s="221" t="s">
        <v>2591</v>
      </c>
      <c r="E36" s="221">
        <v>501606202</v>
      </c>
      <c r="F36" s="222" t="s">
        <v>2592</v>
      </c>
      <c r="G36" s="212">
        <v>299</v>
      </c>
      <c r="H36" s="215" t="s">
        <v>2358</v>
      </c>
      <c r="I36" s="212"/>
      <c r="J36" s="212" t="s">
        <v>2524</v>
      </c>
    </row>
    <row r="37" spans="1:10">
      <c r="A37" s="212" t="s">
        <v>148</v>
      </c>
      <c r="B37" s="213">
        <v>45343</v>
      </c>
      <c r="C37" s="212">
        <v>1.30842495</v>
      </c>
      <c r="D37" s="221" t="s">
        <v>2593</v>
      </c>
      <c r="E37" s="221">
        <v>556700074</v>
      </c>
      <c r="F37" s="222" t="s">
        <v>2594</v>
      </c>
      <c r="G37" s="212">
        <v>299</v>
      </c>
      <c r="H37" s="215" t="s">
        <v>2358</v>
      </c>
      <c r="I37" s="212"/>
      <c r="J37" s="212" t="s">
        <v>2524</v>
      </c>
    </row>
    <row r="38" spans="1:10">
      <c r="A38" s="212" t="s">
        <v>148</v>
      </c>
      <c r="B38" s="216">
        <v>45344</v>
      </c>
      <c r="C38" s="212">
        <v>1.62690548</v>
      </c>
      <c r="D38" s="223" t="s">
        <v>2595</v>
      </c>
      <c r="E38" s="223">
        <v>557122866</v>
      </c>
      <c r="F38" s="224" t="s">
        <v>2596</v>
      </c>
      <c r="G38" s="212">
        <v>199</v>
      </c>
      <c r="H38" s="215" t="s">
        <v>2358</v>
      </c>
      <c r="I38" s="212"/>
      <c r="J38" s="212" t="s">
        <v>2524</v>
      </c>
    </row>
    <row r="39" spans="1:10">
      <c r="A39" s="212" t="s">
        <v>148</v>
      </c>
      <c r="B39" s="216">
        <v>45344</v>
      </c>
      <c r="C39" s="212" t="e">
        <v>#N/A</v>
      </c>
      <c r="D39" s="223" t="s">
        <v>2597</v>
      </c>
      <c r="E39" s="223">
        <v>544797232</v>
      </c>
      <c r="F39" s="223" t="s">
        <v>2598</v>
      </c>
      <c r="G39" s="223">
        <v>299</v>
      </c>
      <c r="H39" s="217" t="s">
        <v>1663</v>
      </c>
      <c r="I39" s="212"/>
      <c r="J39" s="212"/>
    </row>
    <row r="40" spans="1:10">
      <c r="A40" s="212" t="s">
        <v>148</v>
      </c>
      <c r="B40" s="216">
        <v>45344</v>
      </c>
      <c r="C40" s="212" t="e">
        <v>#N/A</v>
      </c>
      <c r="D40" s="223" t="s">
        <v>2599</v>
      </c>
      <c r="E40" s="223">
        <v>565300010</v>
      </c>
      <c r="F40" s="223" t="s">
        <v>1713</v>
      </c>
      <c r="G40" s="223">
        <v>299</v>
      </c>
      <c r="H40" s="217" t="s">
        <v>1663</v>
      </c>
      <c r="I40" s="212"/>
      <c r="J40" s="212"/>
    </row>
    <row r="41" spans="1:10">
      <c r="A41" s="212" t="s">
        <v>148</v>
      </c>
      <c r="B41" s="213">
        <v>45346</v>
      </c>
      <c r="C41" s="212">
        <v>1.5297916199999999</v>
      </c>
      <c r="D41" s="223" t="s">
        <v>2600</v>
      </c>
      <c r="E41" s="223">
        <v>504844972</v>
      </c>
      <c r="F41" s="224" t="s">
        <v>2601</v>
      </c>
      <c r="G41" s="212">
        <v>199</v>
      </c>
      <c r="H41" s="215" t="s">
        <v>2358</v>
      </c>
      <c r="I41" s="212"/>
      <c r="J41" s="212" t="s">
        <v>2524</v>
      </c>
    </row>
    <row r="42" spans="1:10">
      <c r="A42" s="212" t="s">
        <v>148</v>
      </c>
      <c r="B42" s="213">
        <v>45346</v>
      </c>
      <c r="C42" s="212">
        <v>1.62767379</v>
      </c>
      <c r="D42" s="223" t="s">
        <v>2602</v>
      </c>
      <c r="E42" s="223">
        <v>506882529</v>
      </c>
      <c r="F42" s="224" t="s">
        <v>2603</v>
      </c>
      <c r="G42" s="212">
        <v>199</v>
      </c>
      <c r="H42" s="215" t="s">
        <v>2358</v>
      </c>
      <c r="I42" s="212"/>
      <c r="J42" s="212" t="s">
        <v>2524</v>
      </c>
    </row>
    <row r="43" spans="1:10">
      <c r="A43" s="212" t="s">
        <v>148</v>
      </c>
      <c r="B43" s="213">
        <v>45347</v>
      </c>
      <c r="C43" s="212">
        <v>1.6279219899999999</v>
      </c>
      <c r="D43" s="223" t="s">
        <v>2604</v>
      </c>
      <c r="E43" s="223">
        <v>567578726</v>
      </c>
      <c r="F43" s="224" t="s">
        <v>2605</v>
      </c>
      <c r="G43" s="212">
        <v>199</v>
      </c>
      <c r="H43" s="215" t="s">
        <v>2358</v>
      </c>
      <c r="I43" s="212"/>
      <c r="J43" s="212" t="s">
        <v>2524</v>
      </c>
    </row>
    <row r="44" spans="1:10">
      <c r="A44" s="212" t="s">
        <v>148</v>
      </c>
      <c r="B44" s="213">
        <v>45347</v>
      </c>
      <c r="C44" s="212">
        <v>1.62794354</v>
      </c>
      <c r="D44" s="223" t="s">
        <v>2606</v>
      </c>
      <c r="E44" s="223">
        <v>509678462</v>
      </c>
      <c r="F44" s="224" t="s">
        <v>2607</v>
      </c>
      <c r="G44" s="212">
        <v>199</v>
      </c>
      <c r="H44" s="215" t="s">
        <v>2358</v>
      </c>
      <c r="I44" s="212"/>
      <c r="J44" s="212" t="s">
        <v>2524</v>
      </c>
    </row>
    <row r="45" spans="1:10">
      <c r="A45" s="212" t="s">
        <v>148</v>
      </c>
      <c r="B45" s="213">
        <v>45347</v>
      </c>
      <c r="C45" s="212" t="e">
        <v>#N/A</v>
      </c>
      <c r="D45" s="223" t="s">
        <v>2608</v>
      </c>
      <c r="E45" s="223">
        <v>503396676</v>
      </c>
      <c r="F45" s="223" t="s">
        <v>2609</v>
      </c>
      <c r="G45" s="223">
        <v>199</v>
      </c>
      <c r="H45" s="217" t="s">
        <v>1663</v>
      </c>
      <c r="I45" s="212"/>
      <c r="J45" s="212"/>
    </row>
    <row r="46" spans="1:10">
      <c r="A46" s="212" t="s">
        <v>148</v>
      </c>
      <c r="B46" s="213">
        <v>45347</v>
      </c>
      <c r="C46" s="212" t="e">
        <v>#N/A</v>
      </c>
      <c r="D46" s="223" t="s">
        <v>2610</v>
      </c>
      <c r="E46" s="223">
        <v>568078503</v>
      </c>
      <c r="F46" s="223" t="s">
        <v>2611</v>
      </c>
      <c r="G46" s="223">
        <v>199</v>
      </c>
      <c r="H46" s="217" t="s">
        <v>1663</v>
      </c>
      <c r="I46" s="212"/>
      <c r="J46" s="212"/>
    </row>
    <row r="47" spans="1:10">
      <c r="A47" s="212" t="s">
        <v>148</v>
      </c>
      <c r="B47" s="213">
        <v>45347</v>
      </c>
      <c r="C47" s="212">
        <v>1.4847849200000001</v>
      </c>
      <c r="D47" s="223" t="s">
        <v>2612</v>
      </c>
      <c r="E47" s="223">
        <v>544356942</v>
      </c>
      <c r="F47" s="224" t="s">
        <v>2613</v>
      </c>
      <c r="G47" s="212">
        <v>199</v>
      </c>
      <c r="H47" s="215" t="s">
        <v>2358</v>
      </c>
      <c r="I47" s="212"/>
      <c r="J47" s="212" t="s">
        <v>2524</v>
      </c>
    </row>
    <row r="48" spans="1:10">
      <c r="A48" s="212" t="s">
        <v>148</v>
      </c>
      <c r="B48" s="213">
        <v>45348</v>
      </c>
      <c r="C48" s="212">
        <v>1.6282537800000001</v>
      </c>
      <c r="D48" s="223" t="s">
        <v>2614</v>
      </c>
      <c r="E48" s="223">
        <v>502612627</v>
      </c>
      <c r="F48" s="224" t="s">
        <v>2615</v>
      </c>
      <c r="G48" s="212">
        <v>199</v>
      </c>
      <c r="H48" s="215" t="s">
        <v>2358</v>
      </c>
      <c r="I48" s="212"/>
      <c r="J48" s="212" t="s">
        <v>2524</v>
      </c>
    </row>
    <row r="49" spans="1:10">
      <c r="A49" s="225" t="s">
        <v>2218</v>
      </c>
      <c r="B49" s="213">
        <v>45349</v>
      </c>
      <c r="C49" s="212">
        <v>1.62859949</v>
      </c>
      <c r="D49" s="223" t="s">
        <v>2616</v>
      </c>
      <c r="E49" s="223">
        <v>562713757</v>
      </c>
      <c r="F49" s="224" t="s">
        <v>2617</v>
      </c>
      <c r="G49" s="212">
        <v>299</v>
      </c>
      <c r="H49" s="215" t="s">
        <v>2358</v>
      </c>
      <c r="I49" s="212"/>
      <c r="J49" s="212" t="s">
        <v>2524</v>
      </c>
    </row>
    <row r="50" spans="1:10">
      <c r="A50" s="225" t="s">
        <v>2218</v>
      </c>
      <c r="B50" s="213">
        <v>45350</v>
      </c>
      <c r="C50" s="212">
        <v>1.3962241200000001</v>
      </c>
      <c r="D50" s="223" t="s">
        <v>2618</v>
      </c>
      <c r="E50" s="223">
        <v>557145467</v>
      </c>
      <c r="F50" s="224" t="s">
        <v>2619</v>
      </c>
      <c r="G50" s="212">
        <v>199</v>
      </c>
      <c r="H50" s="215" t="s">
        <v>2358</v>
      </c>
      <c r="I50" s="212"/>
      <c r="J50" s="212" t="s">
        <v>2524</v>
      </c>
    </row>
    <row r="51" spans="1:10">
      <c r="A51" s="225" t="s">
        <v>2218</v>
      </c>
      <c r="B51" s="213">
        <v>45350</v>
      </c>
      <c r="C51" s="212">
        <v>1.62886767</v>
      </c>
      <c r="D51" s="223" t="s">
        <v>2620</v>
      </c>
      <c r="E51" s="223">
        <v>544636807</v>
      </c>
      <c r="F51" s="224" t="s">
        <v>2621</v>
      </c>
      <c r="G51" s="212">
        <v>199</v>
      </c>
      <c r="H51" s="215" t="s">
        <v>2358</v>
      </c>
      <c r="I51" s="212"/>
      <c r="J51" s="212" t="s">
        <v>2524</v>
      </c>
    </row>
    <row r="52" spans="1:10">
      <c r="A52" s="225" t="s">
        <v>2218</v>
      </c>
      <c r="B52" s="213">
        <v>45350</v>
      </c>
      <c r="C52" s="212">
        <v>1.61056467</v>
      </c>
      <c r="D52" s="223" t="s">
        <v>2622</v>
      </c>
      <c r="E52" s="223">
        <v>503464114</v>
      </c>
      <c r="F52" s="224" t="s">
        <v>2623</v>
      </c>
      <c r="G52" s="223">
        <v>299</v>
      </c>
      <c r="H52" s="217" t="s">
        <v>2358</v>
      </c>
      <c r="I52" s="212"/>
      <c r="J52" s="212" t="s">
        <v>2524</v>
      </c>
    </row>
    <row r="53" spans="1:10">
      <c r="A53" s="225" t="s">
        <v>2218</v>
      </c>
      <c r="B53" s="213">
        <v>45350</v>
      </c>
      <c r="C53" s="212">
        <v>1.6289405299999999</v>
      </c>
      <c r="D53" s="223" t="s">
        <v>2624</v>
      </c>
      <c r="E53" s="223">
        <v>542311068</v>
      </c>
      <c r="F53" s="224" t="s">
        <v>2625</v>
      </c>
      <c r="G53" s="212">
        <v>199</v>
      </c>
      <c r="H53" s="215" t="s">
        <v>2358</v>
      </c>
      <c r="I53" s="212"/>
      <c r="J53" s="212" t="s">
        <v>2524</v>
      </c>
    </row>
    <row r="54" spans="1:10">
      <c r="A54" s="225" t="s">
        <v>2218</v>
      </c>
      <c r="B54" s="213">
        <v>45350</v>
      </c>
      <c r="C54" s="212" t="e">
        <v>#N/A</v>
      </c>
      <c r="D54" s="223" t="s">
        <v>2626</v>
      </c>
      <c r="E54" s="223">
        <v>508399284</v>
      </c>
      <c r="F54" s="223" t="s">
        <v>2627</v>
      </c>
      <c r="G54" s="223">
        <v>199</v>
      </c>
      <c r="H54" s="217" t="s">
        <v>1663</v>
      </c>
      <c r="I54" s="212"/>
      <c r="J54" s="212"/>
    </row>
    <row r="55" spans="1:10">
      <c r="A55" s="225" t="s">
        <v>2218</v>
      </c>
      <c r="B55" s="213">
        <v>45350</v>
      </c>
      <c r="C55" s="212">
        <v>1.62901293</v>
      </c>
      <c r="D55" s="223" t="s">
        <v>2628</v>
      </c>
      <c r="E55" s="223">
        <v>526407036</v>
      </c>
      <c r="F55" s="224" t="s">
        <v>2629</v>
      </c>
      <c r="G55" s="212">
        <v>299</v>
      </c>
      <c r="H55" s="215" t="s">
        <v>2358</v>
      </c>
      <c r="I55" s="212"/>
      <c r="J55" s="212" t="s">
        <v>2524</v>
      </c>
    </row>
    <row r="56" spans="1:10">
      <c r="A56" s="225" t="s">
        <v>2218</v>
      </c>
      <c r="B56" s="213">
        <v>45350</v>
      </c>
      <c r="C56" s="212">
        <v>1.6290179199999999</v>
      </c>
      <c r="D56" s="223" t="s">
        <v>2630</v>
      </c>
      <c r="E56" s="223"/>
      <c r="F56" s="224" t="s">
        <v>2631</v>
      </c>
      <c r="G56" s="212">
        <v>199</v>
      </c>
      <c r="H56" s="215" t="s">
        <v>2358</v>
      </c>
      <c r="I56" s="212"/>
      <c r="J56" s="212" t="s">
        <v>2524</v>
      </c>
    </row>
    <row r="57" spans="1:10">
      <c r="A57" s="226" t="s">
        <v>148</v>
      </c>
      <c r="B57" s="213">
        <v>45351</v>
      </c>
      <c r="C57" s="212">
        <v>1.62920994</v>
      </c>
      <c r="D57" s="221" t="s">
        <v>2632</v>
      </c>
      <c r="E57" s="221">
        <v>506610142</v>
      </c>
      <c r="F57" s="221" t="s">
        <v>2633</v>
      </c>
      <c r="G57" s="221">
        <v>199</v>
      </c>
      <c r="H57" s="215" t="s">
        <v>2358</v>
      </c>
      <c r="I57" s="212"/>
      <c r="J57" s="212" t="s">
        <v>2524</v>
      </c>
    </row>
  </sheetData>
  <conditionalFormatting sqref="B41:B48 D37:E52 D31:E32 D27:E29 C26:C57 C1:E25">
    <cfRule type="duplicateValues" dxfId="444" priority="21"/>
  </conditionalFormatting>
  <conditionalFormatting sqref="B49:B56">
    <cfRule type="duplicateValues" dxfId="443" priority="3"/>
  </conditionalFormatting>
  <conditionalFormatting sqref="D1:E1">
    <cfRule type="duplicateValues" dxfId="442" priority="18"/>
    <cfRule type="duplicateValues" dxfId="441" priority="19"/>
    <cfRule type="duplicateValues" dxfId="440" priority="20"/>
  </conditionalFormatting>
  <conditionalFormatting sqref="D1:E57">
    <cfRule type="duplicateValues" dxfId="439" priority="16"/>
  </conditionalFormatting>
  <conditionalFormatting sqref="D26:E26">
    <cfRule type="duplicateValues" dxfId="438" priority="11"/>
    <cfRule type="duplicateValues" dxfId="437" priority="12"/>
  </conditionalFormatting>
  <conditionalFormatting sqref="D30:E30">
    <cfRule type="duplicateValues" dxfId="436" priority="7"/>
  </conditionalFormatting>
  <conditionalFormatting sqref="D33:E33">
    <cfRule type="duplicateValues" dxfId="435" priority="5"/>
  </conditionalFormatting>
  <conditionalFormatting sqref="D57:E57">
    <cfRule type="duplicateValues" dxfId="434" priority="2"/>
  </conditionalFormatting>
  <conditionalFormatting sqref="F1">
    <cfRule type="duplicateValues" dxfId="433" priority="17"/>
  </conditionalFormatting>
  <conditionalFormatting sqref="F26">
    <cfRule type="duplicateValues" dxfId="432" priority="9"/>
    <cfRule type="duplicateValues" dxfId="431" priority="10"/>
  </conditionalFormatting>
  <conditionalFormatting sqref="F30">
    <cfRule type="duplicateValues" dxfId="430" priority="6"/>
  </conditionalFormatting>
  <conditionalFormatting sqref="F33">
    <cfRule type="duplicateValues" dxfId="429" priority="4"/>
  </conditionalFormatting>
  <conditionalFormatting sqref="F57">
    <cfRule type="duplicateValues" dxfId="428" priority="1"/>
  </conditionalFormatting>
  <conditionalFormatting sqref="J6">
    <cfRule type="duplicateValues" dxfId="427" priority="14"/>
  </conditionalFormatting>
  <conditionalFormatting sqref="J13">
    <cfRule type="duplicateValues" dxfId="426" priority="13"/>
  </conditionalFormatting>
  <conditionalFormatting sqref="J30:J31 J26">
    <cfRule type="duplicateValues" dxfId="425" priority="8"/>
  </conditionalFormatting>
  <conditionalFormatting sqref="J53:J57 J41:J51 J32:J39 J27:J29 J23 J16:J21 J14 J11:J12 J7:J9 J5 J3">
    <cfRule type="duplicateValues" dxfId="424" priority="15"/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47"/>
  <sheetViews>
    <sheetView topLeftCell="A39" workbookViewId="0">
      <selection activeCell="B1" sqref="B1:G47"/>
    </sheetView>
  </sheetViews>
  <sheetFormatPr defaultRowHeight="14.5"/>
  <cols>
    <col min="2" max="2" width="19" bestFit="1" customWidth="1"/>
    <col min="4" max="4" width="14.453125" customWidth="1"/>
    <col min="5" max="5" width="9.81640625" bestFit="1" customWidth="1"/>
    <col min="6" max="6" width="19.54296875" bestFit="1" customWidth="1"/>
  </cols>
  <sheetData>
    <row r="1" spans="1:9">
      <c r="A1" s="241" t="s">
        <v>2634</v>
      </c>
      <c r="B1" s="242" t="s">
        <v>1668</v>
      </c>
      <c r="C1" s="241" t="s">
        <v>2003</v>
      </c>
      <c r="D1" s="241" t="s">
        <v>2635</v>
      </c>
      <c r="E1" s="241" t="s">
        <v>2636</v>
      </c>
      <c r="F1" s="241" t="s">
        <v>2637</v>
      </c>
      <c r="G1" s="241" t="s">
        <v>2638</v>
      </c>
      <c r="H1" s="241" t="s">
        <v>2069</v>
      </c>
      <c r="I1" s="243" t="s">
        <v>2639</v>
      </c>
    </row>
    <row r="2" spans="1:9">
      <c r="A2" s="244" t="s">
        <v>148</v>
      </c>
      <c r="B2" s="245">
        <v>45350</v>
      </c>
      <c r="C2" s="246">
        <v>1.61056467</v>
      </c>
      <c r="D2" s="246"/>
      <c r="E2" s="247" t="s">
        <v>2622</v>
      </c>
      <c r="F2" s="247" t="s">
        <v>2623</v>
      </c>
      <c r="G2" s="246">
        <v>299</v>
      </c>
      <c r="H2" s="248" t="s">
        <v>1589</v>
      </c>
      <c r="I2" s="247"/>
    </row>
    <row r="3" spans="1:9" ht="21">
      <c r="A3" s="244" t="s">
        <v>148</v>
      </c>
      <c r="B3" s="245">
        <v>45351</v>
      </c>
      <c r="C3" s="246">
        <v>1.62920994</v>
      </c>
      <c r="D3" s="246"/>
      <c r="E3" s="246" t="s">
        <v>2632</v>
      </c>
      <c r="F3" s="249" t="s">
        <v>2633</v>
      </c>
      <c r="G3" s="246">
        <v>199</v>
      </c>
      <c r="H3" s="248" t="s">
        <v>1589</v>
      </c>
      <c r="I3" s="247"/>
    </row>
    <row r="4" spans="1:9">
      <c r="A4" s="244" t="s">
        <v>148</v>
      </c>
      <c r="B4" s="245">
        <v>45353</v>
      </c>
      <c r="C4" s="250">
        <v>1.6299300699999999</v>
      </c>
      <c r="D4" s="250">
        <v>527049435</v>
      </c>
      <c r="E4" s="247" t="s">
        <v>2640</v>
      </c>
      <c r="F4" s="251" t="s">
        <v>2641</v>
      </c>
      <c r="G4" s="247">
        <v>199</v>
      </c>
      <c r="H4" s="248" t="s">
        <v>1589</v>
      </c>
      <c r="I4" s="247"/>
    </row>
    <row r="5" spans="1:9">
      <c r="A5" s="244" t="s">
        <v>148</v>
      </c>
      <c r="B5" s="245">
        <v>45355</v>
      </c>
      <c r="C5" s="250">
        <v>1.63050238</v>
      </c>
      <c r="D5" s="250">
        <v>565724081</v>
      </c>
      <c r="E5" s="247" t="s">
        <v>2642</v>
      </c>
      <c r="F5" s="251" t="s">
        <v>2643</v>
      </c>
      <c r="G5" s="247">
        <v>199</v>
      </c>
      <c r="H5" s="248" t="s">
        <v>1589</v>
      </c>
      <c r="I5" s="247"/>
    </row>
    <row r="6" spans="1:9">
      <c r="A6" s="244" t="s">
        <v>148</v>
      </c>
      <c r="B6" s="245">
        <v>45355</v>
      </c>
      <c r="C6" s="250">
        <v>1.63025197</v>
      </c>
      <c r="D6" s="250">
        <v>504907193</v>
      </c>
      <c r="E6" s="247" t="s">
        <v>2644</v>
      </c>
      <c r="F6" s="251" t="s">
        <v>2645</v>
      </c>
      <c r="G6" s="247">
        <v>199</v>
      </c>
      <c r="H6" s="248" t="s">
        <v>1589</v>
      </c>
      <c r="I6" s="247"/>
    </row>
    <row r="7" spans="1:9">
      <c r="A7" s="244" t="s">
        <v>148</v>
      </c>
      <c r="B7" s="245">
        <v>45355</v>
      </c>
      <c r="C7" s="250">
        <v>1.35122969</v>
      </c>
      <c r="D7" s="250">
        <v>556352080</v>
      </c>
      <c r="E7" s="247" t="s">
        <v>2646</v>
      </c>
      <c r="F7" s="251" t="s">
        <v>2647</v>
      </c>
      <c r="G7" s="247">
        <v>199</v>
      </c>
      <c r="H7" s="248" t="s">
        <v>1589</v>
      </c>
      <c r="I7" s="247" t="s">
        <v>2639</v>
      </c>
    </row>
    <row r="8" spans="1:9">
      <c r="A8" s="244" t="s">
        <v>148</v>
      </c>
      <c r="B8" s="245">
        <v>45355</v>
      </c>
      <c r="C8" s="250">
        <v>1.63062504</v>
      </c>
      <c r="D8" s="250">
        <v>542196646</v>
      </c>
      <c r="E8" s="247" t="s">
        <v>2648</v>
      </c>
      <c r="F8" s="251" t="s">
        <v>2649</v>
      </c>
      <c r="G8" s="247">
        <v>199</v>
      </c>
      <c r="H8" s="248" t="s">
        <v>1589</v>
      </c>
      <c r="I8" s="247"/>
    </row>
    <row r="9" spans="1:9" ht="21">
      <c r="A9" s="244" t="s">
        <v>148</v>
      </c>
      <c r="B9" s="252">
        <v>45357</v>
      </c>
      <c r="C9" s="250">
        <v>1.6311536099999999</v>
      </c>
      <c r="D9" s="250">
        <v>565486523</v>
      </c>
      <c r="E9" s="246" t="s">
        <v>2650</v>
      </c>
      <c r="F9" s="249" t="s">
        <v>2651</v>
      </c>
      <c r="G9" s="246">
        <v>199</v>
      </c>
      <c r="H9" s="248" t="s">
        <v>1589</v>
      </c>
      <c r="I9" s="247"/>
    </row>
    <row r="10" spans="1:9" ht="21">
      <c r="A10" s="244" t="s">
        <v>148</v>
      </c>
      <c r="B10" s="252">
        <v>45358</v>
      </c>
      <c r="C10" s="250">
        <v>1.6314256899999999</v>
      </c>
      <c r="D10" s="250">
        <v>588085642</v>
      </c>
      <c r="E10" s="246" t="s">
        <v>2652</v>
      </c>
      <c r="F10" s="249" t="s">
        <v>2653</v>
      </c>
      <c r="G10" s="246">
        <v>199</v>
      </c>
      <c r="H10" s="248" t="s">
        <v>1589</v>
      </c>
      <c r="I10" s="247"/>
    </row>
    <row r="11" spans="1:9" ht="21">
      <c r="A11" s="244" t="s">
        <v>148</v>
      </c>
      <c r="B11" s="252">
        <v>45358</v>
      </c>
      <c r="C11" s="250">
        <v>1.6314529</v>
      </c>
      <c r="D11" s="250">
        <v>501999128</v>
      </c>
      <c r="E11" s="246" t="s">
        <v>2654</v>
      </c>
      <c r="F11" s="249" t="s">
        <v>2655</v>
      </c>
      <c r="G11" s="246">
        <v>199</v>
      </c>
      <c r="H11" s="248" t="s">
        <v>1589</v>
      </c>
      <c r="I11" s="247"/>
    </row>
    <row r="12" spans="1:9">
      <c r="A12" s="244" t="s">
        <v>148</v>
      </c>
      <c r="B12" s="253">
        <v>45359</v>
      </c>
      <c r="C12" s="250">
        <v>1.6316971899999999</v>
      </c>
      <c r="D12" s="250">
        <v>542331219</v>
      </c>
      <c r="E12" s="247" t="s">
        <v>2656</v>
      </c>
      <c r="F12" s="251" t="s">
        <v>2657</v>
      </c>
      <c r="G12" s="247">
        <v>199</v>
      </c>
      <c r="H12" s="248" t="s">
        <v>1589</v>
      </c>
      <c r="I12" s="247"/>
    </row>
    <row r="13" spans="1:9">
      <c r="A13" s="244" t="s">
        <v>148</v>
      </c>
      <c r="B13" s="253">
        <v>45360</v>
      </c>
      <c r="C13" s="250">
        <v>1.6319570000000001</v>
      </c>
      <c r="D13" s="250">
        <v>502119179</v>
      </c>
      <c r="E13" s="247" t="s">
        <v>2658</v>
      </c>
      <c r="F13" s="251" t="s">
        <v>2659</v>
      </c>
      <c r="G13" s="247">
        <v>199</v>
      </c>
      <c r="H13" s="248" t="s">
        <v>1589</v>
      </c>
      <c r="I13" s="247"/>
    </row>
    <row r="14" spans="1:9">
      <c r="A14" s="244" t="s">
        <v>148</v>
      </c>
      <c r="B14" s="253">
        <v>45360</v>
      </c>
      <c r="C14" s="250">
        <v>1.54878329</v>
      </c>
      <c r="D14" s="250">
        <v>559025755</v>
      </c>
      <c r="E14" s="247" t="s">
        <v>2660</v>
      </c>
      <c r="F14" s="251" t="s">
        <v>2661</v>
      </c>
      <c r="G14" s="247">
        <v>199</v>
      </c>
      <c r="H14" s="248" t="s">
        <v>1589</v>
      </c>
      <c r="I14" s="247"/>
    </row>
    <row r="15" spans="1:9">
      <c r="A15" s="244" t="s">
        <v>148</v>
      </c>
      <c r="B15" s="253">
        <v>45360</v>
      </c>
      <c r="C15" s="250">
        <v>1.41505025</v>
      </c>
      <c r="D15" s="250">
        <v>522174299</v>
      </c>
      <c r="E15" s="247" t="s">
        <v>2662</v>
      </c>
      <c r="F15" s="251" t="s">
        <v>2663</v>
      </c>
      <c r="G15" s="247">
        <v>199</v>
      </c>
      <c r="H15" s="248" t="s">
        <v>1589</v>
      </c>
      <c r="I15" s="247"/>
    </row>
    <row r="16" spans="1:9">
      <c r="A16" s="244" t="s">
        <v>148</v>
      </c>
      <c r="B16" s="253">
        <v>45362</v>
      </c>
      <c r="C16" s="250">
        <v>1.63243374</v>
      </c>
      <c r="D16" s="250">
        <v>509662345</v>
      </c>
      <c r="E16" s="247" t="s">
        <v>2664</v>
      </c>
      <c r="F16" s="251" t="s">
        <v>2665</v>
      </c>
      <c r="G16" s="247">
        <v>199</v>
      </c>
      <c r="H16" s="248" t="s">
        <v>1589</v>
      </c>
      <c r="I16" s="247" t="s">
        <v>2639</v>
      </c>
    </row>
    <row r="17" spans="1:9">
      <c r="A17" s="244" t="s">
        <v>148</v>
      </c>
      <c r="B17" s="253">
        <v>45363</v>
      </c>
      <c r="C17" s="250">
        <v>1.6326640800000001</v>
      </c>
      <c r="D17" s="250">
        <v>524012560</v>
      </c>
      <c r="E17" s="247" t="s">
        <v>2666</v>
      </c>
      <c r="F17" s="251" t="s">
        <v>2667</v>
      </c>
      <c r="G17" s="247">
        <v>199</v>
      </c>
      <c r="H17" s="248" t="s">
        <v>1589</v>
      </c>
      <c r="I17" s="247"/>
    </row>
    <row r="18" spans="1:9">
      <c r="A18" s="244" t="s">
        <v>148</v>
      </c>
      <c r="B18" s="253">
        <v>45364</v>
      </c>
      <c r="C18" s="250">
        <v>1.5861167199999999</v>
      </c>
      <c r="D18" s="250">
        <v>526240292</v>
      </c>
      <c r="E18" s="247" t="s">
        <v>2668</v>
      </c>
      <c r="F18" s="251" t="s">
        <v>2669</v>
      </c>
      <c r="G18" s="247">
        <v>199</v>
      </c>
      <c r="H18" s="248" t="s">
        <v>1589</v>
      </c>
      <c r="I18" s="247"/>
    </row>
    <row r="19" spans="1:9">
      <c r="A19" s="244" t="s">
        <v>148</v>
      </c>
      <c r="B19" s="253">
        <v>45365</v>
      </c>
      <c r="C19" s="250">
        <v>1.6225978700000001</v>
      </c>
      <c r="D19" s="250">
        <v>508061013</v>
      </c>
      <c r="E19" s="247" t="s">
        <v>2670</v>
      </c>
      <c r="F19" s="251" t="s">
        <v>2671</v>
      </c>
      <c r="G19" s="247">
        <v>199</v>
      </c>
      <c r="H19" s="248" t="s">
        <v>1589</v>
      </c>
      <c r="I19" s="247"/>
    </row>
    <row r="20" spans="1:9">
      <c r="A20" s="244" t="s">
        <v>148</v>
      </c>
      <c r="B20" s="253">
        <v>45365</v>
      </c>
      <c r="C20" s="250">
        <v>1.63310146</v>
      </c>
      <c r="D20" s="250">
        <v>542331189</v>
      </c>
      <c r="E20" s="247" t="s">
        <v>2672</v>
      </c>
      <c r="F20" s="251" t="s">
        <v>2673</v>
      </c>
      <c r="G20" s="247">
        <v>199</v>
      </c>
      <c r="H20" s="248" t="s">
        <v>1589</v>
      </c>
      <c r="I20" s="247"/>
    </row>
    <row r="21" spans="1:9">
      <c r="A21" s="244" t="s">
        <v>148</v>
      </c>
      <c r="B21" s="253">
        <v>45366</v>
      </c>
      <c r="C21" s="250">
        <v>1.63330015</v>
      </c>
      <c r="D21" s="250">
        <v>564647569</v>
      </c>
      <c r="E21" s="247" t="s">
        <v>2674</v>
      </c>
      <c r="F21" s="247" t="s">
        <v>2675</v>
      </c>
      <c r="G21" s="247">
        <v>199</v>
      </c>
      <c r="H21" s="248" t="s">
        <v>1589</v>
      </c>
      <c r="I21" s="247"/>
    </row>
    <row r="22" spans="1:9">
      <c r="A22" s="244" t="s">
        <v>148</v>
      </c>
      <c r="B22" s="253">
        <v>45366</v>
      </c>
      <c r="C22" s="250">
        <v>1.18055241</v>
      </c>
      <c r="D22" s="250"/>
      <c r="E22" s="247" t="s">
        <v>2676</v>
      </c>
      <c r="F22" s="251" t="s">
        <v>2677</v>
      </c>
      <c r="G22" s="247">
        <v>199</v>
      </c>
      <c r="H22" s="248" t="s">
        <v>1589</v>
      </c>
      <c r="I22" s="247"/>
    </row>
    <row r="23" spans="1:9">
      <c r="A23" s="244" t="s">
        <v>148</v>
      </c>
      <c r="B23" s="253">
        <v>45366</v>
      </c>
      <c r="C23" s="250">
        <v>1.63332053</v>
      </c>
      <c r="D23" s="250">
        <v>529485872</v>
      </c>
      <c r="E23" s="247" t="s">
        <v>2678</v>
      </c>
      <c r="F23" s="251" t="s">
        <v>2679</v>
      </c>
      <c r="G23" s="247">
        <v>199</v>
      </c>
      <c r="H23" s="248" t="s">
        <v>1589</v>
      </c>
      <c r="I23" s="247"/>
    </row>
    <row r="24" spans="1:9">
      <c r="A24" s="244" t="s">
        <v>148</v>
      </c>
      <c r="B24" s="253">
        <v>45366</v>
      </c>
      <c r="C24" s="250">
        <v>1.6333402699999999</v>
      </c>
      <c r="D24" s="250">
        <v>502173962</v>
      </c>
      <c r="E24" s="247" t="s">
        <v>2680</v>
      </c>
      <c r="F24" s="251" t="s">
        <v>2681</v>
      </c>
      <c r="G24" s="247">
        <v>199</v>
      </c>
      <c r="H24" s="248" t="s">
        <v>1589</v>
      </c>
      <c r="I24" s="247"/>
    </row>
    <row r="25" spans="1:9">
      <c r="A25" s="244" t="s">
        <v>148</v>
      </c>
      <c r="B25" s="253">
        <v>45367</v>
      </c>
      <c r="C25" s="250">
        <v>1.63365969</v>
      </c>
      <c r="D25" s="250">
        <v>521872723</v>
      </c>
      <c r="E25" s="247" t="s">
        <v>2682</v>
      </c>
      <c r="F25" s="251" t="s">
        <v>2683</v>
      </c>
      <c r="G25" s="247">
        <v>199</v>
      </c>
      <c r="H25" s="248" t="s">
        <v>1589</v>
      </c>
      <c r="I25" s="247"/>
    </row>
    <row r="26" spans="1:9">
      <c r="A26" s="244" t="s">
        <v>148</v>
      </c>
      <c r="B26" s="253">
        <v>45367</v>
      </c>
      <c r="C26" s="250">
        <v>1.3225418799999999</v>
      </c>
      <c r="D26" s="250">
        <v>505052107</v>
      </c>
      <c r="E26" s="247" t="s">
        <v>2684</v>
      </c>
      <c r="F26" s="251" t="s">
        <v>2685</v>
      </c>
      <c r="G26" s="247">
        <v>299</v>
      </c>
      <c r="H26" s="248" t="s">
        <v>1589</v>
      </c>
      <c r="I26" s="247"/>
    </row>
    <row r="27" spans="1:9">
      <c r="A27" s="244" t="s">
        <v>148</v>
      </c>
      <c r="B27" s="253">
        <v>45369</v>
      </c>
      <c r="C27" s="250">
        <v>1.6341840999999999</v>
      </c>
      <c r="D27" s="250">
        <v>561989765</v>
      </c>
      <c r="E27" s="247" t="s">
        <v>2686</v>
      </c>
      <c r="F27" s="251" t="s">
        <v>2687</v>
      </c>
      <c r="G27" s="247">
        <v>199</v>
      </c>
      <c r="H27" s="248" t="s">
        <v>1589</v>
      </c>
      <c r="I27" s="247"/>
    </row>
    <row r="28" spans="1:9">
      <c r="A28" s="244" t="s">
        <v>148</v>
      </c>
      <c r="B28" s="253">
        <v>45370</v>
      </c>
      <c r="C28" s="250">
        <v>1.6342933500000001</v>
      </c>
      <c r="D28" s="250">
        <v>524347894</v>
      </c>
      <c r="E28" s="247" t="s">
        <v>2688</v>
      </c>
      <c r="F28" s="251" t="s">
        <v>2689</v>
      </c>
      <c r="G28" s="247">
        <v>199</v>
      </c>
      <c r="H28" s="248" t="s">
        <v>1589</v>
      </c>
      <c r="I28" s="247"/>
    </row>
    <row r="29" spans="1:9">
      <c r="A29" s="244" t="s">
        <v>148</v>
      </c>
      <c r="B29" s="253">
        <v>45372</v>
      </c>
      <c r="C29" s="250">
        <v>1.6347632999999999</v>
      </c>
      <c r="D29" s="250">
        <v>544177519</v>
      </c>
      <c r="E29" s="247" t="s">
        <v>2690</v>
      </c>
      <c r="F29" s="251" t="s">
        <v>2691</v>
      </c>
      <c r="G29" s="247">
        <v>199</v>
      </c>
      <c r="H29" s="248" t="s">
        <v>1589</v>
      </c>
      <c r="I29" s="247"/>
    </row>
    <row r="30" spans="1:9">
      <c r="A30" s="244" t="s">
        <v>148</v>
      </c>
      <c r="B30" s="253">
        <v>45373</v>
      </c>
      <c r="C30" s="250">
        <v>1.63502452</v>
      </c>
      <c r="D30" s="250">
        <v>562639314</v>
      </c>
      <c r="E30" s="247" t="s">
        <v>2692</v>
      </c>
      <c r="F30" s="251" t="s">
        <v>2693</v>
      </c>
      <c r="G30" s="247">
        <v>199</v>
      </c>
      <c r="H30" s="248" t="s">
        <v>1589</v>
      </c>
      <c r="I30" s="247"/>
    </row>
    <row r="31" spans="1:9">
      <c r="A31" s="244" t="s">
        <v>148</v>
      </c>
      <c r="B31" s="253">
        <v>45373</v>
      </c>
      <c r="C31" s="250">
        <v>1.63511564</v>
      </c>
      <c r="D31" s="250">
        <v>557970236</v>
      </c>
      <c r="E31" s="247" t="s">
        <v>2694</v>
      </c>
      <c r="F31" s="251" t="s">
        <v>2695</v>
      </c>
      <c r="G31" s="247">
        <v>199</v>
      </c>
      <c r="H31" s="248" t="s">
        <v>1589</v>
      </c>
      <c r="I31" s="247"/>
    </row>
    <row r="32" spans="1:9">
      <c r="A32" s="244" t="s">
        <v>148</v>
      </c>
      <c r="B32" s="253">
        <v>45374</v>
      </c>
      <c r="C32" s="250">
        <v>1.63542129</v>
      </c>
      <c r="D32" s="250">
        <v>566319096</v>
      </c>
      <c r="E32" s="247" t="s">
        <v>2696</v>
      </c>
      <c r="F32" s="251" t="s">
        <v>2697</v>
      </c>
      <c r="G32" s="247">
        <v>199</v>
      </c>
      <c r="H32" s="248" t="s">
        <v>1589</v>
      </c>
      <c r="I32" s="247"/>
    </row>
    <row r="33" spans="1:9">
      <c r="A33" s="244" t="s">
        <v>148</v>
      </c>
      <c r="B33" s="253">
        <v>45376</v>
      </c>
      <c r="C33" s="250">
        <v>1.60551427</v>
      </c>
      <c r="D33" s="250">
        <v>555512293</v>
      </c>
      <c r="E33" s="247" t="s">
        <v>2698</v>
      </c>
      <c r="F33" s="251" t="s">
        <v>2699</v>
      </c>
      <c r="G33" s="247">
        <v>199</v>
      </c>
      <c r="H33" s="254" t="s">
        <v>1589</v>
      </c>
      <c r="I33" s="247"/>
    </row>
    <row r="34" spans="1:9">
      <c r="A34" s="244" t="s">
        <v>148</v>
      </c>
      <c r="B34" s="253">
        <v>45377</v>
      </c>
      <c r="C34" s="250">
        <v>1.6361536699999999</v>
      </c>
      <c r="D34" s="250">
        <v>559962575</v>
      </c>
      <c r="E34" s="247" t="s">
        <v>2700</v>
      </c>
      <c r="F34" s="251" t="s">
        <v>2701</v>
      </c>
      <c r="G34" s="247">
        <v>199</v>
      </c>
      <c r="H34" s="248" t="s">
        <v>1589</v>
      </c>
      <c r="I34" s="247"/>
    </row>
    <row r="35" spans="1:9">
      <c r="A35" s="244" t="s">
        <v>148</v>
      </c>
      <c r="B35" s="253">
        <v>45377</v>
      </c>
      <c r="C35" s="250">
        <v>1.38177554</v>
      </c>
      <c r="D35" s="250">
        <v>566655531</v>
      </c>
      <c r="E35" s="247" t="s">
        <v>2702</v>
      </c>
      <c r="F35" s="251" t="s">
        <v>2703</v>
      </c>
      <c r="G35" s="247">
        <v>199</v>
      </c>
      <c r="H35" s="248" t="s">
        <v>1589</v>
      </c>
      <c r="I35" s="247"/>
    </row>
    <row r="36" spans="1:9">
      <c r="A36" s="244" t="s">
        <v>148</v>
      </c>
      <c r="B36" s="253">
        <v>45378</v>
      </c>
      <c r="C36" s="250">
        <v>1.63629873</v>
      </c>
      <c r="D36" s="250">
        <v>568146829</v>
      </c>
      <c r="E36" s="250" t="s">
        <v>2704</v>
      </c>
      <c r="F36" s="255" t="s">
        <v>2705</v>
      </c>
      <c r="G36" s="250">
        <v>199</v>
      </c>
      <c r="H36" s="248" t="s">
        <v>1589</v>
      </c>
      <c r="I36" s="256"/>
    </row>
    <row r="37" spans="1:9">
      <c r="A37" s="244" t="s">
        <v>148</v>
      </c>
      <c r="B37" s="253">
        <v>45378</v>
      </c>
      <c r="C37" s="250">
        <v>1.6363816</v>
      </c>
      <c r="D37" s="250">
        <v>547508568</v>
      </c>
      <c r="E37" s="250" t="s">
        <v>2706</v>
      </c>
      <c r="F37" s="255" t="s">
        <v>2707</v>
      </c>
      <c r="G37" s="250">
        <v>199</v>
      </c>
      <c r="H37" s="248" t="s">
        <v>1589</v>
      </c>
      <c r="I37" s="256"/>
    </row>
    <row r="38" spans="1:9">
      <c r="A38" s="244" t="s">
        <v>148</v>
      </c>
      <c r="B38" s="253">
        <v>45379</v>
      </c>
      <c r="C38" s="250">
        <v>1.63656855</v>
      </c>
      <c r="D38" s="250">
        <v>547248676</v>
      </c>
      <c r="E38" s="250" t="s">
        <v>2708</v>
      </c>
      <c r="F38" s="255" t="s">
        <v>2709</v>
      </c>
      <c r="G38" s="250">
        <v>199</v>
      </c>
      <c r="H38" s="247" t="s">
        <v>2710</v>
      </c>
      <c r="I38" s="256"/>
    </row>
    <row r="39" spans="1:9">
      <c r="A39" s="244" t="s">
        <v>148</v>
      </c>
      <c r="B39" s="253">
        <v>45379</v>
      </c>
      <c r="C39" s="250">
        <v>1.6364969700000001</v>
      </c>
      <c r="D39" s="250">
        <v>501510777</v>
      </c>
      <c r="E39" s="250" t="s">
        <v>2711</v>
      </c>
      <c r="F39" s="255" t="s">
        <v>2712</v>
      </c>
      <c r="G39" s="250">
        <v>299</v>
      </c>
      <c r="H39" s="248" t="s">
        <v>1589</v>
      </c>
      <c r="I39" s="256"/>
    </row>
    <row r="40" spans="1:9">
      <c r="A40" s="244" t="s">
        <v>148</v>
      </c>
      <c r="B40" s="253">
        <v>45379</v>
      </c>
      <c r="C40" s="250">
        <v>1.6365725200000001</v>
      </c>
      <c r="D40" s="250">
        <v>528132522</v>
      </c>
      <c r="E40" s="250" t="s">
        <v>2713</v>
      </c>
      <c r="F40" s="255" t="s">
        <v>2714</v>
      </c>
      <c r="G40" s="250">
        <v>199</v>
      </c>
      <c r="H40" s="248" t="s">
        <v>1589</v>
      </c>
      <c r="I40" s="256"/>
    </row>
    <row r="41" spans="1:9">
      <c r="A41" s="244" t="s">
        <v>148</v>
      </c>
      <c r="B41" s="253">
        <v>45380</v>
      </c>
      <c r="C41" s="250">
        <v>1.6369386100000001</v>
      </c>
      <c r="D41" s="250">
        <v>552129077</v>
      </c>
      <c r="E41" s="250" t="s">
        <v>2715</v>
      </c>
      <c r="F41" s="255" t="s">
        <v>2716</v>
      </c>
      <c r="G41" s="250">
        <v>199</v>
      </c>
      <c r="H41" s="248" t="s">
        <v>1589</v>
      </c>
      <c r="I41" s="256"/>
    </row>
    <row r="42" spans="1:9">
      <c r="A42" s="244" t="s">
        <v>148</v>
      </c>
      <c r="B42" s="253">
        <v>45381</v>
      </c>
      <c r="C42" s="250">
        <v>1.6370988500000001</v>
      </c>
      <c r="D42" s="250">
        <v>524489650</v>
      </c>
      <c r="E42" s="250" t="s">
        <v>2717</v>
      </c>
      <c r="F42" s="255" t="s">
        <v>2718</v>
      </c>
      <c r="G42" s="250">
        <v>199</v>
      </c>
      <c r="H42" s="248" t="s">
        <v>1589</v>
      </c>
      <c r="I42" s="256"/>
    </row>
    <row r="43" spans="1:9">
      <c r="A43" s="244" t="s">
        <v>148</v>
      </c>
      <c r="B43" s="253">
        <v>45381</v>
      </c>
      <c r="C43" s="250">
        <v>1.6371055699999999</v>
      </c>
      <c r="D43" s="250">
        <v>581319665</v>
      </c>
      <c r="E43" s="250" t="s">
        <v>2719</v>
      </c>
      <c r="F43" s="255" t="s">
        <v>2720</v>
      </c>
      <c r="G43" s="250">
        <v>199</v>
      </c>
      <c r="H43" s="248" t="s">
        <v>1589</v>
      </c>
      <c r="I43" s="256"/>
    </row>
    <row r="44" spans="1:9">
      <c r="A44" s="244" t="s">
        <v>148</v>
      </c>
      <c r="B44" s="253">
        <v>45381</v>
      </c>
      <c r="C44" s="250">
        <v>1.63711246</v>
      </c>
      <c r="D44" s="250">
        <v>561833948</v>
      </c>
      <c r="E44" s="250" t="s">
        <v>2721</v>
      </c>
      <c r="F44" s="255" t="s">
        <v>2722</v>
      </c>
      <c r="G44" s="250">
        <v>199</v>
      </c>
      <c r="H44" s="248" t="s">
        <v>1589</v>
      </c>
      <c r="I44" s="256"/>
    </row>
    <row r="45" spans="1:9">
      <c r="A45" s="244" t="s">
        <v>148</v>
      </c>
      <c r="B45" s="253">
        <v>45382</v>
      </c>
      <c r="C45" s="250">
        <v>1.63732951</v>
      </c>
      <c r="D45" s="250">
        <v>558084050</v>
      </c>
      <c r="E45" s="250" t="s">
        <v>2723</v>
      </c>
      <c r="F45" s="255" t="s">
        <v>2724</v>
      </c>
      <c r="G45" s="250">
        <v>199</v>
      </c>
      <c r="H45" s="247" t="s">
        <v>2710</v>
      </c>
      <c r="I45" s="256"/>
    </row>
    <row r="46" spans="1:9">
      <c r="A46" s="244" t="s">
        <v>148</v>
      </c>
      <c r="B46" s="253">
        <v>45382</v>
      </c>
      <c r="C46" s="250">
        <v>1.63732725</v>
      </c>
      <c r="D46" s="250"/>
      <c r="E46" s="250" t="s">
        <v>2725</v>
      </c>
      <c r="F46" s="255" t="s">
        <v>2726</v>
      </c>
      <c r="G46" s="250">
        <v>299</v>
      </c>
      <c r="H46" s="248" t="s">
        <v>1589</v>
      </c>
      <c r="I46" s="256"/>
    </row>
    <row r="47" spans="1:9">
      <c r="A47" s="244" t="s">
        <v>148</v>
      </c>
      <c r="B47" s="253">
        <v>45382</v>
      </c>
      <c r="C47" s="250">
        <v>1.6373436400000001</v>
      </c>
      <c r="D47" s="250">
        <v>508648687</v>
      </c>
      <c r="E47" s="250" t="s">
        <v>2727</v>
      </c>
      <c r="F47" s="255" t="s">
        <v>2728</v>
      </c>
      <c r="G47" s="250">
        <v>299</v>
      </c>
      <c r="H47" s="247" t="s">
        <v>2710</v>
      </c>
      <c r="I47" s="256"/>
    </row>
  </sheetData>
  <conditionalFormatting sqref="C2:D2">
    <cfRule type="duplicateValues" dxfId="423" priority="9"/>
  </conditionalFormatting>
  <conditionalFormatting sqref="C1:E47">
    <cfRule type="duplicateValues" dxfId="422" priority="10"/>
    <cfRule type="duplicateValues" dxfId="421" priority="14"/>
  </conditionalFormatting>
  <conditionalFormatting sqref="E1:E47">
    <cfRule type="duplicateValues" dxfId="420" priority="11"/>
  </conditionalFormatting>
  <conditionalFormatting sqref="E5">
    <cfRule type="duplicateValues" dxfId="419" priority="7"/>
    <cfRule type="duplicateValues" dxfId="418" priority="8"/>
  </conditionalFormatting>
  <conditionalFormatting sqref="E17">
    <cfRule type="duplicateValues" dxfId="417" priority="4"/>
  </conditionalFormatting>
  <conditionalFormatting sqref="E41">
    <cfRule type="duplicateValues" dxfId="416" priority="2"/>
  </conditionalFormatting>
  <conditionalFormatting sqref="E42:E47 E18:E40 E1:E16">
    <cfRule type="duplicateValues" dxfId="415" priority="12"/>
  </conditionalFormatting>
  <conditionalFormatting sqref="E42:E47 E18:E40 E10:E16 C3:D3 E2:E7 C1:E1">
    <cfRule type="duplicateValues" dxfId="414" priority="13"/>
  </conditionalFormatting>
  <conditionalFormatting sqref="E8:F8">
    <cfRule type="duplicateValues" dxfId="413" priority="5"/>
  </conditionalFormatting>
  <conditionalFormatting sqref="F5">
    <cfRule type="duplicateValues" dxfId="412" priority="6"/>
  </conditionalFormatting>
  <conditionalFormatting sqref="F17">
    <cfRule type="duplicateValues" dxfId="411" priority="3"/>
  </conditionalFormatting>
  <conditionalFormatting sqref="F41">
    <cfRule type="duplicateValues" dxfId="410" priority="1"/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filterMode="1"/>
  <dimension ref="A1:J39"/>
  <sheetViews>
    <sheetView workbookViewId="0">
      <selection activeCell="A2" sqref="A2:A39"/>
    </sheetView>
  </sheetViews>
  <sheetFormatPr defaultRowHeight="14.5"/>
  <cols>
    <col min="2" max="2" width="16" bestFit="1" customWidth="1"/>
    <col min="3" max="3" width="8.453125" customWidth="1"/>
    <col min="4" max="4" width="13.7265625" bestFit="1" customWidth="1"/>
    <col min="5" max="5" width="13.7265625" customWidth="1"/>
    <col min="6" max="6" width="18.81640625" bestFit="1" customWidth="1"/>
    <col min="7" max="7" width="5.1796875" bestFit="1" customWidth="1"/>
    <col min="8" max="8" width="7.453125" bestFit="1" customWidth="1"/>
    <col min="9" max="9" width="19" bestFit="1" customWidth="1"/>
  </cols>
  <sheetData>
    <row r="1" spans="1:9">
      <c r="A1" s="269" t="s">
        <v>2634</v>
      </c>
      <c r="B1" s="269" t="s">
        <v>1668</v>
      </c>
      <c r="C1" s="269" t="s">
        <v>1918</v>
      </c>
      <c r="D1" s="269" t="s">
        <v>2636</v>
      </c>
      <c r="E1" s="269" t="s">
        <v>2635</v>
      </c>
      <c r="F1" s="269" t="s">
        <v>1743</v>
      </c>
      <c r="G1" s="270" t="s">
        <v>2729</v>
      </c>
      <c r="H1" s="269" t="s">
        <v>1748</v>
      </c>
      <c r="I1" s="269" t="s">
        <v>1752</v>
      </c>
    </row>
    <row r="2" spans="1:9">
      <c r="A2" s="3" t="s">
        <v>148</v>
      </c>
      <c r="B2" s="271">
        <v>45295</v>
      </c>
      <c r="C2" s="223">
        <v>1.5737694900000001</v>
      </c>
      <c r="D2" s="223" t="s">
        <v>2730</v>
      </c>
      <c r="E2" s="223">
        <v>552637103</v>
      </c>
      <c r="F2" s="224" t="s">
        <v>2731</v>
      </c>
      <c r="G2" s="223">
        <v>199</v>
      </c>
      <c r="H2" s="272" t="s">
        <v>1589</v>
      </c>
      <c r="I2" s="223" t="e">
        <v>#N/A</v>
      </c>
    </row>
    <row r="3" spans="1:9">
      <c r="A3" s="3" t="s">
        <v>148</v>
      </c>
      <c r="B3" s="271">
        <v>45295</v>
      </c>
      <c r="C3" s="223">
        <v>1.63751979</v>
      </c>
      <c r="D3" s="223" t="s">
        <v>2732</v>
      </c>
      <c r="E3" s="223">
        <v>568381594</v>
      </c>
      <c r="F3" s="224" t="s">
        <v>2733</v>
      </c>
      <c r="G3" s="223">
        <v>199</v>
      </c>
      <c r="H3" s="272" t="s">
        <v>1589</v>
      </c>
      <c r="I3" s="223" t="e">
        <v>#N/A</v>
      </c>
    </row>
    <row r="4" spans="1:9" hidden="1">
      <c r="A4" s="3" t="s">
        <v>148</v>
      </c>
      <c r="B4" s="271">
        <v>45295</v>
      </c>
      <c r="C4" s="223">
        <v>1.63732951</v>
      </c>
      <c r="D4" s="223" t="s">
        <v>2734</v>
      </c>
      <c r="E4" s="223"/>
      <c r="F4" s="223" t="s">
        <v>2724</v>
      </c>
      <c r="G4" s="223">
        <v>199</v>
      </c>
      <c r="H4" s="272" t="s">
        <v>1563</v>
      </c>
      <c r="I4" s="223" t="e">
        <v>#N/A</v>
      </c>
    </row>
    <row r="5" spans="1:9">
      <c r="A5" s="3" t="s">
        <v>148</v>
      </c>
      <c r="B5" s="271">
        <v>45355</v>
      </c>
      <c r="C5" s="223">
        <v>1.6378973400000001</v>
      </c>
      <c r="D5" s="223" t="s">
        <v>2735</v>
      </c>
      <c r="E5" s="223">
        <v>586270531</v>
      </c>
      <c r="F5" s="224" t="s">
        <v>2736</v>
      </c>
      <c r="G5" s="223">
        <v>199</v>
      </c>
      <c r="H5" s="272" t="s">
        <v>1589</v>
      </c>
      <c r="I5" s="223" t="e">
        <v>#N/A</v>
      </c>
    </row>
    <row r="6" spans="1:9" hidden="1">
      <c r="A6" s="3" t="s">
        <v>148</v>
      </c>
      <c r="B6" s="271">
        <v>45355</v>
      </c>
      <c r="C6" s="223">
        <v>1.63795834</v>
      </c>
      <c r="D6" s="224" t="s">
        <v>2737</v>
      </c>
      <c r="E6" s="224"/>
      <c r="F6" s="223" t="s">
        <v>2738</v>
      </c>
      <c r="G6" s="223">
        <v>199</v>
      </c>
      <c r="H6" s="272" t="s">
        <v>1563</v>
      </c>
      <c r="I6" s="223" t="e">
        <v>#N/A</v>
      </c>
    </row>
    <row r="7" spans="1:9">
      <c r="A7" s="3" t="s">
        <v>148</v>
      </c>
      <c r="B7" s="271">
        <v>45416</v>
      </c>
      <c r="C7" s="223">
        <v>1.6383807100000001</v>
      </c>
      <c r="D7" s="223" t="s">
        <v>2739</v>
      </c>
      <c r="E7" s="223">
        <v>543728126</v>
      </c>
      <c r="F7" s="224" t="s">
        <v>2740</v>
      </c>
      <c r="G7" s="223">
        <v>199</v>
      </c>
      <c r="H7" s="272" t="s">
        <v>1589</v>
      </c>
      <c r="I7" s="223" t="e">
        <v>#N/A</v>
      </c>
    </row>
    <row r="8" spans="1:9">
      <c r="A8" s="3" t="s">
        <v>148</v>
      </c>
      <c r="B8" s="271">
        <v>45447</v>
      </c>
      <c r="C8" s="223">
        <v>1.6386341099999999</v>
      </c>
      <c r="D8" s="223" t="s">
        <v>2741</v>
      </c>
      <c r="E8" s="223">
        <v>505176710</v>
      </c>
      <c r="F8" s="224" t="s">
        <v>2742</v>
      </c>
      <c r="G8" s="223">
        <v>299</v>
      </c>
      <c r="H8" s="272" t="s">
        <v>1589</v>
      </c>
      <c r="I8" s="223" t="e">
        <v>#N/A</v>
      </c>
    </row>
    <row r="9" spans="1:9">
      <c r="A9" s="3" t="s">
        <v>148</v>
      </c>
      <c r="B9" s="271">
        <v>45477</v>
      </c>
      <c r="C9" s="223">
        <v>1.63892774</v>
      </c>
      <c r="D9" s="223" t="s">
        <v>2743</v>
      </c>
      <c r="E9" s="223">
        <v>552339322</v>
      </c>
      <c r="F9" s="224" t="s">
        <v>2744</v>
      </c>
      <c r="G9" s="223">
        <v>199</v>
      </c>
      <c r="H9" s="272" t="s">
        <v>1589</v>
      </c>
      <c r="I9" s="223" t="e">
        <v>#N/A</v>
      </c>
    </row>
    <row r="10" spans="1:9">
      <c r="A10" s="3" t="s">
        <v>148</v>
      </c>
      <c r="B10" s="271">
        <v>45477</v>
      </c>
      <c r="C10" s="223">
        <v>1.6389300899999999</v>
      </c>
      <c r="D10" s="223" t="s">
        <v>2745</v>
      </c>
      <c r="E10" s="223">
        <v>543200030</v>
      </c>
      <c r="F10" s="224" t="s">
        <v>2746</v>
      </c>
      <c r="G10" s="223">
        <v>199</v>
      </c>
      <c r="H10" s="272" t="s">
        <v>1589</v>
      </c>
      <c r="I10" s="223" t="e">
        <v>#N/A</v>
      </c>
    </row>
    <row r="11" spans="1:9">
      <c r="A11" s="3" t="s">
        <v>148</v>
      </c>
      <c r="B11" s="271">
        <v>45477</v>
      </c>
      <c r="C11" s="223">
        <v>1.6085960699999999</v>
      </c>
      <c r="D11" s="223" t="s">
        <v>2747</v>
      </c>
      <c r="E11" s="223">
        <v>569157665</v>
      </c>
      <c r="F11" s="224" t="s">
        <v>2748</v>
      </c>
      <c r="G11" s="223">
        <v>199</v>
      </c>
      <c r="H11" s="272" t="s">
        <v>1589</v>
      </c>
      <c r="I11" s="223" t="e">
        <v>#N/A</v>
      </c>
    </row>
    <row r="12" spans="1:9">
      <c r="A12" s="3" t="s">
        <v>148</v>
      </c>
      <c r="B12" s="271">
        <v>45477</v>
      </c>
      <c r="C12" s="223">
        <v>1.63893876</v>
      </c>
      <c r="D12" s="223" t="s">
        <v>2749</v>
      </c>
      <c r="E12" s="223">
        <v>502749385</v>
      </c>
      <c r="F12" s="224" t="s">
        <v>2750</v>
      </c>
      <c r="G12" s="223">
        <v>199</v>
      </c>
      <c r="H12" s="272" t="s">
        <v>1589</v>
      </c>
      <c r="I12" s="223" t="e">
        <v>#N/A</v>
      </c>
    </row>
    <row r="13" spans="1:9" hidden="1">
      <c r="A13" s="3" t="s">
        <v>148</v>
      </c>
      <c r="B13" s="271">
        <v>45539</v>
      </c>
      <c r="C13" s="223" t="e">
        <v>#N/A</v>
      </c>
      <c r="D13" s="273" t="s">
        <v>2751</v>
      </c>
      <c r="E13" s="273"/>
      <c r="F13" s="223" t="s">
        <v>2752</v>
      </c>
      <c r="G13" s="223">
        <v>199</v>
      </c>
      <c r="H13" s="272" t="s">
        <v>1563</v>
      </c>
      <c r="I13" s="223" t="s">
        <v>1768</v>
      </c>
    </row>
    <row r="14" spans="1:9">
      <c r="A14" s="3" t="s">
        <v>148</v>
      </c>
      <c r="B14" s="271">
        <v>45630</v>
      </c>
      <c r="C14" s="223">
        <v>1.6401193000000001</v>
      </c>
      <c r="D14" s="273" t="s">
        <v>2753</v>
      </c>
      <c r="E14" s="273">
        <v>525767061</v>
      </c>
      <c r="F14" s="224" t="s">
        <v>2754</v>
      </c>
      <c r="G14" s="223">
        <v>199</v>
      </c>
      <c r="H14" s="272" t="s">
        <v>1589</v>
      </c>
      <c r="I14" s="223" t="e">
        <v>#N/A</v>
      </c>
    </row>
    <row r="15" spans="1:9">
      <c r="A15" s="3" t="s">
        <v>148</v>
      </c>
      <c r="B15" s="253">
        <v>45379</v>
      </c>
      <c r="C15" s="223">
        <v>1.63656855</v>
      </c>
      <c r="D15" s="250" t="s">
        <v>2708</v>
      </c>
      <c r="E15" s="250"/>
      <c r="F15" s="250" t="s">
        <v>2709</v>
      </c>
      <c r="G15" s="223">
        <v>199</v>
      </c>
      <c r="H15" s="272" t="s">
        <v>1589</v>
      </c>
      <c r="I15" s="223" t="e">
        <v>#N/A</v>
      </c>
    </row>
    <row r="16" spans="1:9">
      <c r="A16" s="3" t="s">
        <v>148</v>
      </c>
      <c r="B16" s="253">
        <v>45382</v>
      </c>
      <c r="C16" s="223">
        <v>1.63732951</v>
      </c>
      <c r="D16" s="250" t="s">
        <v>2723</v>
      </c>
      <c r="E16" s="250"/>
      <c r="F16" s="250" t="s">
        <v>2724</v>
      </c>
      <c r="G16" s="223">
        <v>199</v>
      </c>
      <c r="H16" s="272" t="s">
        <v>1589</v>
      </c>
      <c r="I16" s="223" t="e">
        <v>#N/A</v>
      </c>
    </row>
    <row r="17" spans="1:9">
      <c r="A17" s="3" t="s">
        <v>148</v>
      </c>
      <c r="B17" s="253">
        <v>45382</v>
      </c>
      <c r="C17" s="223">
        <v>1.6373436400000001</v>
      </c>
      <c r="D17" s="250" t="s">
        <v>2727</v>
      </c>
      <c r="E17" s="250"/>
      <c r="F17" s="250" t="s">
        <v>2728</v>
      </c>
      <c r="G17" s="250">
        <v>299</v>
      </c>
      <c r="H17" s="272" t="s">
        <v>1589</v>
      </c>
      <c r="I17" s="223" t="e">
        <v>#N/A</v>
      </c>
    </row>
    <row r="18" spans="1:9">
      <c r="A18" s="3" t="s">
        <v>148</v>
      </c>
      <c r="B18" s="223" t="s">
        <v>2755</v>
      </c>
      <c r="C18" s="223">
        <v>1.3246767399999999</v>
      </c>
      <c r="D18" s="223" t="s">
        <v>2756</v>
      </c>
      <c r="E18" s="223">
        <v>503552442</v>
      </c>
      <c r="F18" s="224" t="s">
        <v>2757</v>
      </c>
      <c r="G18" s="223">
        <v>199</v>
      </c>
      <c r="H18" s="272" t="s">
        <v>1589</v>
      </c>
      <c r="I18" s="223" t="e">
        <v>#N/A</v>
      </c>
    </row>
    <row r="19" spans="1:9">
      <c r="A19" s="3" t="s">
        <v>148</v>
      </c>
      <c r="B19" s="223" t="s">
        <v>2755</v>
      </c>
      <c r="C19" s="223">
        <v>1.5201052900000001</v>
      </c>
      <c r="D19" s="223" t="s">
        <v>2758</v>
      </c>
      <c r="E19" s="223">
        <v>502210912</v>
      </c>
      <c r="F19" s="224" t="s">
        <v>2759</v>
      </c>
      <c r="G19" s="223">
        <v>199</v>
      </c>
      <c r="H19" s="272" t="s">
        <v>1589</v>
      </c>
      <c r="I19" s="223" t="e">
        <v>#N/A</v>
      </c>
    </row>
    <row r="20" spans="1:9">
      <c r="A20" s="3" t="s">
        <v>148</v>
      </c>
      <c r="B20" s="223" t="s">
        <v>2760</v>
      </c>
      <c r="C20" s="223">
        <v>1.6405358800000001</v>
      </c>
      <c r="D20" s="223" t="s">
        <v>2761</v>
      </c>
      <c r="E20" s="223">
        <v>567807096</v>
      </c>
      <c r="F20" s="224" t="s">
        <v>2762</v>
      </c>
      <c r="G20" s="223">
        <v>199</v>
      </c>
      <c r="H20" s="272" t="s">
        <v>1589</v>
      </c>
      <c r="I20" s="223" t="e">
        <v>#N/A</v>
      </c>
    </row>
    <row r="21" spans="1:9" hidden="1">
      <c r="A21" s="3" t="s">
        <v>148</v>
      </c>
      <c r="B21" s="223" t="s">
        <v>2763</v>
      </c>
      <c r="C21" s="223" t="e">
        <v>#N/A</v>
      </c>
      <c r="D21" s="223" t="s">
        <v>2764</v>
      </c>
      <c r="E21" s="223"/>
      <c r="F21" s="223" t="s">
        <v>2765</v>
      </c>
      <c r="G21" s="223">
        <v>199</v>
      </c>
      <c r="H21" s="272" t="s">
        <v>1563</v>
      </c>
      <c r="I21" s="223" t="s">
        <v>2034</v>
      </c>
    </row>
    <row r="22" spans="1:9">
      <c r="A22" s="3" t="s">
        <v>148</v>
      </c>
      <c r="B22" s="223" t="s">
        <v>2766</v>
      </c>
      <c r="C22" s="223">
        <v>1.6407366999999999</v>
      </c>
      <c r="D22" s="273" t="s">
        <v>2767</v>
      </c>
      <c r="E22" s="273">
        <v>509669526</v>
      </c>
      <c r="F22" s="224" t="s">
        <v>2765</v>
      </c>
      <c r="G22" s="223">
        <v>199</v>
      </c>
      <c r="H22" s="272" t="s">
        <v>1589</v>
      </c>
      <c r="I22" s="223" t="e">
        <v>#N/A</v>
      </c>
    </row>
    <row r="23" spans="1:9">
      <c r="A23" s="3" t="s">
        <v>148</v>
      </c>
      <c r="B23" s="223" t="s">
        <v>2768</v>
      </c>
      <c r="C23" s="223">
        <v>1.5552032</v>
      </c>
      <c r="D23" s="273" t="s">
        <v>2769</v>
      </c>
      <c r="E23" s="273">
        <v>589027755</v>
      </c>
      <c r="F23" s="224" t="s">
        <v>2770</v>
      </c>
      <c r="G23" s="223">
        <v>199</v>
      </c>
      <c r="H23" s="272" t="s">
        <v>1589</v>
      </c>
      <c r="I23" s="223" t="e">
        <v>#N/A</v>
      </c>
    </row>
    <row r="24" spans="1:9">
      <c r="A24" s="3" t="s">
        <v>148</v>
      </c>
      <c r="B24" s="223" t="s">
        <v>2768</v>
      </c>
      <c r="C24" s="223">
        <v>1.6413524799999999</v>
      </c>
      <c r="D24" s="273" t="s">
        <v>2771</v>
      </c>
      <c r="E24" s="273">
        <v>501900456</v>
      </c>
      <c r="F24" s="224" t="s">
        <v>2772</v>
      </c>
      <c r="G24" s="223">
        <v>199</v>
      </c>
      <c r="H24" s="272" t="s">
        <v>1589</v>
      </c>
      <c r="I24" s="223" t="e">
        <v>#N/A</v>
      </c>
    </row>
    <row r="25" spans="1:9">
      <c r="A25" s="3" t="s">
        <v>148</v>
      </c>
      <c r="B25" s="223" t="s">
        <v>2768</v>
      </c>
      <c r="C25" s="223">
        <v>1.6413939200000001</v>
      </c>
      <c r="D25" s="273" t="s">
        <v>2773</v>
      </c>
      <c r="E25" s="273">
        <v>582193320</v>
      </c>
      <c r="F25" s="224" t="s">
        <v>2774</v>
      </c>
      <c r="G25" s="223">
        <v>199</v>
      </c>
      <c r="H25" s="272" t="s">
        <v>1589</v>
      </c>
      <c r="I25" s="223" t="e">
        <v>#N/A</v>
      </c>
    </row>
    <row r="26" spans="1:9">
      <c r="A26" s="3" t="s">
        <v>148</v>
      </c>
      <c r="B26" s="223" t="s">
        <v>2768</v>
      </c>
      <c r="C26" s="223">
        <v>1.64140646</v>
      </c>
      <c r="D26" s="273" t="s">
        <v>2775</v>
      </c>
      <c r="E26" s="273">
        <v>557244645</v>
      </c>
      <c r="F26" s="224" t="s">
        <v>2776</v>
      </c>
      <c r="G26" s="223">
        <v>199</v>
      </c>
      <c r="H26" s="272" t="s">
        <v>1589</v>
      </c>
      <c r="I26" s="223" t="e">
        <v>#N/A</v>
      </c>
    </row>
    <row r="27" spans="1:9">
      <c r="A27" s="3" t="s">
        <v>148</v>
      </c>
      <c r="B27" s="223" t="s">
        <v>2777</v>
      </c>
      <c r="C27" s="223">
        <v>1.64156927</v>
      </c>
      <c r="D27" s="273" t="s">
        <v>2778</v>
      </c>
      <c r="E27" s="273">
        <v>561362575</v>
      </c>
      <c r="F27" s="224" t="s">
        <v>2779</v>
      </c>
      <c r="G27" s="223">
        <v>199</v>
      </c>
      <c r="H27" s="272" t="s">
        <v>1589</v>
      </c>
      <c r="I27" s="223" t="e">
        <v>#N/A</v>
      </c>
    </row>
    <row r="28" spans="1:9" hidden="1">
      <c r="A28" s="3" t="s">
        <v>148</v>
      </c>
      <c r="B28" s="223" t="s">
        <v>2777</v>
      </c>
      <c r="C28" s="223" t="e">
        <v>#N/A</v>
      </c>
      <c r="D28" s="273" t="s">
        <v>2780</v>
      </c>
      <c r="E28" s="273"/>
      <c r="F28" s="223" t="s">
        <v>2781</v>
      </c>
      <c r="G28" s="223">
        <v>199</v>
      </c>
      <c r="H28" s="272" t="s">
        <v>1563</v>
      </c>
      <c r="I28" s="223" t="s">
        <v>2059</v>
      </c>
    </row>
    <row r="29" spans="1:9" hidden="1">
      <c r="A29" s="3" t="s">
        <v>148</v>
      </c>
      <c r="B29" s="223" t="s">
        <v>2777</v>
      </c>
      <c r="C29" s="223" t="e">
        <v>#N/A</v>
      </c>
      <c r="D29" s="274" t="s">
        <v>2782</v>
      </c>
      <c r="E29" s="274"/>
      <c r="F29" s="223" t="s">
        <v>2783</v>
      </c>
      <c r="G29" s="223">
        <v>299</v>
      </c>
      <c r="H29" s="272" t="s">
        <v>1563</v>
      </c>
      <c r="I29" s="223" t="s">
        <v>2784</v>
      </c>
    </row>
    <row r="30" spans="1:9">
      <c r="A30" s="3" t="s">
        <v>148</v>
      </c>
      <c r="B30" s="223" t="s">
        <v>2785</v>
      </c>
      <c r="C30" s="223">
        <v>1.6418689099999999</v>
      </c>
      <c r="D30" s="273" t="s">
        <v>2786</v>
      </c>
      <c r="E30" s="273">
        <v>525323741</v>
      </c>
      <c r="F30" s="224" t="s">
        <v>2787</v>
      </c>
      <c r="G30" s="223">
        <v>199</v>
      </c>
      <c r="H30" s="272" t="s">
        <v>1589</v>
      </c>
      <c r="I30" s="223" t="e">
        <v>#N/A</v>
      </c>
    </row>
    <row r="31" spans="1:9">
      <c r="A31" s="3" t="s">
        <v>148</v>
      </c>
      <c r="B31" s="223" t="s">
        <v>2788</v>
      </c>
      <c r="C31" s="223">
        <v>1.64231653</v>
      </c>
      <c r="D31" s="223" t="s">
        <v>2789</v>
      </c>
      <c r="E31" s="223">
        <v>5070611271</v>
      </c>
      <c r="F31" s="224" t="s">
        <v>2790</v>
      </c>
      <c r="G31" s="223">
        <v>199</v>
      </c>
      <c r="H31" s="272" t="s">
        <v>1589</v>
      </c>
      <c r="I31" s="223" t="e">
        <v>#N/A</v>
      </c>
    </row>
    <row r="32" spans="1:9">
      <c r="A32" s="3" t="s">
        <v>148</v>
      </c>
      <c r="B32" s="223" t="s">
        <v>2791</v>
      </c>
      <c r="C32" s="223">
        <v>1.6426323700000001</v>
      </c>
      <c r="D32" s="223" t="s">
        <v>2792</v>
      </c>
      <c r="E32" s="223">
        <v>564409334</v>
      </c>
      <c r="F32" s="224" t="s">
        <v>2793</v>
      </c>
      <c r="G32" s="223">
        <v>199</v>
      </c>
      <c r="H32" s="272" t="s">
        <v>1589</v>
      </c>
      <c r="I32" s="223" t="e">
        <v>#N/A</v>
      </c>
    </row>
    <row r="33" spans="1:10">
      <c r="A33" s="3" t="s">
        <v>148</v>
      </c>
      <c r="B33" s="223" t="s">
        <v>2794</v>
      </c>
      <c r="C33" s="223">
        <v>1.3083495999999999</v>
      </c>
      <c r="D33" s="223" t="s">
        <v>2795</v>
      </c>
      <c r="E33" s="223">
        <v>559107814</v>
      </c>
      <c r="F33" s="224" t="s">
        <v>2796</v>
      </c>
      <c r="G33" s="223">
        <v>199</v>
      </c>
      <c r="H33" s="272" t="s">
        <v>1589</v>
      </c>
      <c r="I33" s="223" t="e">
        <v>#N/A</v>
      </c>
    </row>
    <row r="34" spans="1:10" hidden="1">
      <c r="A34" s="3" t="s">
        <v>148</v>
      </c>
      <c r="B34" s="275">
        <v>45409</v>
      </c>
      <c r="C34" s="223" t="e">
        <v>#N/A</v>
      </c>
      <c r="D34" s="222" t="s">
        <v>2797</v>
      </c>
      <c r="E34" s="222"/>
      <c r="F34" s="221" t="s">
        <v>2798</v>
      </c>
      <c r="G34" s="223">
        <v>199</v>
      </c>
      <c r="H34" s="272" t="s">
        <v>1563</v>
      </c>
      <c r="I34" s="223" t="s">
        <v>1768</v>
      </c>
    </row>
    <row r="35" spans="1:10">
      <c r="A35" s="3" t="s">
        <v>148</v>
      </c>
      <c r="B35" s="275">
        <v>45410</v>
      </c>
      <c r="C35" s="223">
        <v>1.6438655600000001</v>
      </c>
      <c r="D35" s="276" t="s">
        <v>2799</v>
      </c>
      <c r="E35" s="276">
        <v>508688403</v>
      </c>
      <c r="F35" s="222" t="s">
        <v>2800</v>
      </c>
      <c r="G35" s="223">
        <v>199</v>
      </c>
      <c r="H35" s="272" t="s">
        <v>1589</v>
      </c>
      <c r="I35" s="223" t="e">
        <v>#N/A</v>
      </c>
    </row>
    <row r="36" spans="1:10">
      <c r="A36" s="3" t="s">
        <v>148</v>
      </c>
      <c r="B36" s="277" t="s">
        <v>2801</v>
      </c>
      <c r="C36" s="223">
        <v>1.6441697200000001</v>
      </c>
      <c r="D36" s="277" t="s">
        <v>2802</v>
      </c>
      <c r="E36" s="277">
        <v>545798950</v>
      </c>
      <c r="F36" s="278" t="s">
        <v>2803</v>
      </c>
      <c r="G36" s="223">
        <v>199</v>
      </c>
      <c r="H36" s="272" t="s">
        <v>1589</v>
      </c>
      <c r="I36" s="223" t="e">
        <v>#N/A</v>
      </c>
    </row>
    <row r="37" spans="1:10">
      <c r="A37" s="3" t="s">
        <v>148</v>
      </c>
      <c r="B37" s="277" t="s">
        <v>2801</v>
      </c>
      <c r="C37" s="223">
        <v>1.3676450200000001</v>
      </c>
      <c r="D37" s="277" t="s">
        <v>2804</v>
      </c>
      <c r="E37" s="277">
        <v>56465301</v>
      </c>
      <c r="F37" s="278" t="s">
        <v>2805</v>
      </c>
      <c r="G37" s="277">
        <v>299</v>
      </c>
      <c r="H37" s="272" t="s">
        <v>1589</v>
      </c>
      <c r="I37" s="223" t="e">
        <v>#N/A</v>
      </c>
    </row>
    <row r="38" spans="1:10">
      <c r="A38" s="279" t="s">
        <v>148</v>
      </c>
      <c r="B38" s="280">
        <v>45412</v>
      </c>
      <c r="C38" s="223">
        <v>1.64430543</v>
      </c>
      <c r="D38" s="279" t="s">
        <v>2806</v>
      </c>
      <c r="E38" s="279">
        <v>544548446</v>
      </c>
      <c r="F38" s="279" t="s">
        <v>2807</v>
      </c>
      <c r="G38" s="223">
        <v>199</v>
      </c>
      <c r="H38" s="212" t="s">
        <v>1663</v>
      </c>
      <c r="I38" s="223" t="e">
        <v>#N/A</v>
      </c>
      <c r="J38" t="s">
        <v>2808</v>
      </c>
    </row>
    <row r="39" spans="1:10">
      <c r="A39" s="279" t="s">
        <v>148</v>
      </c>
      <c r="B39" s="280">
        <v>45412</v>
      </c>
      <c r="C39" s="223" t="e">
        <v>#N/A</v>
      </c>
      <c r="D39" s="279" t="s">
        <v>2809</v>
      </c>
      <c r="E39" s="279">
        <v>564802928</v>
      </c>
      <c r="F39" s="279" t="s">
        <v>2810</v>
      </c>
      <c r="G39" s="223">
        <v>199</v>
      </c>
      <c r="H39" s="212" t="s">
        <v>1663</v>
      </c>
      <c r="I39" s="223" t="e">
        <v>#N/A</v>
      </c>
      <c r="J39" t="s">
        <v>2808</v>
      </c>
    </row>
  </sheetData>
  <autoFilter ref="A1:J39" xr:uid="{00000000-0009-0000-0000-00001E000000}">
    <filterColumn colId="7">
      <filters>
        <filter val="ACTIVATED"/>
        <filter val="PENDING"/>
      </filters>
    </filterColumn>
  </autoFilter>
  <conditionalFormatting sqref="C38:C39 C1:E37 I1:I39">
    <cfRule type="duplicateValues" dxfId="409" priority="5"/>
    <cfRule type="duplicateValues" dxfId="408" priority="6"/>
  </conditionalFormatting>
  <conditionalFormatting sqref="D1:E37">
    <cfRule type="duplicateValues" dxfId="407" priority="8"/>
  </conditionalFormatting>
  <conditionalFormatting sqref="D15:E17">
    <cfRule type="duplicateValues" dxfId="406" priority="1"/>
    <cfRule type="duplicateValues" dxfId="405" priority="2"/>
    <cfRule type="duplicateValues" dxfId="404" priority="3"/>
    <cfRule type="duplicateValues" dxfId="403" priority="4"/>
  </conditionalFormatting>
  <conditionalFormatting sqref="D36:E37 D1:E33">
    <cfRule type="duplicateValues" dxfId="402" priority="9"/>
  </conditionalFormatting>
  <conditionalFormatting sqref="F1:F37">
    <cfRule type="duplicateValues" dxfId="401" priority="7"/>
  </conditionalFormatting>
  <conditionalFormatting sqref="I1:I39 C1:C39">
    <cfRule type="duplicateValues" dxfId="400" priority="10"/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J45"/>
  <sheetViews>
    <sheetView topLeftCell="A39" workbookViewId="0">
      <selection activeCell="G1" sqref="B1:G45"/>
    </sheetView>
  </sheetViews>
  <sheetFormatPr defaultRowHeight="14.5"/>
  <cols>
    <col min="4" max="4" width="9.81640625" bestFit="1" customWidth="1"/>
    <col min="5" max="5" width="10.54296875" bestFit="1" customWidth="1"/>
    <col min="6" max="6" width="18.54296875" bestFit="1" customWidth="1"/>
  </cols>
  <sheetData>
    <row r="1" spans="1:10">
      <c r="A1" s="285" t="s">
        <v>1739</v>
      </c>
      <c r="B1" s="286" t="s">
        <v>1668</v>
      </c>
      <c r="C1" s="287" t="s">
        <v>2003</v>
      </c>
      <c r="D1" s="287" t="s">
        <v>2636</v>
      </c>
      <c r="E1" s="287" t="s">
        <v>2635</v>
      </c>
      <c r="F1" s="287" t="s">
        <v>2637</v>
      </c>
      <c r="G1" s="288" t="s">
        <v>1882</v>
      </c>
      <c r="H1" s="287" t="s">
        <v>2815</v>
      </c>
      <c r="I1" s="287" t="s">
        <v>2069</v>
      </c>
      <c r="J1" s="286" t="s">
        <v>2816</v>
      </c>
    </row>
    <row r="2" spans="1:10">
      <c r="A2" s="289" t="s">
        <v>2817</v>
      </c>
      <c r="B2" s="290">
        <v>45413</v>
      </c>
      <c r="C2" s="289" t="e">
        <v>#N/A</v>
      </c>
      <c r="D2" s="291" t="s">
        <v>2818</v>
      </c>
      <c r="E2" s="291">
        <v>586808552</v>
      </c>
      <c r="F2" s="289" t="s">
        <v>2819</v>
      </c>
      <c r="G2" s="289">
        <v>199</v>
      </c>
      <c r="H2" s="289" t="e">
        <v>#N/A</v>
      </c>
      <c r="I2" s="292" t="s">
        <v>331</v>
      </c>
      <c r="J2" s="290" t="e">
        <v>#N/A</v>
      </c>
    </row>
    <row r="3" spans="1:10">
      <c r="A3" s="289" t="s">
        <v>2817</v>
      </c>
      <c r="B3" s="290">
        <v>45413</v>
      </c>
      <c r="C3" s="289">
        <v>1.25324659</v>
      </c>
      <c r="D3" s="291" t="s">
        <v>2820</v>
      </c>
      <c r="E3" s="291">
        <v>551993057</v>
      </c>
      <c r="F3" s="289" t="s">
        <v>2821</v>
      </c>
      <c r="G3" s="289">
        <v>199</v>
      </c>
      <c r="H3" s="289" t="e">
        <v>#N/A</v>
      </c>
      <c r="I3" s="293" t="s">
        <v>1589</v>
      </c>
      <c r="J3" s="290">
        <v>45413</v>
      </c>
    </row>
    <row r="4" spans="1:10">
      <c r="A4" s="289" t="s">
        <v>2817</v>
      </c>
      <c r="B4" s="290">
        <v>45413</v>
      </c>
      <c r="C4" s="289" t="e">
        <v>#N/A</v>
      </c>
      <c r="D4" s="291" t="s">
        <v>2822</v>
      </c>
      <c r="E4" s="291">
        <v>545580000</v>
      </c>
      <c r="F4" s="289" t="s">
        <v>2823</v>
      </c>
      <c r="G4" s="289">
        <v>199</v>
      </c>
      <c r="H4" s="289" t="e">
        <v>#N/A</v>
      </c>
      <c r="I4" s="292" t="s">
        <v>331</v>
      </c>
      <c r="J4" s="290" t="e">
        <v>#N/A</v>
      </c>
    </row>
    <row r="5" spans="1:10">
      <c r="A5" s="289" t="s">
        <v>2817</v>
      </c>
      <c r="B5" s="290">
        <v>45413</v>
      </c>
      <c r="C5" s="289">
        <v>1.64468463</v>
      </c>
      <c r="D5" s="291" t="s">
        <v>2824</v>
      </c>
      <c r="E5" s="291">
        <v>506709506</v>
      </c>
      <c r="F5" s="289" t="s">
        <v>2825</v>
      </c>
      <c r="G5" s="289">
        <v>199</v>
      </c>
      <c r="H5" s="289" t="e">
        <v>#N/A</v>
      </c>
      <c r="I5" s="293" t="s">
        <v>1589</v>
      </c>
      <c r="J5" s="290">
        <v>45414</v>
      </c>
    </row>
    <row r="6" spans="1:10">
      <c r="A6" s="289" t="s">
        <v>2817</v>
      </c>
      <c r="B6" s="290">
        <v>45413</v>
      </c>
      <c r="C6" s="289">
        <v>1.64468825</v>
      </c>
      <c r="D6" s="291" t="s">
        <v>2826</v>
      </c>
      <c r="E6" s="291">
        <v>545580000</v>
      </c>
      <c r="F6" s="289" t="s">
        <v>2827</v>
      </c>
      <c r="G6" s="289">
        <v>199</v>
      </c>
      <c r="H6" s="289" t="e">
        <v>#N/A</v>
      </c>
      <c r="I6" s="293" t="s">
        <v>1589</v>
      </c>
      <c r="J6" s="290">
        <v>45414</v>
      </c>
    </row>
    <row r="7" spans="1:10">
      <c r="A7" s="289" t="s">
        <v>2817</v>
      </c>
      <c r="B7" s="290">
        <v>45415</v>
      </c>
      <c r="C7" s="289">
        <v>1.64520998</v>
      </c>
      <c r="D7" s="291" t="s">
        <v>2828</v>
      </c>
      <c r="E7" s="291">
        <v>545297441</v>
      </c>
      <c r="F7" s="289" t="s">
        <v>2829</v>
      </c>
      <c r="G7" s="289">
        <v>199</v>
      </c>
      <c r="H7" s="289" t="e">
        <v>#N/A</v>
      </c>
      <c r="I7" s="293" t="s">
        <v>1589</v>
      </c>
      <c r="J7" s="290">
        <v>45416</v>
      </c>
    </row>
    <row r="8" spans="1:10">
      <c r="A8" s="289" t="s">
        <v>2817</v>
      </c>
      <c r="B8" s="290">
        <v>45415</v>
      </c>
      <c r="C8" s="289">
        <v>1.6452264700000001</v>
      </c>
      <c r="D8" s="291" t="s">
        <v>2830</v>
      </c>
      <c r="E8" s="291">
        <v>552261355</v>
      </c>
      <c r="F8" s="289" t="s">
        <v>2831</v>
      </c>
      <c r="G8" s="289">
        <v>199</v>
      </c>
      <c r="H8" s="289" t="e">
        <v>#N/A</v>
      </c>
      <c r="I8" s="293" t="s">
        <v>1589</v>
      </c>
      <c r="J8" s="290">
        <v>45416</v>
      </c>
    </row>
    <row r="9" spans="1:10">
      <c r="A9" s="289" t="s">
        <v>2817</v>
      </c>
      <c r="B9" s="290">
        <v>45416</v>
      </c>
      <c r="C9" s="289">
        <v>1.6454580299999999</v>
      </c>
      <c r="D9" s="289" t="s">
        <v>2832</v>
      </c>
      <c r="E9" s="289">
        <v>523678632</v>
      </c>
      <c r="F9" s="289" t="s">
        <v>2833</v>
      </c>
      <c r="G9" s="289">
        <v>199</v>
      </c>
      <c r="H9" s="289" t="e">
        <v>#N/A</v>
      </c>
      <c r="I9" s="293" t="s">
        <v>1589</v>
      </c>
      <c r="J9" s="290">
        <v>45416</v>
      </c>
    </row>
    <row r="10" spans="1:10">
      <c r="A10" s="289" t="s">
        <v>2817</v>
      </c>
      <c r="B10" s="290">
        <v>45417</v>
      </c>
      <c r="C10" s="289">
        <v>1.64562871</v>
      </c>
      <c r="D10" s="289" t="s">
        <v>2834</v>
      </c>
      <c r="E10" s="289">
        <v>555145106</v>
      </c>
      <c r="F10" s="289" t="s">
        <v>2835</v>
      </c>
      <c r="G10" s="289">
        <v>199</v>
      </c>
      <c r="H10" s="289" t="e">
        <v>#N/A</v>
      </c>
      <c r="I10" s="293" t="s">
        <v>1589</v>
      </c>
      <c r="J10" s="290">
        <v>45417</v>
      </c>
    </row>
    <row r="11" spans="1:10">
      <c r="A11" s="289" t="s">
        <v>2817</v>
      </c>
      <c r="B11" s="290">
        <v>45417</v>
      </c>
      <c r="C11" s="289">
        <v>1.6456506099999999</v>
      </c>
      <c r="D11" s="289" t="s">
        <v>2836</v>
      </c>
      <c r="E11" s="289">
        <v>502027066</v>
      </c>
      <c r="F11" s="289" t="s">
        <v>2837</v>
      </c>
      <c r="G11" s="289">
        <v>199</v>
      </c>
      <c r="H11" s="289" t="e">
        <v>#N/A</v>
      </c>
      <c r="I11" s="293" t="s">
        <v>1589</v>
      </c>
      <c r="J11" s="290">
        <v>45417</v>
      </c>
    </row>
    <row r="12" spans="1:10">
      <c r="A12" s="289" t="s">
        <v>2817</v>
      </c>
      <c r="B12" s="290">
        <v>45418</v>
      </c>
      <c r="C12" s="289">
        <v>1.6459113299999999</v>
      </c>
      <c r="D12" s="289" t="s">
        <v>2838</v>
      </c>
      <c r="E12" s="289">
        <v>501226836</v>
      </c>
      <c r="F12" s="289" t="s">
        <v>2839</v>
      </c>
      <c r="G12" s="289">
        <v>199</v>
      </c>
      <c r="H12" s="289" t="e">
        <v>#N/A</v>
      </c>
      <c r="I12" s="293" t="s">
        <v>1589</v>
      </c>
      <c r="J12" s="290">
        <v>45418</v>
      </c>
    </row>
    <row r="13" spans="1:10">
      <c r="A13" s="289" t="s">
        <v>2817</v>
      </c>
      <c r="B13" s="290">
        <v>45419</v>
      </c>
      <c r="C13" s="289">
        <v>1.64609549</v>
      </c>
      <c r="D13" s="289" t="s">
        <v>2840</v>
      </c>
      <c r="E13" s="289">
        <v>561082819</v>
      </c>
      <c r="F13" s="289" t="s">
        <v>2841</v>
      </c>
      <c r="G13" s="289">
        <v>199</v>
      </c>
      <c r="H13" s="289" t="e">
        <v>#N/A</v>
      </c>
      <c r="I13" s="293" t="s">
        <v>1589</v>
      </c>
      <c r="J13" s="290">
        <v>45419</v>
      </c>
    </row>
    <row r="14" spans="1:10">
      <c r="A14" s="289" t="s">
        <v>2817</v>
      </c>
      <c r="B14" s="290">
        <v>45419</v>
      </c>
      <c r="C14" s="289">
        <v>1.6462212899999999</v>
      </c>
      <c r="D14" s="289" t="s">
        <v>2842</v>
      </c>
      <c r="E14" s="289">
        <v>588606420</v>
      </c>
      <c r="F14" s="289" t="s">
        <v>2843</v>
      </c>
      <c r="G14" s="289">
        <v>199</v>
      </c>
      <c r="H14" s="289" t="e">
        <v>#N/A</v>
      </c>
      <c r="I14" s="293" t="s">
        <v>1589</v>
      </c>
      <c r="J14" s="290">
        <v>45420</v>
      </c>
    </row>
    <row r="15" spans="1:10">
      <c r="A15" s="289" t="s">
        <v>2817</v>
      </c>
      <c r="B15" s="290">
        <v>45423</v>
      </c>
      <c r="C15" s="289" t="e">
        <v>#N/A</v>
      </c>
      <c r="D15" s="289" t="s">
        <v>2844</v>
      </c>
      <c r="E15" s="289">
        <v>582173048</v>
      </c>
      <c r="F15" s="289" t="s">
        <v>2845</v>
      </c>
      <c r="G15" s="289">
        <v>199</v>
      </c>
      <c r="H15" s="289" t="e">
        <v>#N/A</v>
      </c>
      <c r="I15" s="292" t="s">
        <v>331</v>
      </c>
      <c r="J15" s="290" t="e">
        <v>#N/A</v>
      </c>
    </row>
    <row r="16" spans="1:10">
      <c r="A16" s="289" t="s">
        <v>2817</v>
      </c>
      <c r="B16" s="290">
        <v>45423</v>
      </c>
      <c r="C16" s="289">
        <v>1.2399644599999999</v>
      </c>
      <c r="D16" s="289" t="s">
        <v>2846</v>
      </c>
      <c r="E16" s="289">
        <v>527027610</v>
      </c>
      <c r="F16" s="289" t="s">
        <v>2847</v>
      </c>
      <c r="G16" s="289">
        <v>199</v>
      </c>
      <c r="H16" s="289" t="e">
        <v>#N/A</v>
      </c>
      <c r="I16" s="293" t="s">
        <v>1589</v>
      </c>
      <c r="J16" s="290">
        <v>45424</v>
      </c>
    </row>
    <row r="17" spans="1:10">
      <c r="A17" s="289" t="s">
        <v>2817</v>
      </c>
      <c r="B17" s="290">
        <v>45423</v>
      </c>
      <c r="C17" s="289">
        <v>1.64713602</v>
      </c>
      <c r="D17" s="289" t="s">
        <v>2848</v>
      </c>
      <c r="E17" s="289">
        <v>527107203</v>
      </c>
      <c r="F17" s="289" t="s">
        <v>2849</v>
      </c>
      <c r="G17" s="289">
        <v>199</v>
      </c>
      <c r="H17" s="289" t="e">
        <v>#N/A</v>
      </c>
      <c r="I17" s="293" t="s">
        <v>1589</v>
      </c>
      <c r="J17" s="290">
        <v>45424</v>
      </c>
    </row>
    <row r="18" spans="1:10">
      <c r="A18" s="289" t="s">
        <v>2817</v>
      </c>
      <c r="B18" s="290">
        <v>45424</v>
      </c>
      <c r="C18" s="289">
        <v>1.6472977900000001</v>
      </c>
      <c r="D18" s="289" t="s">
        <v>2850</v>
      </c>
      <c r="E18" s="289">
        <v>521418502</v>
      </c>
      <c r="F18" s="289" t="s">
        <v>2851</v>
      </c>
      <c r="G18" s="289">
        <v>199</v>
      </c>
      <c r="H18" s="289" t="e">
        <v>#N/A</v>
      </c>
      <c r="I18" s="293" t="s">
        <v>1589</v>
      </c>
      <c r="J18" s="290">
        <v>45424</v>
      </c>
    </row>
    <row r="19" spans="1:10">
      <c r="A19" s="289" t="s">
        <v>2817</v>
      </c>
      <c r="B19" s="290">
        <v>45427</v>
      </c>
      <c r="C19" s="289">
        <v>1.6479288700000001</v>
      </c>
      <c r="D19" s="289" t="s">
        <v>2852</v>
      </c>
      <c r="E19" s="289">
        <v>562102821</v>
      </c>
      <c r="F19" s="289" t="s">
        <v>2853</v>
      </c>
      <c r="G19" s="289">
        <v>199</v>
      </c>
      <c r="H19" s="289" t="e">
        <v>#N/A</v>
      </c>
      <c r="I19" s="293" t="s">
        <v>1589</v>
      </c>
      <c r="J19" s="290">
        <v>45427</v>
      </c>
    </row>
    <row r="20" spans="1:10">
      <c r="A20" s="289" t="s">
        <v>2817</v>
      </c>
      <c r="B20" s="290">
        <v>45427</v>
      </c>
      <c r="C20" s="289" t="e">
        <v>#N/A</v>
      </c>
      <c r="D20" s="289" t="s">
        <v>2854</v>
      </c>
      <c r="E20" s="289">
        <v>569242850</v>
      </c>
      <c r="F20" s="289" t="s">
        <v>2855</v>
      </c>
      <c r="G20" s="289">
        <v>199</v>
      </c>
      <c r="H20" s="289" t="e">
        <v>#N/A</v>
      </c>
      <c r="I20" s="292" t="s">
        <v>331</v>
      </c>
      <c r="J20" s="290" t="e">
        <v>#N/A</v>
      </c>
    </row>
    <row r="21" spans="1:10">
      <c r="A21" s="289" t="s">
        <v>2817</v>
      </c>
      <c r="B21" s="290">
        <v>45427</v>
      </c>
      <c r="C21" s="289">
        <v>1.64801592</v>
      </c>
      <c r="D21" s="289" t="s">
        <v>2856</v>
      </c>
      <c r="E21" s="289">
        <v>5015244027</v>
      </c>
      <c r="F21" s="289" t="s">
        <v>2857</v>
      </c>
      <c r="G21" s="289">
        <v>199</v>
      </c>
      <c r="H21" s="289" t="e">
        <v>#N/A</v>
      </c>
      <c r="I21" s="293" t="s">
        <v>1589</v>
      </c>
      <c r="J21" s="290">
        <v>45428</v>
      </c>
    </row>
    <row r="22" spans="1:10">
      <c r="A22" s="289" t="s">
        <v>2817</v>
      </c>
      <c r="B22" s="290">
        <v>45428</v>
      </c>
      <c r="C22" s="289">
        <v>1.6481889000000001</v>
      </c>
      <c r="D22" s="289" t="s">
        <v>2858</v>
      </c>
      <c r="E22" s="289">
        <v>566350350</v>
      </c>
      <c r="F22" s="289" t="s">
        <v>2859</v>
      </c>
      <c r="G22" s="289">
        <v>199</v>
      </c>
      <c r="H22" s="289" t="e">
        <v>#N/A</v>
      </c>
      <c r="I22" s="293" t="s">
        <v>1589</v>
      </c>
      <c r="J22" s="290">
        <v>45428</v>
      </c>
    </row>
    <row r="23" spans="1:10">
      <c r="A23" s="289" t="s">
        <v>2817</v>
      </c>
      <c r="B23" s="290">
        <v>45429</v>
      </c>
      <c r="C23" s="289">
        <v>1.6484383</v>
      </c>
      <c r="D23" s="289" t="s">
        <v>2860</v>
      </c>
      <c r="E23" s="289">
        <v>561859472</v>
      </c>
      <c r="F23" s="289" t="s">
        <v>2861</v>
      </c>
      <c r="G23" s="289">
        <v>199</v>
      </c>
      <c r="H23" s="289" t="e">
        <v>#N/A</v>
      </c>
      <c r="I23" s="293" t="s">
        <v>1589</v>
      </c>
      <c r="J23" s="290">
        <v>45429</v>
      </c>
    </row>
    <row r="24" spans="1:10">
      <c r="A24" s="289" t="s">
        <v>2817</v>
      </c>
      <c r="B24" s="290">
        <v>45429</v>
      </c>
      <c r="C24" s="289">
        <v>1.6484620999999999</v>
      </c>
      <c r="D24" s="289" t="s">
        <v>2862</v>
      </c>
      <c r="E24" s="289">
        <v>501696799</v>
      </c>
      <c r="F24" s="289" t="s">
        <v>2863</v>
      </c>
      <c r="G24" s="289">
        <v>199</v>
      </c>
      <c r="H24" s="289" t="e">
        <v>#N/A</v>
      </c>
      <c r="I24" s="293" t="s">
        <v>1589</v>
      </c>
      <c r="J24" s="290">
        <v>45429</v>
      </c>
    </row>
    <row r="25" spans="1:10" ht="21">
      <c r="A25" s="289" t="s">
        <v>2817</v>
      </c>
      <c r="B25" s="294">
        <v>45430</v>
      </c>
      <c r="C25" s="289" t="e">
        <v>#N/A</v>
      </c>
      <c r="D25" s="295" t="s">
        <v>2864</v>
      </c>
      <c r="E25" s="295">
        <v>562406849</v>
      </c>
      <c r="F25" s="295" t="s">
        <v>2865</v>
      </c>
      <c r="G25" s="295">
        <v>199</v>
      </c>
      <c r="H25" s="289" t="e">
        <v>#N/A</v>
      </c>
      <c r="I25" s="292" t="s">
        <v>331</v>
      </c>
      <c r="J25" s="290" t="e">
        <v>#N/A</v>
      </c>
    </row>
    <row r="26" spans="1:10" ht="21">
      <c r="A26" s="289" t="s">
        <v>2817</v>
      </c>
      <c r="B26" s="294">
        <v>45431</v>
      </c>
      <c r="C26" s="289" t="e">
        <v>#N/A</v>
      </c>
      <c r="D26" s="295" t="s">
        <v>2866</v>
      </c>
      <c r="E26" s="295">
        <v>523815944</v>
      </c>
      <c r="F26" s="295" t="s">
        <v>2867</v>
      </c>
      <c r="G26" s="295">
        <v>199</v>
      </c>
      <c r="H26" s="289" t="e">
        <v>#N/A</v>
      </c>
      <c r="I26" s="292" t="s">
        <v>331</v>
      </c>
      <c r="J26" s="290" t="e">
        <v>#N/A</v>
      </c>
    </row>
    <row r="27" spans="1:10" ht="21">
      <c r="A27" s="289" t="s">
        <v>2817</v>
      </c>
      <c r="B27" s="294">
        <v>45431</v>
      </c>
      <c r="C27" s="289">
        <v>1.64861821</v>
      </c>
      <c r="D27" s="295" t="s">
        <v>2868</v>
      </c>
      <c r="E27" s="295">
        <v>562406849</v>
      </c>
      <c r="F27" s="295" t="s">
        <v>2865</v>
      </c>
      <c r="G27" s="295">
        <v>199</v>
      </c>
      <c r="H27" s="289" t="e">
        <v>#N/A</v>
      </c>
      <c r="I27" s="293" t="s">
        <v>1589</v>
      </c>
      <c r="J27" s="290">
        <v>45432</v>
      </c>
    </row>
    <row r="28" spans="1:10" ht="21">
      <c r="A28" s="289" t="s">
        <v>2817</v>
      </c>
      <c r="B28" s="294">
        <v>45432</v>
      </c>
      <c r="C28" s="289">
        <v>1.18772294</v>
      </c>
      <c r="D28" s="295" t="s">
        <v>2869</v>
      </c>
      <c r="E28" s="295">
        <v>505284123</v>
      </c>
      <c r="F28" s="295" t="s">
        <v>2870</v>
      </c>
      <c r="G28" s="295">
        <v>199</v>
      </c>
      <c r="H28" s="289" t="e">
        <v>#N/A</v>
      </c>
      <c r="I28" s="293" t="s">
        <v>1589</v>
      </c>
      <c r="J28" s="290">
        <v>45432</v>
      </c>
    </row>
    <row r="29" spans="1:10" ht="21">
      <c r="A29" s="289" t="s">
        <v>2817</v>
      </c>
      <c r="B29" s="294">
        <v>45434</v>
      </c>
      <c r="C29" s="289">
        <v>1.64946331</v>
      </c>
      <c r="D29" s="296" t="s">
        <v>2871</v>
      </c>
      <c r="E29" s="296">
        <v>557503516</v>
      </c>
      <c r="F29" s="295" t="s">
        <v>2872</v>
      </c>
      <c r="G29" s="295">
        <v>199</v>
      </c>
      <c r="H29" s="289" t="e">
        <v>#N/A</v>
      </c>
      <c r="I29" s="293" t="s">
        <v>1589</v>
      </c>
      <c r="J29" s="290">
        <v>45434</v>
      </c>
    </row>
    <row r="30" spans="1:10" ht="21">
      <c r="A30" s="289" t="s">
        <v>2817</v>
      </c>
      <c r="B30" s="294">
        <v>45435</v>
      </c>
      <c r="C30" s="289">
        <v>1.6497335399999999</v>
      </c>
      <c r="D30" s="295" t="s">
        <v>2873</v>
      </c>
      <c r="E30" s="295">
        <v>551619983</v>
      </c>
      <c r="F30" s="295" t="s">
        <v>2874</v>
      </c>
      <c r="G30" s="295">
        <v>299</v>
      </c>
      <c r="H30" s="289" t="e">
        <v>#N/A</v>
      </c>
      <c r="I30" s="293" t="s">
        <v>1589</v>
      </c>
      <c r="J30" s="290">
        <v>45436</v>
      </c>
    </row>
    <row r="31" spans="1:10" ht="21">
      <c r="A31" s="289" t="s">
        <v>2817</v>
      </c>
      <c r="B31" s="294">
        <v>45435</v>
      </c>
      <c r="C31" s="289">
        <v>1.64977047</v>
      </c>
      <c r="D31" s="295" t="s">
        <v>2875</v>
      </c>
      <c r="E31" s="295">
        <v>547769115</v>
      </c>
      <c r="F31" s="295" t="s">
        <v>2876</v>
      </c>
      <c r="G31" s="295">
        <v>199</v>
      </c>
      <c r="H31" s="289" t="e">
        <v>#N/A</v>
      </c>
      <c r="I31" s="293" t="s">
        <v>1589</v>
      </c>
      <c r="J31" s="290">
        <v>45435</v>
      </c>
    </row>
    <row r="32" spans="1:10">
      <c r="A32" s="289" t="s">
        <v>2817</v>
      </c>
      <c r="B32" s="290">
        <v>45436</v>
      </c>
      <c r="C32" s="289">
        <v>1.6498315100000001</v>
      </c>
      <c r="D32" s="289" t="s">
        <v>2877</v>
      </c>
      <c r="E32" s="289">
        <v>564339797</v>
      </c>
      <c r="F32" s="289" t="s">
        <v>2878</v>
      </c>
      <c r="G32" s="289">
        <v>199</v>
      </c>
      <c r="H32" s="289" t="e">
        <v>#N/A</v>
      </c>
      <c r="I32" s="293" t="s">
        <v>1589</v>
      </c>
      <c r="J32" s="290">
        <v>45436</v>
      </c>
    </row>
    <row r="33" spans="1:10">
      <c r="A33" s="289" t="s">
        <v>2817</v>
      </c>
      <c r="B33" s="290">
        <v>45438</v>
      </c>
      <c r="C33" s="289">
        <v>1.6503536999999999</v>
      </c>
      <c r="D33" s="289" t="s">
        <v>2879</v>
      </c>
      <c r="E33" s="289">
        <v>553024104</v>
      </c>
      <c r="F33" s="289" t="s">
        <v>2880</v>
      </c>
      <c r="G33" s="289">
        <v>199</v>
      </c>
      <c r="H33" s="289" t="e">
        <v>#N/A</v>
      </c>
      <c r="I33" s="293" t="s">
        <v>1589</v>
      </c>
      <c r="J33" s="290">
        <v>45438</v>
      </c>
    </row>
    <row r="34" spans="1:10">
      <c r="A34" s="289" t="s">
        <v>2817</v>
      </c>
      <c r="B34" s="290">
        <v>45438</v>
      </c>
      <c r="C34" s="289" t="e">
        <v>#N/A</v>
      </c>
      <c r="D34" s="289" t="s">
        <v>2881</v>
      </c>
      <c r="E34" s="289">
        <v>529239660</v>
      </c>
      <c r="F34" s="289" t="s">
        <v>2882</v>
      </c>
      <c r="G34" s="289">
        <v>199</v>
      </c>
      <c r="H34" s="289" t="e">
        <v>#N/A</v>
      </c>
      <c r="I34" s="292" t="s">
        <v>331</v>
      </c>
      <c r="J34" s="290" t="e">
        <v>#N/A</v>
      </c>
    </row>
    <row r="35" spans="1:10">
      <c r="A35" s="289" t="s">
        <v>2817</v>
      </c>
      <c r="B35" s="290">
        <v>45438</v>
      </c>
      <c r="C35" s="289">
        <v>1.6503670800000001</v>
      </c>
      <c r="D35" s="289" t="s">
        <v>2883</v>
      </c>
      <c r="E35" s="289">
        <v>556673758</v>
      </c>
      <c r="F35" s="289" t="s">
        <v>2884</v>
      </c>
      <c r="G35" s="289">
        <v>199</v>
      </c>
      <c r="H35" s="289" t="e">
        <v>#N/A</v>
      </c>
      <c r="I35" s="293" t="s">
        <v>1589</v>
      </c>
      <c r="J35" s="290">
        <v>45438</v>
      </c>
    </row>
    <row r="36" spans="1:10">
      <c r="A36" s="289" t="s">
        <v>2817</v>
      </c>
      <c r="B36" s="290">
        <v>45439</v>
      </c>
      <c r="C36" s="289">
        <v>1.65060834</v>
      </c>
      <c r="D36" s="289" t="s">
        <v>2885</v>
      </c>
      <c r="E36" s="289">
        <v>566926398</v>
      </c>
      <c r="F36" s="289" t="s">
        <v>2886</v>
      </c>
      <c r="G36" s="289">
        <v>199</v>
      </c>
      <c r="H36" s="289" t="e">
        <v>#N/A</v>
      </c>
      <c r="I36" s="293" t="s">
        <v>1589</v>
      </c>
      <c r="J36" s="290">
        <v>45439</v>
      </c>
    </row>
    <row r="37" spans="1:10">
      <c r="A37" s="289" t="s">
        <v>2817</v>
      </c>
      <c r="B37" s="290">
        <v>45439</v>
      </c>
      <c r="C37" s="289" t="e">
        <v>#N/A</v>
      </c>
      <c r="D37" s="289" t="s">
        <v>2887</v>
      </c>
      <c r="E37" s="289">
        <v>547376445</v>
      </c>
      <c r="F37" s="289" t="s">
        <v>2888</v>
      </c>
      <c r="G37" s="289">
        <v>199</v>
      </c>
      <c r="H37" s="289" t="e">
        <v>#N/A</v>
      </c>
      <c r="I37" s="297" t="s">
        <v>1663</v>
      </c>
      <c r="J37" s="290" t="e">
        <v>#N/A</v>
      </c>
    </row>
    <row r="38" spans="1:10">
      <c r="A38" s="289" t="s">
        <v>2817</v>
      </c>
      <c r="B38" s="290">
        <v>45439</v>
      </c>
      <c r="C38" s="289">
        <v>1.6506741899999999</v>
      </c>
      <c r="D38" s="289" t="s">
        <v>2889</v>
      </c>
      <c r="E38" s="289">
        <v>558620577</v>
      </c>
      <c r="F38" s="289" t="s">
        <v>2890</v>
      </c>
      <c r="G38" s="289">
        <v>199</v>
      </c>
      <c r="H38" s="289" t="e">
        <v>#N/A</v>
      </c>
      <c r="I38" s="293" t="s">
        <v>1589</v>
      </c>
      <c r="J38" s="290">
        <v>45440</v>
      </c>
    </row>
    <row r="39" spans="1:10">
      <c r="A39" s="289" t="s">
        <v>2817</v>
      </c>
      <c r="B39" s="290">
        <v>45441</v>
      </c>
      <c r="C39" s="289">
        <v>1.3109616799999999</v>
      </c>
      <c r="D39" s="289" t="s">
        <v>2891</v>
      </c>
      <c r="E39" s="289">
        <v>585124112</v>
      </c>
      <c r="F39" s="289" t="s">
        <v>2892</v>
      </c>
      <c r="G39" s="289">
        <v>299</v>
      </c>
      <c r="H39" s="298" t="s">
        <v>2893</v>
      </c>
      <c r="I39" s="293" t="s">
        <v>1589</v>
      </c>
      <c r="J39" s="290">
        <v>45442</v>
      </c>
    </row>
    <row r="40" spans="1:10">
      <c r="A40" s="289" t="s">
        <v>2817</v>
      </c>
      <c r="B40" s="290">
        <v>45441</v>
      </c>
      <c r="C40" s="289">
        <v>1.4894915500000001</v>
      </c>
      <c r="D40" s="289" t="s">
        <v>2894</v>
      </c>
      <c r="E40" s="289">
        <v>521212998</v>
      </c>
      <c r="F40" s="289" t="s">
        <v>2895</v>
      </c>
      <c r="G40" s="289">
        <v>199</v>
      </c>
      <c r="H40" s="289" t="e">
        <v>#N/A</v>
      </c>
      <c r="I40" s="293" t="s">
        <v>1589</v>
      </c>
      <c r="J40" s="290">
        <v>45441</v>
      </c>
    </row>
    <row r="41" spans="1:10">
      <c r="A41" s="289" t="s">
        <v>2817</v>
      </c>
      <c r="B41" s="290">
        <v>45441</v>
      </c>
      <c r="C41" s="289">
        <v>1.58101442</v>
      </c>
      <c r="D41" s="289" t="s">
        <v>2896</v>
      </c>
      <c r="E41" s="289">
        <v>581666705</v>
      </c>
      <c r="F41" s="289" t="s">
        <v>2897</v>
      </c>
      <c r="G41" s="289">
        <v>199</v>
      </c>
      <c r="H41" s="289" t="e">
        <v>#N/A</v>
      </c>
      <c r="I41" s="293" t="s">
        <v>1589</v>
      </c>
      <c r="J41" s="290">
        <v>45442</v>
      </c>
    </row>
    <row r="42" spans="1:10">
      <c r="A42" s="289" t="s">
        <v>2817</v>
      </c>
      <c r="B42" s="290">
        <v>45441</v>
      </c>
      <c r="C42" s="289">
        <v>1.6509919</v>
      </c>
      <c r="D42" s="289" t="s">
        <v>2898</v>
      </c>
      <c r="E42" s="289">
        <v>505455738</v>
      </c>
      <c r="F42" s="289" t="s">
        <v>2899</v>
      </c>
      <c r="G42" s="289">
        <v>199</v>
      </c>
      <c r="H42" s="289" t="e">
        <v>#N/A</v>
      </c>
      <c r="I42" s="293" t="s">
        <v>1589</v>
      </c>
      <c r="J42" s="290">
        <v>45442</v>
      </c>
    </row>
    <row r="43" spans="1:10">
      <c r="A43" s="289" t="s">
        <v>2817</v>
      </c>
      <c r="B43" s="290">
        <v>45441</v>
      </c>
      <c r="C43" s="289">
        <v>1.6510318399999999</v>
      </c>
      <c r="D43" s="289" t="s">
        <v>2900</v>
      </c>
      <c r="E43" s="289">
        <v>557303109</v>
      </c>
      <c r="F43" s="289" t="s">
        <v>2901</v>
      </c>
      <c r="G43" s="289">
        <v>199</v>
      </c>
      <c r="H43" s="289" t="e">
        <v>#N/A</v>
      </c>
      <c r="I43" s="293" t="s">
        <v>1589</v>
      </c>
      <c r="J43" s="290">
        <v>45442</v>
      </c>
    </row>
    <row r="44" spans="1:10">
      <c r="A44" s="289" t="s">
        <v>2817</v>
      </c>
      <c r="B44" s="299">
        <v>45442</v>
      </c>
      <c r="C44" s="289">
        <v>1.49514817</v>
      </c>
      <c r="D44" s="289" t="s">
        <v>2902</v>
      </c>
      <c r="E44" s="289">
        <v>569761831</v>
      </c>
      <c r="F44" s="289" t="s">
        <v>2903</v>
      </c>
      <c r="G44" s="289">
        <v>199</v>
      </c>
      <c r="H44" s="289" t="e">
        <v>#N/A</v>
      </c>
      <c r="I44" s="293" t="s">
        <v>1589</v>
      </c>
      <c r="J44" s="290">
        <v>45442</v>
      </c>
    </row>
    <row r="45" spans="1:10">
      <c r="A45" s="289" t="s">
        <v>2817</v>
      </c>
      <c r="B45" s="299">
        <v>45442</v>
      </c>
      <c r="C45" s="289">
        <v>1.6512368500000001</v>
      </c>
      <c r="D45" s="289" t="s">
        <v>2904</v>
      </c>
      <c r="E45" s="289">
        <v>501942735</v>
      </c>
      <c r="F45" s="289" t="s">
        <v>2905</v>
      </c>
      <c r="G45" s="289">
        <v>199</v>
      </c>
      <c r="H45" s="289" t="e">
        <v>#N/A</v>
      </c>
      <c r="I45" s="293" t="s">
        <v>1589</v>
      </c>
      <c r="J45" s="290">
        <v>45443</v>
      </c>
    </row>
  </sheetData>
  <conditionalFormatting sqref="C1:C45">
    <cfRule type="duplicateValues" dxfId="399" priority="3"/>
    <cfRule type="duplicateValues" dxfId="398" priority="4"/>
    <cfRule type="duplicateValues" dxfId="397" priority="6"/>
  </conditionalFormatting>
  <conditionalFormatting sqref="C1:E45">
    <cfRule type="duplicateValues" dxfId="396" priority="5"/>
  </conditionalFormatting>
  <conditionalFormatting sqref="D1:E45">
    <cfRule type="duplicateValues" dxfId="395" priority="1"/>
    <cfRule type="duplicateValues" dxfId="394" priority="2"/>
  </conditionalFormatting>
  <conditionalFormatting sqref="D32:E45 D1:E29">
    <cfRule type="duplicateValues" dxfId="393" priority="7"/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4"/>
  <sheetViews>
    <sheetView topLeftCell="A30" workbookViewId="0">
      <selection activeCell="B1" sqref="B1:G34"/>
    </sheetView>
  </sheetViews>
  <sheetFormatPr defaultRowHeight="14.5"/>
  <cols>
    <col min="1" max="1" width="13.7265625" bestFit="1" customWidth="1"/>
    <col min="2" max="2" width="10.7265625" bestFit="1" customWidth="1"/>
    <col min="3" max="3" width="12.54296875" bestFit="1" customWidth="1"/>
    <col min="4" max="4" width="14" bestFit="1" customWidth="1"/>
    <col min="5" max="5" width="13.7265625" bestFit="1" customWidth="1"/>
    <col min="6" max="6" width="28.81640625" bestFit="1" customWidth="1"/>
    <col min="7" max="7" width="5.7265625" bestFit="1" customWidth="1"/>
    <col min="8" max="8" width="15.453125" bestFit="1" customWidth="1"/>
    <col min="9" max="9" width="18.26953125" bestFit="1" customWidth="1"/>
    <col min="10" max="10" width="10.7265625" bestFit="1" customWidth="1"/>
    <col min="11" max="11" width="27.26953125" bestFit="1" customWidth="1"/>
    <col min="12" max="12" width="14" bestFit="1" customWidth="1"/>
  </cols>
  <sheetData>
    <row r="1" spans="1:11">
      <c r="A1" s="300" t="s">
        <v>1739</v>
      </c>
      <c r="B1" s="301" t="s">
        <v>1740</v>
      </c>
      <c r="C1" s="300" t="s">
        <v>2907</v>
      </c>
      <c r="D1" s="300" t="s">
        <v>3306</v>
      </c>
      <c r="E1" s="300" t="s">
        <v>2636</v>
      </c>
      <c r="F1" s="300" t="s">
        <v>2908</v>
      </c>
      <c r="G1" s="300" t="s">
        <v>2909</v>
      </c>
      <c r="H1" s="301" t="s">
        <v>2910</v>
      </c>
      <c r="I1" s="300" t="s">
        <v>2069</v>
      </c>
      <c r="J1" s="301" t="s">
        <v>1920</v>
      </c>
    </row>
    <row r="2" spans="1:11">
      <c r="A2" s="5" t="s">
        <v>2817</v>
      </c>
      <c r="B2" s="42">
        <v>45444</v>
      </c>
      <c r="C2" s="5">
        <v>1.6514699100000001</v>
      </c>
      <c r="D2" s="5">
        <v>507483411</v>
      </c>
      <c r="E2" s="5" t="s">
        <v>2911</v>
      </c>
      <c r="F2" s="25" t="s">
        <v>2912</v>
      </c>
      <c r="G2" s="5">
        <v>199</v>
      </c>
      <c r="H2" s="42" t="e">
        <v>#N/A</v>
      </c>
      <c r="I2" s="5" t="s">
        <v>1589</v>
      </c>
      <c r="J2" s="42">
        <v>45444</v>
      </c>
    </row>
    <row r="3" spans="1:11">
      <c r="A3" s="5" t="s">
        <v>2817</v>
      </c>
      <c r="B3" s="42">
        <v>45444</v>
      </c>
      <c r="C3" s="5">
        <v>1.6515757600000001</v>
      </c>
      <c r="D3" s="5">
        <v>568418615</v>
      </c>
      <c r="E3" s="5" t="s">
        <v>2913</v>
      </c>
      <c r="F3" s="25" t="s">
        <v>2914</v>
      </c>
      <c r="G3" s="5">
        <v>199</v>
      </c>
      <c r="H3" s="42" t="e">
        <v>#N/A</v>
      </c>
      <c r="I3" s="5" t="s">
        <v>1589</v>
      </c>
      <c r="J3" s="42">
        <v>45444</v>
      </c>
    </row>
    <row r="4" spans="1:11">
      <c r="A4" s="5" t="s">
        <v>2817</v>
      </c>
      <c r="B4" s="42">
        <v>45445</v>
      </c>
      <c r="C4" s="5" t="e">
        <v>#N/A</v>
      </c>
      <c r="D4" s="5">
        <v>563244425</v>
      </c>
      <c r="E4" s="5" t="s">
        <v>2915</v>
      </c>
      <c r="F4" s="5" t="s">
        <v>2916</v>
      </c>
      <c r="G4" s="5">
        <v>199</v>
      </c>
      <c r="H4" s="42" t="e">
        <v>#N/A</v>
      </c>
      <c r="I4" s="5" t="s">
        <v>1663</v>
      </c>
      <c r="J4" s="42" t="e">
        <v>#N/A</v>
      </c>
    </row>
    <row r="5" spans="1:11">
      <c r="A5" s="5" t="s">
        <v>2817</v>
      </c>
      <c r="B5" s="42">
        <v>45445</v>
      </c>
      <c r="C5" s="5">
        <v>1.65179897</v>
      </c>
      <c r="D5" s="5">
        <v>563372804</v>
      </c>
      <c r="E5" s="5" t="s">
        <v>2917</v>
      </c>
      <c r="F5" s="25" t="s">
        <v>2918</v>
      </c>
      <c r="G5" s="5">
        <v>199</v>
      </c>
      <c r="H5" s="42" t="e">
        <v>#N/A</v>
      </c>
      <c r="I5" s="5" t="s">
        <v>1589</v>
      </c>
      <c r="J5" s="42">
        <v>45445</v>
      </c>
    </row>
    <row r="6" spans="1:11">
      <c r="A6" s="5" t="s">
        <v>2817</v>
      </c>
      <c r="B6" s="42">
        <v>45446</v>
      </c>
      <c r="C6" s="5">
        <v>1.6519630300000001</v>
      </c>
      <c r="D6" s="5">
        <v>582191644</v>
      </c>
      <c r="E6" s="5" t="s">
        <v>2919</v>
      </c>
      <c r="F6" s="25" t="s">
        <v>2920</v>
      </c>
      <c r="G6" s="5">
        <v>199</v>
      </c>
      <c r="H6" s="42" t="e">
        <v>#N/A</v>
      </c>
      <c r="I6" s="5" t="s">
        <v>1589</v>
      </c>
      <c r="J6" s="42">
        <v>45446</v>
      </c>
    </row>
    <row r="7" spans="1:11">
      <c r="A7" s="5" t="s">
        <v>2817</v>
      </c>
      <c r="B7" s="42">
        <v>45446</v>
      </c>
      <c r="C7" s="5">
        <v>1.65200397</v>
      </c>
      <c r="D7" s="5">
        <v>585734736</v>
      </c>
      <c r="E7" s="5" t="s">
        <v>2921</v>
      </c>
      <c r="F7" s="25" t="s">
        <v>2922</v>
      </c>
      <c r="G7" s="5">
        <v>199</v>
      </c>
      <c r="H7" s="42" t="e">
        <v>#N/A</v>
      </c>
      <c r="I7" s="5" t="s">
        <v>1589</v>
      </c>
      <c r="J7" s="42">
        <v>45447</v>
      </c>
    </row>
    <row r="8" spans="1:11">
      <c r="A8" s="5" t="s">
        <v>2817</v>
      </c>
      <c r="B8" s="42">
        <v>45447</v>
      </c>
      <c r="C8" s="5">
        <v>1.6521655900000001</v>
      </c>
      <c r="D8" s="5">
        <v>561736490</v>
      </c>
      <c r="E8" s="5" t="s">
        <v>2923</v>
      </c>
      <c r="F8" s="25" t="s">
        <v>2924</v>
      </c>
      <c r="G8" s="5">
        <v>199</v>
      </c>
      <c r="H8" s="42" t="e">
        <v>#N/A</v>
      </c>
      <c r="I8" s="5" t="s">
        <v>1589</v>
      </c>
      <c r="J8" s="42">
        <v>45447</v>
      </c>
    </row>
    <row r="9" spans="1:11">
      <c r="A9" s="5" t="s">
        <v>2817</v>
      </c>
      <c r="B9" s="42">
        <v>45447</v>
      </c>
      <c r="C9" s="5">
        <v>1.6522007599999999</v>
      </c>
      <c r="D9" s="5">
        <v>563859860</v>
      </c>
      <c r="E9" s="5" t="s">
        <v>2925</v>
      </c>
      <c r="F9" s="25" t="s">
        <v>2926</v>
      </c>
      <c r="G9" s="5">
        <v>199</v>
      </c>
      <c r="H9" s="42" t="e">
        <v>#N/A</v>
      </c>
      <c r="I9" s="5" t="s">
        <v>1589</v>
      </c>
      <c r="J9" s="42">
        <v>45447</v>
      </c>
    </row>
    <row r="10" spans="1:11">
      <c r="A10" s="5" t="s">
        <v>2817</v>
      </c>
      <c r="B10" s="42">
        <v>45447</v>
      </c>
      <c r="C10" s="5">
        <v>1.65220816</v>
      </c>
      <c r="D10" s="5">
        <v>581462341</v>
      </c>
      <c r="E10" s="5" t="s">
        <v>2927</v>
      </c>
      <c r="F10" s="25" t="s">
        <v>2928</v>
      </c>
      <c r="G10" s="5">
        <v>199</v>
      </c>
      <c r="H10" s="42" t="e">
        <v>#N/A</v>
      </c>
      <c r="I10" s="5" t="s">
        <v>1589</v>
      </c>
      <c r="J10" s="42">
        <v>45447</v>
      </c>
    </row>
    <row r="11" spans="1:11">
      <c r="A11" s="5" t="s">
        <v>2817</v>
      </c>
      <c r="B11" s="42">
        <v>45447</v>
      </c>
      <c r="C11" s="5">
        <v>1.6085004300000001</v>
      </c>
      <c r="D11" s="5">
        <v>521525818</v>
      </c>
      <c r="E11" s="5" t="s">
        <v>2929</v>
      </c>
      <c r="F11" s="25" t="s">
        <v>2930</v>
      </c>
      <c r="G11" s="5">
        <v>199</v>
      </c>
      <c r="H11" s="42" t="e">
        <v>#N/A</v>
      </c>
      <c r="I11" s="5" t="s">
        <v>1589</v>
      </c>
      <c r="J11" s="42">
        <v>45448</v>
      </c>
    </row>
    <row r="12" spans="1:11">
      <c r="A12" s="5" t="s">
        <v>2817</v>
      </c>
      <c r="B12" s="42">
        <v>45449</v>
      </c>
      <c r="C12" s="5">
        <v>1.65256812</v>
      </c>
      <c r="D12" s="5">
        <v>543585067</v>
      </c>
      <c r="E12" s="5" t="s">
        <v>2931</v>
      </c>
      <c r="F12" s="25" t="s">
        <v>2932</v>
      </c>
      <c r="G12" s="5">
        <v>199</v>
      </c>
      <c r="H12" s="42" t="e">
        <v>#N/A</v>
      </c>
      <c r="I12" s="5" t="s">
        <v>1589</v>
      </c>
      <c r="J12" s="42">
        <v>45449</v>
      </c>
    </row>
    <row r="13" spans="1:11">
      <c r="A13" s="5" t="s">
        <v>2817</v>
      </c>
      <c r="B13" s="42">
        <v>45450</v>
      </c>
      <c r="C13" s="5">
        <v>1.65279142</v>
      </c>
      <c r="D13" s="5">
        <v>526113014</v>
      </c>
      <c r="E13" s="5" t="s">
        <v>2933</v>
      </c>
      <c r="F13" s="25" t="s">
        <v>2934</v>
      </c>
      <c r="G13" s="5">
        <v>199</v>
      </c>
      <c r="H13" s="42" t="e">
        <v>#N/A</v>
      </c>
      <c r="I13" s="5" t="s">
        <v>1589</v>
      </c>
      <c r="J13" s="42">
        <v>45451</v>
      </c>
    </row>
    <row r="14" spans="1:11">
      <c r="A14" s="5" t="s">
        <v>2817</v>
      </c>
      <c r="B14" s="42">
        <v>45451</v>
      </c>
      <c r="C14" s="5">
        <v>1.6529284</v>
      </c>
      <c r="D14" s="5">
        <v>565631854</v>
      </c>
      <c r="E14" s="5" t="s">
        <v>2935</v>
      </c>
      <c r="F14" s="25" t="s">
        <v>2936</v>
      </c>
      <c r="G14" s="5">
        <v>199</v>
      </c>
      <c r="H14" s="42" t="e">
        <v>#N/A</v>
      </c>
      <c r="I14" s="5" t="s">
        <v>1589</v>
      </c>
      <c r="J14" s="42">
        <v>45451</v>
      </c>
    </row>
    <row r="15" spans="1:11">
      <c r="A15" s="25" t="s">
        <v>2817</v>
      </c>
      <c r="B15" s="92">
        <v>45452</v>
      </c>
      <c r="C15" s="25">
        <v>1.3732700099999999</v>
      </c>
      <c r="D15" s="25">
        <v>505349087</v>
      </c>
      <c r="E15" s="25" t="s">
        <v>2937</v>
      </c>
      <c r="F15" s="25" t="s">
        <v>2938</v>
      </c>
      <c r="G15" s="25">
        <v>199</v>
      </c>
      <c r="H15" s="92" t="s">
        <v>2939</v>
      </c>
      <c r="I15" s="25" t="s">
        <v>1589</v>
      </c>
      <c r="J15" s="92">
        <v>45452</v>
      </c>
      <c r="K15" t="s">
        <v>2977</v>
      </c>
    </row>
    <row r="16" spans="1:11">
      <c r="A16" s="5" t="s">
        <v>2817</v>
      </c>
      <c r="B16" s="42">
        <v>45452</v>
      </c>
      <c r="C16" s="5">
        <v>1.6531562900000001</v>
      </c>
      <c r="D16" s="5">
        <v>507613314</v>
      </c>
      <c r="E16" s="5" t="s">
        <v>2940</v>
      </c>
      <c r="F16" s="25" t="s">
        <v>2941</v>
      </c>
      <c r="G16" s="5">
        <v>199</v>
      </c>
      <c r="H16" s="42" t="e">
        <v>#N/A</v>
      </c>
      <c r="I16" s="5" t="s">
        <v>1589</v>
      </c>
      <c r="J16" s="42">
        <v>45453</v>
      </c>
    </row>
    <row r="17" spans="1:11">
      <c r="A17" s="5" t="s">
        <v>2817</v>
      </c>
      <c r="B17" s="42">
        <v>45452</v>
      </c>
      <c r="C17" s="5">
        <v>1.6531909300000001</v>
      </c>
      <c r="D17" s="5">
        <v>544448338</v>
      </c>
      <c r="E17" s="5" t="s">
        <v>2942</v>
      </c>
      <c r="F17" s="25" t="s">
        <v>2943</v>
      </c>
      <c r="G17" s="5">
        <v>199</v>
      </c>
      <c r="H17" s="42" t="e">
        <v>#N/A</v>
      </c>
      <c r="I17" s="5" t="s">
        <v>1589</v>
      </c>
      <c r="J17" s="42">
        <v>45453</v>
      </c>
    </row>
    <row r="18" spans="1:11">
      <c r="A18" s="5"/>
      <c r="B18" s="42"/>
      <c r="C18" s="5">
        <v>509794621</v>
      </c>
      <c r="D18" s="5">
        <v>509794621</v>
      </c>
      <c r="E18" s="5" t="s">
        <v>2979</v>
      </c>
      <c r="F18" s="25" t="s">
        <v>2978</v>
      </c>
      <c r="G18" s="5">
        <v>199</v>
      </c>
      <c r="I18" s="5" t="s">
        <v>1589</v>
      </c>
      <c r="J18" s="42">
        <v>45453</v>
      </c>
      <c r="K18" t="s">
        <v>2980</v>
      </c>
    </row>
    <row r="19" spans="1:11">
      <c r="A19" s="5" t="s">
        <v>2817</v>
      </c>
      <c r="B19" s="42">
        <v>45456</v>
      </c>
      <c r="C19" s="5">
        <v>1.6538242299999999</v>
      </c>
      <c r="D19" s="5">
        <v>521917008</v>
      </c>
      <c r="E19" s="5" t="s">
        <v>2944</v>
      </c>
      <c r="F19" s="25" t="s">
        <v>2945</v>
      </c>
      <c r="G19" s="5">
        <v>199</v>
      </c>
      <c r="H19" s="42" t="e">
        <v>#N/A</v>
      </c>
      <c r="I19" s="5" t="s">
        <v>1589</v>
      </c>
      <c r="J19" s="42">
        <v>45456</v>
      </c>
    </row>
    <row r="20" spans="1:11">
      <c r="A20" s="5" t="s">
        <v>2817</v>
      </c>
      <c r="B20" s="42">
        <v>45456</v>
      </c>
      <c r="C20" s="5">
        <v>1.6538386300000001</v>
      </c>
      <c r="D20" s="5">
        <v>563752566</v>
      </c>
      <c r="E20" s="5" t="s">
        <v>2946</v>
      </c>
      <c r="F20" s="25" t="s">
        <v>2947</v>
      </c>
      <c r="G20" s="5">
        <v>199</v>
      </c>
      <c r="H20" s="42" t="e">
        <v>#N/A</v>
      </c>
      <c r="I20" s="5" t="s">
        <v>1589</v>
      </c>
      <c r="J20" s="42">
        <v>45456</v>
      </c>
    </row>
    <row r="21" spans="1:11">
      <c r="A21" s="5" t="s">
        <v>2817</v>
      </c>
      <c r="B21" s="42">
        <v>45457</v>
      </c>
      <c r="C21" s="5">
        <v>1.6539760299999999</v>
      </c>
      <c r="D21" s="5">
        <v>503813500</v>
      </c>
      <c r="E21" s="5" t="s">
        <v>2948</v>
      </c>
      <c r="F21" s="25" t="s">
        <v>2949</v>
      </c>
      <c r="G21" s="5">
        <v>299</v>
      </c>
      <c r="H21" s="42" t="e">
        <v>#N/A</v>
      </c>
      <c r="I21" s="5" t="s">
        <v>1589</v>
      </c>
      <c r="J21" s="42">
        <v>45458</v>
      </c>
    </row>
    <row r="22" spans="1:11">
      <c r="A22" s="5" t="s">
        <v>2817</v>
      </c>
      <c r="B22" s="42">
        <v>45461</v>
      </c>
      <c r="C22" s="5">
        <v>1.65475744</v>
      </c>
      <c r="D22" s="5">
        <v>556803052</v>
      </c>
      <c r="E22" s="5" t="s">
        <v>2950</v>
      </c>
      <c r="F22" s="25" t="s">
        <v>2951</v>
      </c>
      <c r="G22" s="5">
        <v>199</v>
      </c>
      <c r="H22" s="42" t="e">
        <v>#N/A</v>
      </c>
      <c r="I22" s="5" t="s">
        <v>1589</v>
      </c>
      <c r="J22" s="42">
        <v>45461</v>
      </c>
    </row>
    <row r="23" spans="1:11">
      <c r="A23" s="5" t="s">
        <v>2817</v>
      </c>
      <c r="B23" s="42">
        <v>45465</v>
      </c>
      <c r="C23" s="5">
        <v>1.6553629999999999</v>
      </c>
      <c r="D23" s="5">
        <v>553024104</v>
      </c>
      <c r="E23" s="5" t="s">
        <v>2952</v>
      </c>
      <c r="F23" s="25" t="s">
        <v>2953</v>
      </c>
      <c r="G23" s="5">
        <v>199</v>
      </c>
      <c r="H23" s="42" t="e">
        <v>#N/A</v>
      </c>
      <c r="I23" s="5" t="s">
        <v>1589</v>
      </c>
      <c r="J23" s="42">
        <v>45465</v>
      </c>
    </row>
    <row r="24" spans="1:11">
      <c r="A24" s="5" t="s">
        <v>2817</v>
      </c>
      <c r="B24" s="42">
        <v>45465</v>
      </c>
      <c r="C24" s="5">
        <v>1.65539163</v>
      </c>
      <c r="D24" s="5">
        <v>566455285</v>
      </c>
      <c r="E24" s="5" t="s">
        <v>2954</v>
      </c>
      <c r="F24" s="25" t="s">
        <v>2955</v>
      </c>
      <c r="G24" s="5">
        <v>199</v>
      </c>
      <c r="H24" s="42" t="e">
        <v>#N/A</v>
      </c>
      <c r="I24" s="5" t="s">
        <v>1589</v>
      </c>
      <c r="J24" s="42">
        <v>45465</v>
      </c>
    </row>
    <row r="25" spans="1:11">
      <c r="A25" s="5" t="s">
        <v>2817</v>
      </c>
      <c r="B25" s="42">
        <v>45466</v>
      </c>
      <c r="C25" s="5">
        <v>1.5433844999999999</v>
      </c>
      <c r="D25" s="5">
        <v>503705001</v>
      </c>
      <c r="E25" s="5" t="s">
        <v>2956</v>
      </c>
      <c r="F25" s="25" t="s">
        <v>2957</v>
      </c>
      <c r="G25" s="5">
        <v>199</v>
      </c>
      <c r="H25" s="42" t="e">
        <v>#N/A</v>
      </c>
      <c r="I25" s="5" t="s">
        <v>1589</v>
      </c>
      <c r="J25" s="42">
        <v>45466</v>
      </c>
    </row>
    <row r="26" spans="1:11">
      <c r="A26" s="5" t="s">
        <v>2817</v>
      </c>
      <c r="B26" s="42">
        <v>45466</v>
      </c>
      <c r="C26" s="5">
        <v>1.65552923</v>
      </c>
      <c r="D26" s="5">
        <v>545576168</v>
      </c>
      <c r="E26" s="5" t="s">
        <v>2958</v>
      </c>
      <c r="F26" s="25" t="s">
        <v>2959</v>
      </c>
      <c r="G26" s="5">
        <v>199</v>
      </c>
      <c r="H26" s="42" t="e">
        <v>#N/A</v>
      </c>
      <c r="I26" s="5" t="s">
        <v>1589</v>
      </c>
      <c r="J26" s="42">
        <v>45466</v>
      </c>
    </row>
    <row r="27" spans="1:11">
      <c r="A27" s="5" t="s">
        <v>2817</v>
      </c>
      <c r="B27" s="79">
        <v>45468</v>
      </c>
      <c r="C27" s="5">
        <v>1.65585582</v>
      </c>
      <c r="D27" s="5">
        <v>524556824</v>
      </c>
      <c r="E27" s="5" t="s">
        <v>2960</v>
      </c>
      <c r="F27" s="25" t="s">
        <v>2961</v>
      </c>
      <c r="G27" s="5">
        <v>199</v>
      </c>
      <c r="H27" s="42" t="e">
        <v>#N/A</v>
      </c>
      <c r="I27" s="5" t="s">
        <v>1589</v>
      </c>
      <c r="J27" s="42">
        <v>45468</v>
      </c>
    </row>
    <row r="28" spans="1:11">
      <c r="A28" s="5" t="s">
        <v>2817</v>
      </c>
      <c r="B28" s="79">
        <v>45469</v>
      </c>
      <c r="C28" s="5">
        <v>1.6560072299999999</v>
      </c>
      <c r="D28" s="5">
        <v>561103221</v>
      </c>
      <c r="E28" s="5" t="s">
        <v>2962</v>
      </c>
      <c r="F28" s="25" t="s">
        <v>2963</v>
      </c>
      <c r="G28" s="5">
        <v>199</v>
      </c>
      <c r="H28" s="42" t="e">
        <v>#N/A</v>
      </c>
      <c r="I28" s="5" t="s">
        <v>1589</v>
      </c>
      <c r="J28" s="42">
        <v>45469</v>
      </c>
    </row>
    <row r="29" spans="1:11">
      <c r="A29" s="5" t="s">
        <v>2817</v>
      </c>
      <c r="B29" s="79">
        <v>45469</v>
      </c>
      <c r="C29" s="5">
        <v>1.65611558</v>
      </c>
      <c r="D29" s="5">
        <v>547424147</v>
      </c>
      <c r="E29" s="5" t="s">
        <v>2964</v>
      </c>
      <c r="F29" s="25" t="s">
        <v>2965</v>
      </c>
      <c r="G29" s="5">
        <v>299</v>
      </c>
      <c r="H29" s="42" t="e">
        <v>#N/A</v>
      </c>
      <c r="I29" s="5" t="s">
        <v>1589</v>
      </c>
      <c r="J29" s="42">
        <v>45470</v>
      </c>
    </row>
    <row r="30" spans="1:11">
      <c r="A30" s="5" t="s">
        <v>2817</v>
      </c>
      <c r="B30" s="79">
        <v>45470</v>
      </c>
      <c r="C30" s="5">
        <v>1.6562237200000001</v>
      </c>
      <c r="D30" s="5">
        <v>507646704</v>
      </c>
      <c r="E30" s="5" t="s">
        <v>2966</v>
      </c>
      <c r="F30" s="25" t="s">
        <v>2967</v>
      </c>
      <c r="G30" s="5">
        <v>199</v>
      </c>
      <c r="H30" s="42" t="e">
        <v>#N/A</v>
      </c>
      <c r="I30" s="5" t="s">
        <v>1589</v>
      </c>
      <c r="J30" s="42">
        <v>45471</v>
      </c>
    </row>
    <row r="31" spans="1:11">
      <c r="A31" s="5" t="s">
        <v>2817</v>
      </c>
      <c r="B31" s="79">
        <v>45472</v>
      </c>
      <c r="C31" s="5">
        <v>1.6565911799999999</v>
      </c>
      <c r="D31" s="5">
        <v>582320824</v>
      </c>
      <c r="E31" s="5" t="s">
        <v>2968</v>
      </c>
      <c r="F31" s="25" t="s">
        <v>2969</v>
      </c>
      <c r="G31" s="5">
        <v>199</v>
      </c>
      <c r="H31" s="42" t="e">
        <v>#N/A</v>
      </c>
      <c r="I31" s="5" t="s">
        <v>1589</v>
      </c>
      <c r="J31" s="42">
        <v>45472</v>
      </c>
    </row>
    <row r="32" spans="1:11">
      <c r="A32" s="5" t="s">
        <v>2817</v>
      </c>
      <c r="B32" s="79">
        <v>45473</v>
      </c>
      <c r="C32" s="5">
        <v>1.6567442699999999</v>
      </c>
      <c r="D32" s="5">
        <v>562233286</v>
      </c>
      <c r="E32" s="5" t="s">
        <v>2970</v>
      </c>
      <c r="F32" s="25" t="s">
        <v>2971</v>
      </c>
      <c r="G32" s="5">
        <v>199</v>
      </c>
      <c r="H32" s="42" t="e">
        <v>#N/A</v>
      </c>
      <c r="I32" s="5" t="s">
        <v>1589</v>
      </c>
      <c r="J32" s="42">
        <v>45473</v>
      </c>
    </row>
    <row r="33" spans="1:10">
      <c r="A33" s="5" t="s">
        <v>2817</v>
      </c>
      <c r="B33" s="79">
        <v>45473</v>
      </c>
      <c r="C33" s="5" t="e">
        <v>#N/A</v>
      </c>
      <c r="D33" s="5">
        <v>562410230</v>
      </c>
      <c r="E33" s="5" t="s">
        <v>2972</v>
      </c>
      <c r="F33" s="5" t="s">
        <v>2973</v>
      </c>
      <c r="G33" s="5">
        <v>199</v>
      </c>
      <c r="H33" s="42" t="e">
        <v>#N/A</v>
      </c>
      <c r="I33" s="5" t="s">
        <v>2369</v>
      </c>
      <c r="J33" s="42" t="e">
        <v>#N/A</v>
      </c>
    </row>
    <row r="34" spans="1:10">
      <c r="A34" s="5" t="s">
        <v>2817</v>
      </c>
      <c r="B34" s="79">
        <v>45473</v>
      </c>
      <c r="C34" s="5">
        <v>1.6568003899999999</v>
      </c>
      <c r="D34" s="5">
        <v>562410230</v>
      </c>
      <c r="E34" s="5" t="s">
        <v>2974</v>
      </c>
      <c r="F34" s="25" t="s">
        <v>2975</v>
      </c>
      <c r="G34" s="5">
        <v>199</v>
      </c>
      <c r="H34" s="42" t="e">
        <v>#N/A</v>
      </c>
      <c r="I34" s="5" t="s">
        <v>2976</v>
      </c>
      <c r="J34" s="42" t="e">
        <v>#N/A</v>
      </c>
    </row>
  </sheetData>
  <conditionalFormatting sqref="E1:E34 C1:D17 C19:D34">
    <cfRule type="duplicateValues" dxfId="392" priority="2"/>
  </conditionalFormatting>
  <conditionalFormatting sqref="F1:F34">
    <cfRule type="duplicateValues" dxfId="391" priority="1"/>
  </conditionalFormatting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45"/>
  <sheetViews>
    <sheetView topLeftCell="A26" zoomScale="86" zoomScaleNormal="87" workbookViewId="0">
      <selection activeCell="A37" sqref="A37:I44"/>
    </sheetView>
  </sheetViews>
  <sheetFormatPr defaultRowHeight="14.5"/>
  <cols>
    <col min="1" max="1" width="11.453125" bestFit="1" customWidth="1"/>
    <col min="2" max="2" width="9.81640625" bestFit="1" customWidth="1"/>
    <col min="3" max="3" width="9.54296875" bestFit="1" customWidth="1"/>
    <col min="4" max="4" width="11.81640625" bestFit="1" customWidth="1"/>
    <col min="5" max="5" width="11.81640625" customWidth="1"/>
    <col min="6" max="6" width="19.26953125" bestFit="1" customWidth="1"/>
    <col min="7" max="7" width="9.453125" customWidth="1"/>
    <col min="8" max="8" width="6.453125" bestFit="1" customWidth="1"/>
    <col min="9" max="9" width="9.54296875" bestFit="1" customWidth="1"/>
  </cols>
  <sheetData>
    <row r="1" spans="1:10">
      <c r="A1" s="302" t="s">
        <v>1739</v>
      </c>
      <c r="B1" s="303" t="s">
        <v>1740</v>
      </c>
      <c r="C1" s="302" t="s">
        <v>1918</v>
      </c>
      <c r="D1" s="302" t="s">
        <v>2636</v>
      </c>
      <c r="E1" s="302" t="s">
        <v>2635</v>
      </c>
      <c r="F1" s="302" t="s">
        <v>2908</v>
      </c>
      <c r="G1" s="302" t="s">
        <v>2909</v>
      </c>
      <c r="H1" s="302" t="s">
        <v>2815</v>
      </c>
      <c r="I1" s="302" t="s">
        <v>2069</v>
      </c>
      <c r="J1" s="303" t="s">
        <v>1920</v>
      </c>
    </row>
    <row r="2" spans="1:10">
      <c r="A2" s="304" t="s">
        <v>2817</v>
      </c>
      <c r="B2" s="305">
        <v>45473</v>
      </c>
      <c r="C2" s="304">
        <v>1.6568003899999999</v>
      </c>
      <c r="D2" s="304" t="s">
        <v>2974</v>
      </c>
      <c r="E2" s="304"/>
      <c r="F2" s="306" t="s">
        <v>2975</v>
      </c>
      <c r="G2" s="304">
        <v>199</v>
      </c>
      <c r="H2" s="304">
        <v>0</v>
      </c>
      <c r="I2" s="307" t="s">
        <v>2358</v>
      </c>
      <c r="J2" s="305">
        <v>45474</v>
      </c>
    </row>
    <row r="3" spans="1:10">
      <c r="A3" s="304" t="s">
        <v>2817</v>
      </c>
      <c r="B3" s="305">
        <v>45474</v>
      </c>
      <c r="C3" s="304">
        <v>1.65699777</v>
      </c>
      <c r="D3" s="304" t="s">
        <v>2981</v>
      </c>
      <c r="E3" s="304">
        <v>558704653</v>
      </c>
      <c r="F3" s="306" t="s">
        <v>2982</v>
      </c>
      <c r="G3" s="304">
        <v>199</v>
      </c>
      <c r="H3" s="304">
        <v>0</v>
      </c>
      <c r="I3" s="307" t="s">
        <v>2358</v>
      </c>
      <c r="J3" s="305">
        <v>45475</v>
      </c>
    </row>
    <row r="4" spans="1:10">
      <c r="A4" s="304" t="s">
        <v>2817</v>
      </c>
      <c r="B4" s="305">
        <v>45474</v>
      </c>
      <c r="C4" s="304">
        <v>1.2095735299999999</v>
      </c>
      <c r="D4" s="304" t="s">
        <v>2983</v>
      </c>
      <c r="E4" s="304">
        <v>509399221</v>
      </c>
      <c r="F4" s="306" t="s">
        <v>2984</v>
      </c>
      <c r="G4" s="304">
        <v>199</v>
      </c>
      <c r="H4" s="304">
        <v>0</v>
      </c>
      <c r="I4" s="307" t="s">
        <v>2358</v>
      </c>
      <c r="J4" s="305">
        <v>45474</v>
      </c>
    </row>
    <row r="5" spans="1:10">
      <c r="A5" s="304" t="s">
        <v>2817</v>
      </c>
      <c r="B5" s="305">
        <v>45474</v>
      </c>
      <c r="C5" s="304">
        <v>1.5789826899999999</v>
      </c>
      <c r="D5" s="304" t="s">
        <v>2985</v>
      </c>
      <c r="E5" s="304">
        <v>504299856</v>
      </c>
      <c r="F5" s="306" t="s">
        <v>2986</v>
      </c>
      <c r="G5" s="304">
        <v>299</v>
      </c>
      <c r="H5" s="304">
        <v>0</v>
      </c>
      <c r="I5" s="307" t="s">
        <v>2358</v>
      </c>
      <c r="J5" s="305">
        <v>45475</v>
      </c>
    </row>
    <row r="6" spans="1:10">
      <c r="A6" s="304" t="s">
        <v>2817</v>
      </c>
      <c r="B6" s="305">
        <v>45475</v>
      </c>
      <c r="C6" s="304" t="e">
        <v>#N/A</v>
      </c>
      <c r="D6" s="304" t="s">
        <v>2987</v>
      </c>
      <c r="E6" s="304">
        <v>528822903</v>
      </c>
      <c r="F6" s="306" t="s">
        <v>2988</v>
      </c>
      <c r="G6" s="304">
        <v>299</v>
      </c>
      <c r="H6" s="304" t="e">
        <v>#N/A</v>
      </c>
      <c r="I6" s="308" t="s">
        <v>1585</v>
      </c>
      <c r="J6" s="305" t="e">
        <v>#N/A</v>
      </c>
    </row>
    <row r="7" spans="1:10">
      <c r="A7" s="304" t="s">
        <v>2817</v>
      </c>
      <c r="B7" s="305">
        <v>45476</v>
      </c>
      <c r="C7" s="304">
        <v>1.6572936700000001</v>
      </c>
      <c r="D7" s="304" t="s">
        <v>2989</v>
      </c>
      <c r="E7" s="304">
        <v>551838674</v>
      </c>
      <c r="F7" s="306" t="s">
        <v>2990</v>
      </c>
      <c r="G7" s="304">
        <v>199</v>
      </c>
      <c r="H7" s="304">
        <v>0</v>
      </c>
      <c r="I7" s="307" t="s">
        <v>2358</v>
      </c>
      <c r="J7" s="305">
        <v>45476</v>
      </c>
    </row>
    <row r="8" spans="1:10">
      <c r="A8" s="304" t="s">
        <v>2817</v>
      </c>
      <c r="B8" s="305">
        <v>45476</v>
      </c>
      <c r="C8" s="304" t="e">
        <v>#N/A</v>
      </c>
      <c r="D8" s="304" t="s">
        <v>2991</v>
      </c>
      <c r="E8" s="304">
        <v>528822903</v>
      </c>
      <c r="F8" s="306" t="s">
        <v>2992</v>
      </c>
      <c r="G8" s="304">
        <v>199</v>
      </c>
      <c r="H8" s="304" t="e">
        <v>#N/A</v>
      </c>
      <c r="I8" s="308" t="s">
        <v>1585</v>
      </c>
      <c r="J8" s="305" t="e">
        <v>#N/A</v>
      </c>
    </row>
    <row r="9" spans="1:10">
      <c r="A9" s="304" t="s">
        <v>2817</v>
      </c>
      <c r="B9" s="305">
        <v>45477</v>
      </c>
      <c r="C9" s="304">
        <v>1.4253105699999999</v>
      </c>
      <c r="D9" s="304" t="s">
        <v>2993</v>
      </c>
      <c r="E9" s="304">
        <v>523578818</v>
      </c>
      <c r="F9" s="306" t="s">
        <v>2994</v>
      </c>
      <c r="G9" s="304">
        <v>199</v>
      </c>
      <c r="H9" s="304">
        <v>0</v>
      </c>
      <c r="I9" s="307" t="s">
        <v>2358</v>
      </c>
      <c r="J9" s="305">
        <v>45477</v>
      </c>
    </row>
    <row r="10" spans="1:10">
      <c r="A10" s="304" t="s">
        <v>2817</v>
      </c>
      <c r="B10" s="305">
        <v>45477</v>
      </c>
      <c r="C10" s="304">
        <v>1.65747723</v>
      </c>
      <c r="D10" s="304" t="s">
        <v>2995</v>
      </c>
      <c r="E10" s="304">
        <v>544511643</v>
      </c>
      <c r="F10" s="304" t="s">
        <v>2996</v>
      </c>
      <c r="G10" s="304">
        <v>199</v>
      </c>
      <c r="H10" s="304">
        <v>0</v>
      </c>
      <c r="I10" s="307" t="s">
        <v>2358</v>
      </c>
      <c r="J10" s="305">
        <v>45477</v>
      </c>
    </row>
    <row r="11" spans="1:10">
      <c r="A11" s="304" t="s">
        <v>2817</v>
      </c>
      <c r="B11" s="305">
        <v>45478</v>
      </c>
      <c r="C11" s="304">
        <v>1.65768786</v>
      </c>
      <c r="D11" s="304" t="s">
        <v>2997</v>
      </c>
      <c r="E11" s="304">
        <v>555972128</v>
      </c>
      <c r="F11" s="306" t="s">
        <v>2998</v>
      </c>
      <c r="G11" s="304">
        <v>199</v>
      </c>
      <c r="H11" s="304">
        <v>0</v>
      </c>
      <c r="I11" s="307" t="s">
        <v>2358</v>
      </c>
      <c r="J11" s="305">
        <v>45479</v>
      </c>
    </row>
    <row r="12" spans="1:10">
      <c r="A12" s="304" t="s">
        <v>2817</v>
      </c>
      <c r="B12" s="305">
        <v>45481</v>
      </c>
      <c r="C12" s="304">
        <v>1.6581531599999999</v>
      </c>
      <c r="D12" s="304" t="s">
        <v>2999</v>
      </c>
      <c r="E12" s="304">
        <v>543835369</v>
      </c>
      <c r="F12" s="306" t="s">
        <v>3000</v>
      </c>
      <c r="G12" s="304">
        <v>199</v>
      </c>
      <c r="H12" s="304">
        <v>0</v>
      </c>
      <c r="I12" s="307" t="s">
        <v>2358</v>
      </c>
      <c r="J12" s="305">
        <v>45482</v>
      </c>
    </row>
    <row r="13" spans="1:10">
      <c r="A13" s="304" t="s">
        <v>2817</v>
      </c>
      <c r="B13" s="305">
        <v>45482</v>
      </c>
      <c r="C13" s="304">
        <v>1.6583488799999999</v>
      </c>
      <c r="D13" s="304" t="s">
        <v>3001</v>
      </c>
      <c r="E13" s="304">
        <v>555461091</v>
      </c>
      <c r="F13" s="306" t="s">
        <v>3002</v>
      </c>
      <c r="G13" s="304">
        <v>199</v>
      </c>
      <c r="H13" s="304">
        <v>0</v>
      </c>
      <c r="I13" s="307" t="s">
        <v>2358</v>
      </c>
      <c r="J13" s="305">
        <v>45482</v>
      </c>
    </row>
    <row r="14" spans="1:10">
      <c r="A14" s="304" t="s">
        <v>2817</v>
      </c>
      <c r="B14" s="305">
        <v>45483</v>
      </c>
      <c r="C14" s="304">
        <v>1.3021611500000001</v>
      </c>
      <c r="D14" s="304" t="s">
        <v>3003</v>
      </c>
      <c r="E14" s="304">
        <v>551206773</v>
      </c>
      <c r="F14" s="306" t="s">
        <v>3004</v>
      </c>
      <c r="G14" s="304">
        <v>199</v>
      </c>
      <c r="H14" s="304">
        <v>0</v>
      </c>
      <c r="I14" s="307" t="s">
        <v>2358</v>
      </c>
      <c r="J14" s="305">
        <v>45483</v>
      </c>
    </row>
    <row r="15" spans="1:10">
      <c r="A15" s="304" t="s">
        <v>2817</v>
      </c>
      <c r="B15" s="305">
        <v>45483</v>
      </c>
      <c r="C15" s="304">
        <v>1.65850593</v>
      </c>
      <c r="D15" s="304" t="s">
        <v>3005</v>
      </c>
      <c r="E15" s="304">
        <v>559826612</v>
      </c>
      <c r="F15" s="306" t="s">
        <v>3006</v>
      </c>
      <c r="G15" s="304">
        <v>199</v>
      </c>
      <c r="H15" s="304">
        <v>0</v>
      </c>
      <c r="I15" s="307" t="s">
        <v>2358</v>
      </c>
      <c r="J15" s="305">
        <v>45483</v>
      </c>
    </row>
    <row r="16" spans="1:10">
      <c r="A16" s="304" t="s">
        <v>2817</v>
      </c>
      <c r="B16" s="305">
        <v>45483</v>
      </c>
      <c r="C16" s="304">
        <v>1.1940135599999999</v>
      </c>
      <c r="D16" s="304" t="s">
        <v>3007</v>
      </c>
      <c r="E16" s="304">
        <v>552704750</v>
      </c>
      <c r="F16" s="304" t="s">
        <v>3008</v>
      </c>
      <c r="G16" s="304">
        <v>199</v>
      </c>
      <c r="H16" s="304">
        <v>0</v>
      </c>
      <c r="I16" s="307" t="s">
        <v>2358</v>
      </c>
      <c r="J16" s="305">
        <v>45483</v>
      </c>
    </row>
    <row r="17" spans="1:10">
      <c r="A17" s="304" t="s">
        <v>2817</v>
      </c>
      <c r="B17" s="305">
        <v>45483</v>
      </c>
      <c r="C17" s="304">
        <v>1.65855201</v>
      </c>
      <c r="D17" s="304" t="s">
        <v>3009</v>
      </c>
      <c r="E17" s="304">
        <v>547806508</v>
      </c>
      <c r="F17" s="306" t="s">
        <v>3010</v>
      </c>
      <c r="G17" s="304">
        <v>199</v>
      </c>
      <c r="H17" s="304">
        <v>0</v>
      </c>
      <c r="I17" s="307" t="s">
        <v>2358</v>
      </c>
      <c r="J17" s="305">
        <v>45484</v>
      </c>
    </row>
    <row r="18" spans="1:10">
      <c r="A18" s="304" t="s">
        <v>2817</v>
      </c>
      <c r="B18" s="305">
        <v>45484</v>
      </c>
      <c r="C18" s="304">
        <v>1.6164852199999999</v>
      </c>
      <c r="D18" s="304" t="s">
        <v>3011</v>
      </c>
      <c r="E18" s="304">
        <v>522274985</v>
      </c>
      <c r="F18" s="306" t="s">
        <v>3012</v>
      </c>
      <c r="G18" s="304">
        <v>199</v>
      </c>
      <c r="H18" s="304">
        <v>0</v>
      </c>
      <c r="I18" s="307" t="s">
        <v>2358</v>
      </c>
      <c r="J18" s="305">
        <v>45484</v>
      </c>
    </row>
    <row r="19" spans="1:10">
      <c r="A19" s="304" t="s">
        <v>2817</v>
      </c>
      <c r="B19" s="305">
        <v>45485</v>
      </c>
      <c r="C19" s="304">
        <v>1.65888083</v>
      </c>
      <c r="D19" s="304" t="s">
        <v>3013</v>
      </c>
      <c r="E19" s="304">
        <v>553086155</v>
      </c>
      <c r="F19" s="306" t="s">
        <v>3014</v>
      </c>
      <c r="G19" s="304">
        <v>199</v>
      </c>
      <c r="H19" s="304">
        <v>0</v>
      </c>
      <c r="I19" s="307" t="s">
        <v>2358</v>
      </c>
      <c r="J19" s="305">
        <v>45485</v>
      </c>
    </row>
    <row r="20" spans="1:10">
      <c r="A20" s="304" t="s">
        <v>2817</v>
      </c>
      <c r="B20" s="305">
        <v>45485</v>
      </c>
      <c r="C20" s="304">
        <v>1.2752591900000001</v>
      </c>
      <c r="D20" s="304" t="s">
        <v>3015</v>
      </c>
      <c r="E20" s="304"/>
      <c r="F20" s="306" t="s">
        <v>3016</v>
      </c>
      <c r="G20" s="304">
        <v>199</v>
      </c>
      <c r="H20" s="304">
        <v>0</v>
      </c>
      <c r="I20" s="307" t="s">
        <v>2358</v>
      </c>
      <c r="J20" s="305">
        <v>45485</v>
      </c>
    </row>
    <row r="21" spans="1:10">
      <c r="A21" s="304" t="s">
        <v>2817</v>
      </c>
      <c r="B21" s="305">
        <v>45485</v>
      </c>
      <c r="C21" s="304">
        <v>1.6589387499999999</v>
      </c>
      <c r="D21" s="304" t="s">
        <v>3017</v>
      </c>
      <c r="E21" s="304">
        <v>555036460</v>
      </c>
      <c r="F21" s="306" t="s">
        <v>3018</v>
      </c>
      <c r="G21" s="304">
        <v>199</v>
      </c>
      <c r="H21" s="304">
        <v>0</v>
      </c>
      <c r="I21" s="307" t="s">
        <v>2358</v>
      </c>
      <c r="J21" s="305">
        <v>45486</v>
      </c>
    </row>
    <row r="22" spans="1:10">
      <c r="A22" s="304" t="s">
        <v>2817</v>
      </c>
      <c r="B22" s="305">
        <v>45486</v>
      </c>
      <c r="C22" s="304">
        <v>1.6590486</v>
      </c>
      <c r="D22" s="304" t="s">
        <v>3019</v>
      </c>
      <c r="E22" s="304">
        <v>503108900</v>
      </c>
      <c r="F22" s="306" t="s">
        <v>3020</v>
      </c>
      <c r="G22" s="304">
        <v>199</v>
      </c>
      <c r="H22" s="304">
        <v>0</v>
      </c>
      <c r="I22" s="307" t="s">
        <v>2358</v>
      </c>
      <c r="J22" s="305">
        <v>45486</v>
      </c>
    </row>
    <row r="23" spans="1:10">
      <c r="A23" s="304" t="s">
        <v>2817</v>
      </c>
      <c r="B23" s="305">
        <v>45486</v>
      </c>
      <c r="C23" s="304">
        <v>1.6590652100000001</v>
      </c>
      <c r="D23" s="304" t="s">
        <v>3021</v>
      </c>
      <c r="E23" s="304">
        <v>563831216</v>
      </c>
      <c r="F23" s="306" t="s">
        <v>3022</v>
      </c>
      <c r="G23" s="304">
        <v>199</v>
      </c>
      <c r="H23" s="304">
        <v>0</v>
      </c>
      <c r="I23" s="307" t="s">
        <v>2358</v>
      </c>
      <c r="J23" s="305">
        <v>45487</v>
      </c>
    </row>
    <row r="24" spans="1:10">
      <c r="A24" s="304" t="s">
        <v>2817</v>
      </c>
      <c r="B24" s="305">
        <v>45486</v>
      </c>
      <c r="C24" s="304">
        <v>1.6590698399999999</v>
      </c>
      <c r="D24" s="304" t="s">
        <v>3023</v>
      </c>
      <c r="E24" s="304">
        <v>561249313</v>
      </c>
      <c r="F24" s="306" t="s">
        <v>1040</v>
      </c>
      <c r="G24" s="304">
        <v>199</v>
      </c>
      <c r="H24" s="304">
        <v>0</v>
      </c>
      <c r="I24" s="307" t="s">
        <v>2358</v>
      </c>
      <c r="J24" s="305">
        <v>45486</v>
      </c>
    </row>
    <row r="25" spans="1:10">
      <c r="A25" s="304" t="s">
        <v>2817</v>
      </c>
      <c r="B25" s="305">
        <v>45486</v>
      </c>
      <c r="C25" s="304">
        <v>1.6590799300000001</v>
      </c>
      <c r="D25" s="304" t="s">
        <v>3024</v>
      </c>
      <c r="E25" s="304">
        <v>529756628</v>
      </c>
      <c r="F25" s="306" t="s">
        <v>3025</v>
      </c>
      <c r="G25" s="304">
        <v>199</v>
      </c>
      <c r="H25" s="304">
        <v>0</v>
      </c>
      <c r="I25" s="307" t="s">
        <v>2358</v>
      </c>
      <c r="J25" s="305">
        <v>45487</v>
      </c>
    </row>
    <row r="26" spans="1:10">
      <c r="A26" s="304" t="s">
        <v>2817</v>
      </c>
      <c r="B26" s="305">
        <v>45488</v>
      </c>
      <c r="C26" s="304">
        <v>1.6593815300000001</v>
      </c>
      <c r="D26" s="304" t="s">
        <v>3026</v>
      </c>
      <c r="E26" s="304">
        <v>509833840</v>
      </c>
      <c r="F26" s="306" t="s">
        <v>3027</v>
      </c>
      <c r="G26" s="304">
        <v>199</v>
      </c>
      <c r="H26" s="304">
        <v>0</v>
      </c>
      <c r="I26" s="307" t="s">
        <v>2358</v>
      </c>
      <c r="J26" s="305">
        <v>45488</v>
      </c>
    </row>
    <row r="27" spans="1:10">
      <c r="A27" s="304" t="s">
        <v>2817</v>
      </c>
      <c r="B27" s="305">
        <v>45488</v>
      </c>
      <c r="C27" s="304">
        <v>1.6593819999999999</v>
      </c>
      <c r="D27" s="304" t="s">
        <v>3028</v>
      </c>
      <c r="E27" s="304">
        <v>524330461</v>
      </c>
      <c r="F27" s="306" t="s">
        <v>3029</v>
      </c>
      <c r="G27" s="304">
        <v>199</v>
      </c>
      <c r="H27" s="304">
        <v>0</v>
      </c>
      <c r="I27" s="307" t="s">
        <v>2358</v>
      </c>
      <c r="J27" s="305">
        <v>45488</v>
      </c>
    </row>
    <row r="28" spans="1:10">
      <c r="A28" s="304" t="s">
        <v>2817</v>
      </c>
      <c r="B28" s="305">
        <v>45490</v>
      </c>
      <c r="C28" s="304">
        <v>1.659796</v>
      </c>
      <c r="D28" s="304" t="s">
        <v>3030</v>
      </c>
      <c r="E28" s="304">
        <v>582090871</v>
      </c>
      <c r="F28" s="306" t="s">
        <v>3031</v>
      </c>
      <c r="G28" s="304">
        <v>199</v>
      </c>
      <c r="H28" s="304">
        <v>0</v>
      </c>
      <c r="I28" s="307" t="s">
        <v>2358</v>
      </c>
      <c r="J28" s="305">
        <v>45490</v>
      </c>
    </row>
    <row r="29" spans="1:10">
      <c r="A29" s="304" t="s">
        <v>2817</v>
      </c>
      <c r="B29" s="305">
        <v>45490</v>
      </c>
      <c r="C29" s="304">
        <v>1.6598587899999999</v>
      </c>
      <c r="D29" s="304" t="s">
        <v>3032</v>
      </c>
      <c r="E29" s="304">
        <v>564880933</v>
      </c>
      <c r="F29" s="306" t="s">
        <v>3033</v>
      </c>
      <c r="G29" s="304">
        <v>199</v>
      </c>
      <c r="H29" s="304">
        <v>0</v>
      </c>
      <c r="I29" s="307" t="s">
        <v>2358</v>
      </c>
      <c r="J29" s="305">
        <v>45491</v>
      </c>
    </row>
    <row r="30" spans="1:10">
      <c r="A30" s="304" t="s">
        <v>2817</v>
      </c>
      <c r="B30" s="305">
        <v>45491</v>
      </c>
      <c r="C30" s="304">
        <v>1.6599325199999999</v>
      </c>
      <c r="D30" s="304" t="s">
        <v>3034</v>
      </c>
      <c r="E30" s="304">
        <v>504776962</v>
      </c>
      <c r="F30" s="306" t="s">
        <v>3035</v>
      </c>
      <c r="G30" s="304">
        <v>199</v>
      </c>
      <c r="H30" s="304">
        <v>0</v>
      </c>
      <c r="I30" s="307" t="s">
        <v>2358</v>
      </c>
      <c r="J30" s="305">
        <v>45491</v>
      </c>
    </row>
    <row r="31" spans="1:10">
      <c r="A31" s="304" t="s">
        <v>2817</v>
      </c>
      <c r="B31" s="305">
        <v>45491</v>
      </c>
      <c r="C31" s="304">
        <v>1.6600006</v>
      </c>
      <c r="D31" s="304" t="s">
        <v>3036</v>
      </c>
      <c r="E31" s="304">
        <v>507101819</v>
      </c>
      <c r="F31" s="306" t="s">
        <v>3037</v>
      </c>
      <c r="G31" s="304">
        <v>199</v>
      </c>
      <c r="H31" s="304">
        <v>0</v>
      </c>
      <c r="I31" s="307" t="s">
        <v>2358</v>
      </c>
      <c r="J31" s="305">
        <v>45492</v>
      </c>
    </row>
    <row r="32" spans="1:10">
      <c r="A32" s="304" t="s">
        <v>2817</v>
      </c>
      <c r="B32" s="305">
        <v>45491</v>
      </c>
      <c r="C32" s="304">
        <v>1.61172636</v>
      </c>
      <c r="D32" s="304" t="s">
        <v>3038</v>
      </c>
      <c r="E32" s="304">
        <v>566452501</v>
      </c>
      <c r="F32" s="306" t="s">
        <v>3039</v>
      </c>
      <c r="G32" s="304">
        <v>199</v>
      </c>
      <c r="H32" s="304">
        <v>0</v>
      </c>
      <c r="I32" s="307" t="s">
        <v>2358</v>
      </c>
      <c r="J32" s="305">
        <v>45493</v>
      </c>
    </row>
    <row r="33" spans="1:11">
      <c r="A33" s="304" t="s">
        <v>2817</v>
      </c>
      <c r="B33" s="305">
        <v>45494</v>
      </c>
      <c r="C33" s="304">
        <v>1.6605516199999999</v>
      </c>
      <c r="D33" s="304" t="s">
        <v>3040</v>
      </c>
      <c r="E33" s="304">
        <v>569502539</v>
      </c>
      <c r="F33" s="306" t="s">
        <v>3041</v>
      </c>
      <c r="G33" s="304">
        <v>299</v>
      </c>
      <c r="H33" s="304">
        <v>0</v>
      </c>
      <c r="I33" s="307" t="s">
        <v>2358</v>
      </c>
      <c r="J33" s="305">
        <v>45495</v>
      </c>
    </row>
    <row r="34" spans="1:11">
      <c r="A34" s="304" t="s">
        <v>2817</v>
      </c>
      <c r="B34" s="305">
        <v>45494</v>
      </c>
      <c r="C34" s="304">
        <v>1.59162103</v>
      </c>
      <c r="D34" s="304" t="s">
        <v>3042</v>
      </c>
      <c r="E34" s="304">
        <v>556229360</v>
      </c>
      <c r="F34" s="306" t="s">
        <v>3043</v>
      </c>
      <c r="G34" s="304">
        <v>199</v>
      </c>
      <c r="H34" s="304">
        <v>0</v>
      </c>
      <c r="I34" s="307" t="s">
        <v>2358</v>
      </c>
      <c r="J34" s="305">
        <v>45495</v>
      </c>
    </row>
    <row r="35" spans="1:11">
      <c r="A35" s="304" t="s">
        <v>2817</v>
      </c>
      <c r="B35" s="305">
        <v>45496</v>
      </c>
      <c r="C35" s="304">
        <v>1.66093406</v>
      </c>
      <c r="D35" s="304" t="s">
        <v>3044</v>
      </c>
      <c r="E35" s="304">
        <v>529700134</v>
      </c>
      <c r="F35" s="306" t="s">
        <v>3045</v>
      </c>
      <c r="G35" s="304">
        <v>199</v>
      </c>
      <c r="H35" s="304"/>
      <c r="I35" s="307" t="s">
        <v>2358</v>
      </c>
      <c r="J35" s="305">
        <v>45496</v>
      </c>
    </row>
    <row r="36" spans="1:11">
      <c r="A36" s="304"/>
      <c r="B36" s="305"/>
      <c r="C36" s="304"/>
      <c r="D36" s="304" t="s">
        <v>3046</v>
      </c>
      <c r="E36" s="304"/>
      <c r="F36" s="309" t="s">
        <v>3047</v>
      </c>
      <c r="G36" s="304">
        <v>199</v>
      </c>
      <c r="H36" s="304"/>
      <c r="I36" s="307" t="s">
        <v>2358</v>
      </c>
      <c r="J36" s="305"/>
      <c r="K36" t="s">
        <v>3067</v>
      </c>
    </row>
    <row r="37" spans="1:11">
      <c r="A37" s="304" t="s">
        <v>2817</v>
      </c>
      <c r="B37" s="305" t="s">
        <v>3048</v>
      </c>
      <c r="C37" s="304">
        <v>1.66171026</v>
      </c>
      <c r="D37" s="304" t="s">
        <v>3049</v>
      </c>
      <c r="E37" s="304">
        <v>503497709</v>
      </c>
      <c r="F37" s="306" t="s">
        <v>3050</v>
      </c>
      <c r="G37" s="304">
        <v>199</v>
      </c>
      <c r="H37" s="304"/>
      <c r="I37" s="307" t="s">
        <v>2358</v>
      </c>
      <c r="J37" s="305">
        <v>45500</v>
      </c>
    </row>
    <row r="38" spans="1:11">
      <c r="A38" s="304" t="s">
        <v>2817</v>
      </c>
      <c r="B38" s="305">
        <v>45502</v>
      </c>
      <c r="C38" s="304">
        <v>1.66211902</v>
      </c>
      <c r="D38" s="304" t="s">
        <v>3051</v>
      </c>
      <c r="E38" s="304">
        <v>525334045</v>
      </c>
      <c r="F38" s="306" t="s">
        <v>3052</v>
      </c>
      <c r="G38" s="304">
        <v>199</v>
      </c>
      <c r="H38" s="304"/>
      <c r="I38" s="307" t="s">
        <v>2358</v>
      </c>
      <c r="J38" s="305">
        <v>45503</v>
      </c>
    </row>
    <row r="39" spans="1:11" ht="23">
      <c r="A39" s="304" t="s">
        <v>2817</v>
      </c>
      <c r="B39" s="310">
        <v>45504</v>
      </c>
      <c r="C39" s="304">
        <v>1.6624139499999999</v>
      </c>
      <c r="D39" s="311" t="s">
        <v>3053</v>
      </c>
      <c r="E39" s="311">
        <v>504425015</v>
      </c>
      <c r="F39" s="312" t="s">
        <v>3054</v>
      </c>
      <c r="G39" s="312">
        <v>199</v>
      </c>
      <c r="H39" s="304"/>
      <c r="I39" s="307" t="s">
        <v>2358</v>
      </c>
      <c r="J39" s="305">
        <v>45504</v>
      </c>
    </row>
    <row r="40" spans="1:11" ht="23">
      <c r="A40" s="304" t="s">
        <v>2817</v>
      </c>
      <c r="B40" s="310">
        <v>45504</v>
      </c>
      <c r="C40" s="304">
        <v>1.1603809199999999</v>
      </c>
      <c r="D40" s="311" t="s">
        <v>3055</v>
      </c>
      <c r="E40" s="311">
        <v>555650221</v>
      </c>
      <c r="F40" s="312" t="s">
        <v>3056</v>
      </c>
      <c r="G40" s="312">
        <v>199</v>
      </c>
      <c r="H40" s="304"/>
      <c r="I40" s="307" t="s">
        <v>2358</v>
      </c>
      <c r="J40" s="305">
        <v>45504</v>
      </c>
    </row>
    <row r="41" spans="1:11" ht="23">
      <c r="A41" s="304" t="s">
        <v>2817</v>
      </c>
      <c r="B41" s="310">
        <v>45504</v>
      </c>
      <c r="C41" s="304">
        <v>1.57833219</v>
      </c>
      <c r="D41" s="311" t="s">
        <v>3057</v>
      </c>
      <c r="E41" s="311">
        <v>557161556</v>
      </c>
      <c r="F41" s="312" t="s">
        <v>3058</v>
      </c>
      <c r="G41" s="312">
        <v>199</v>
      </c>
      <c r="H41" s="304"/>
      <c r="I41" s="307" t="s">
        <v>2358</v>
      </c>
      <c r="J41" s="305">
        <v>45504</v>
      </c>
    </row>
    <row r="42" spans="1:11" ht="23">
      <c r="A42" s="304" t="s">
        <v>2817</v>
      </c>
      <c r="B42" s="310">
        <v>45504</v>
      </c>
      <c r="C42" s="304" t="e">
        <v>#N/A</v>
      </c>
      <c r="D42" s="311" t="s">
        <v>3059</v>
      </c>
      <c r="E42" s="311">
        <v>509693304</v>
      </c>
      <c r="F42" s="313" t="s">
        <v>3060</v>
      </c>
      <c r="G42" s="312">
        <v>199</v>
      </c>
      <c r="H42" s="304"/>
      <c r="I42" s="304" t="s">
        <v>2358</v>
      </c>
      <c r="J42" s="305" t="e">
        <v>#N/A</v>
      </c>
    </row>
    <row r="43" spans="1:11" ht="23">
      <c r="A43" s="304" t="s">
        <v>2817</v>
      </c>
      <c r="B43" s="310">
        <v>45504</v>
      </c>
      <c r="C43" s="304" t="e">
        <v>#N/A</v>
      </c>
      <c r="D43" s="311" t="s">
        <v>3061</v>
      </c>
      <c r="E43" s="311">
        <v>562955144</v>
      </c>
      <c r="F43" s="313" t="s">
        <v>3062</v>
      </c>
      <c r="G43" s="312">
        <v>199</v>
      </c>
      <c r="H43" s="304"/>
      <c r="I43" s="304" t="s">
        <v>2358</v>
      </c>
      <c r="J43" s="305" t="e">
        <v>#N/A</v>
      </c>
    </row>
    <row r="44" spans="1:11" ht="23">
      <c r="A44" s="304" t="s">
        <v>2817</v>
      </c>
      <c r="B44" s="310">
        <v>45504</v>
      </c>
      <c r="C44" s="304" t="e">
        <v>#N/A</v>
      </c>
      <c r="D44" s="311" t="s">
        <v>3063</v>
      </c>
      <c r="E44" s="311">
        <v>508633028</v>
      </c>
      <c r="F44" s="313" t="s">
        <v>3064</v>
      </c>
      <c r="G44" s="312">
        <v>199</v>
      </c>
      <c r="H44" s="304"/>
      <c r="I44" s="304" t="s">
        <v>2358</v>
      </c>
      <c r="J44" s="305" t="e">
        <v>#N/A</v>
      </c>
    </row>
    <row r="45" spans="1:11" ht="23">
      <c r="D45" s="314" t="s">
        <v>3065</v>
      </c>
      <c r="E45" s="314"/>
      <c r="F45" s="315" t="s">
        <v>3066</v>
      </c>
      <c r="G45" s="316">
        <v>199</v>
      </c>
      <c r="I45" s="317" t="s">
        <v>2358</v>
      </c>
    </row>
  </sheetData>
  <conditionalFormatting sqref="C39:C44 C1:E38">
    <cfRule type="duplicateValues" dxfId="390" priority="2"/>
  </conditionalFormatting>
  <conditionalFormatting sqref="D45:E45 C1:E44">
    <cfRule type="duplicateValues" dxfId="389" priority="1"/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42"/>
  <sheetViews>
    <sheetView topLeftCell="A23" workbookViewId="0">
      <selection activeCell="B4" sqref="B4:I42"/>
    </sheetView>
  </sheetViews>
  <sheetFormatPr defaultRowHeight="14.5"/>
  <cols>
    <col min="1" max="1" width="13.7265625" bestFit="1" customWidth="1"/>
    <col min="2" max="2" width="10.7265625" bestFit="1" customWidth="1"/>
    <col min="3" max="3" width="11" bestFit="1" customWidth="1"/>
    <col min="4" max="4" width="14.26953125" bestFit="1" customWidth="1"/>
    <col min="5" max="5" width="14" bestFit="1" customWidth="1"/>
    <col min="6" max="6" width="30.453125" bestFit="1" customWidth="1"/>
    <col min="7" max="7" width="5.7265625" bestFit="1" customWidth="1"/>
    <col min="9" max="9" width="10.81640625" bestFit="1" customWidth="1"/>
  </cols>
  <sheetData>
    <row r="1" spans="1:9">
      <c r="A1" s="318" t="s">
        <v>1739</v>
      </c>
      <c r="B1" s="319" t="s">
        <v>1740</v>
      </c>
      <c r="C1" s="318" t="s">
        <v>1918</v>
      </c>
      <c r="D1" s="318" t="s">
        <v>2635</v>
      </c>
      <c r="E1" s="318" t="s">
        <v>2636</v>
      </c>
      <c r="F1" s="320" t="s">
        <v>2908</v>
      </c>
      <c r="G1" s="318" t="s">
        <v>2909</v>
      </c>
      <c r="H1" s="321" t="s">
        <v>2815</v>
      </c>
      <c r="I1" s="318" t="s">
        <v>2069</v>
      </c>
    </row>
    <row r="2" spans="1:9">
      <c r="A2" s="304" t="s">
        <v>2817</v>
      </c>
      <c r="B2" s="310">
        <v>45504</v>
      </c>
      <c r="C2" s="322" t="e">
        <v>#N/A</v>
      </c>
      <c r="D2" s="338"/>
      <c r="E2" s="323" t="s">
        <v>3065</v>
      </c>
      <c r="F2" s="315" t="s">
        <v>3066</v>
      </c>
      <c r="G2" s="324">
        <v>199</v>
      </c>
      <c r="I2" s="317" t="s">
        <v>2358</v>
      </c>
    </row>
    <row r="3" spans="1:9">
      <c r="A3" s="304" t="s">
        <v>2817</v>
      </c>
      <c r="B3" s="310">
        <v>45504</v>
      </c>
      <c r="C3" s="322" t="e">
        <v>#N/A</v>
      </c>
      <c r="D3" s="322"/>
      <c r="E3" s="322" t="s">
        <v>3046</v>
      </c>
      <c r="F3" s="309" t="s">
        <v>3047</v>
      </c>
      <c r="G3" s="322">
        <v>199</v>
      </c>
      <c r="H3" s="325"/>
      <c r="I3" s="307" t="s">
        <v>2358</v>
      </c>
    </row>
    <row r="4" spans="1:9">
      <c r="A4" t="s">
        <v>2817</v>
      </c>
      <c r="B4" s="326">
        <v>45504</v>
      </c>
      <c r="C4" s="153">
        <v>1.66247688</v>
      </c>
      <c r="D4" s="153">
        <v>509693304</v>
      </c>
      <c r="E4" s="153" t="s">
        <v>3059</v>
      </c>
      <c r="F4" s="327" t="s">
        <v>3060</v>
      </c>
      <c r="G4" s="153">
        <v>199</v>
      </c>
      <c r="I4" t="s">
        <v>1589</v>
      </c>
    </row>
    <row r="5" spans="1:9">
      <c r="A5" t="s">
        <v>2817</v>
      </c>
      <c r="B5" s="326">
        <v>45504</v>
      </c>
      <c r="C5" s="153">
        <v>1.662479</v>
      </c>
      <c r="D5" s="153">
        <v>562955144</v>
      </c>
      <c r="E5" s="153" t="s">
        <v>3061</v>
      </c>
      <c r="F5" s="327" t="s">
        <v>3062</v>
      </c>
      <c r="G5" s="153">
        <v>199</v>
      </c>
      <c r="I5" t="s">
        <v>1589</v>
      </c>
    </row>
    <row r="6" spans="1:9">
      <c r="A6" t="s">
        <v>2817</v>
      </c>
      <c r="B6" s="326">
        <v>45504</v>
      </c>
      <c r="C6" s="153">
        <v>1.6624966999999999</v>
      </c>
      <c r="D6" s="153">
        <v>508633028</v>
      </c>
      <c r="E6" s="153" t="s">
        <v>3063</v>
      </c>
      <c r="F6" s="327" t="s">
        <v>3064</v>
      </c>
      <c r="G6" s="153">
        <v>199</v>
      </c>
      <c r="I6" t="s">
        <v>1589</v>
      </c>
    </row>
    <row r="7" spans="1:9">
      <c r="A7" t="s">
        <v>2817</v>
      </c>
      <c r="B7" s="326">
        <v>45507</v>
      </c>
      <c r="C7" s="153">
        <v>1.66310673</v>
      </c>
      <c r="D7" s="153">
        <v>553887709</v>
      </c>
      <c r="E7" s="153" t="s">
        <v>3068</v>
      </c>
      <c r="F7" s="327" t="s">
        <v>3069</v>
      </c>
      <c r="G7" s="153">
        <v>199</v>
      </c>
      <c r="I7" t="s">
        <v>1589</v>
      </c>
    </row>
    <row r="8" spans="1:9">
      <c r="A8" t="s">
        <v>2817</v>
      </c>
      <c r="B8" s="326">
        <v>45508</v>
      </c>
      <c r="C8" s="153">
        <v>1.66321937</v>
      </c>
      <c r="D8" s="153">
        <v>566084122</v>
      </c>
      <c r="E8" s="153" t="s">
        <v>3070</v>
      </c>
      <c r="F8" s="327" t="s">
        <v>3071</v>
      </c>
      <c r="G8" s="153">
        <v>199</v>
      </c>
      <c r="I8" t="s">
        <v>1589</v>
      </c>
    </row>
    <row r="9" spans="1:9">
      <c r="A9" t="s">
        <v>2817</v>
      </c>
      <c r="B9" s="326">
        <v>45508</v>
      </c>
      <c r="C9" s="153">
        <v>1.66331736</v>
      </c>
      <c r="D9" s="153">
        <v>505388682</v>
      </c>
      <c r="E9" s="153" t="s">
        <v>3072</v>
      </c>
      <c r="F9" s="327" t="s">
        <v>3073</v>
      </c>
      <c r="G9" s="153">
        <v>199</v>
      </c>
      <c r="I9" t="s">
        <v>1589</v>
      </c>
    </row>
    <row r="10" spans="1:9">
      <c r="A10" t="s">
        <v>2817</v>
      </c>
      <c r="B10" s="326">
        <v>45509</v>
      </c>
      <c r="C10" s="153">
        <v>1.66344172</v>
      </c>
      <c r="D10" s="153">
        <v>508055277</v>
      </c>
      <c r="E10" s="153" t="s">
        <v>3074</v>
      </c>
      <c r="F10" s="327" t="s">
        <v>3075</v>
      </c>
      <c r="G10" s="153">
        <v>199</v>
      </c>
      <c r="I10" t="s">
        <v>1589</v>
      </c>
    </row>
    <row r="11" spans="1:9">
      <c r="A11" t="s">
        <v>2817</v>
      </c>
      <c r="B11" s="326">
        <v>45511</v>
      </c>
      <c r="C11" s="153">
        <v>1.4914759900000001</v>
      </c>
      <c r="D11" s="153">
        <v>547211156</v>
      </c>
      <c r="E11" s="153" t="s">
        <v>3076</v>
      </c>
      <c r="F11" s="327" t="s">
        <v>3077</v>
      </c>
      <c r="G11" s="153">
        <v>199</v>
      </c>
      <c r="I11" t="s">
        <v>1589</v>
      </c>
    </row>
    <row r="12" spans="1:9">
      <c r="A12" t="s">
        <v>2817</v>
      </c>
      <c r="B12" s="326">
        <v>45516</v>
      </c>
      <c r="C12" s="153">
        <v>1.66482894</v>
      </c>
      <c r="D12" s="153">
        <v>502304560</v>
      </c>
      <c r="E12" s="153" t="s">
        <v>3078</v>
      </c>
      <c r="F12" s="327" t="s">
        <v>3079</v>
      </c>
      <c r="G12" s="153">
        <v>199</v>
      </c>
      <c r="I12" t="s">
        <v>1589</v>
      </c>
    </row>
    <row r="13" spans="1:9">
      <c r="A13" t="s">
        <v>2817</v>
      </c>
      <c r="B13" s="326">
        <v>45517</v>
      </c>
      <c r="C13" s="153">
        <v>1.16268116</v>
      </c>
      <c r="D13" s="153">
        <v>503813500</v>
      </c>
      <c r="E13" s="153" t="s">
        <v>3080</v>
      </c>
      <c r="F13" s="327" t="s">
        <v>3081</v>
      </c>
      <c r="G13" s="153">
        <v>199</v>
      </c>
      <c r="I13" t="s">
        <v>1589</v>
      </c>
    </row>
    <row r="14" spans="1:9">
      <c r="A14" t="s">
        <v>2817</v>
      </c>
      <c r="B14" s="326">
        <v>45518</v>
      </c>
      <c r="C14" s="153">
        <v>1.6652219800000001</v>
      </c>
      <c r="D14" s="153">
        <v>545399577</v>
      </c>
      <c r="E14" s="153" t="s">
        <v>3082</v>
      </c>
      <c r="F14" s="328" t="s">
        <v>3083</v>
      </c>
      <c r="G14" s="153">
        <v>199</v>
      </c>
      <c r="I14" t="s">
        <v>3084</v>
      </c>
    </row>
    <row r="15" spans="1:9">
      <c r="A15" t="s">
        <v>2817</v>
      </c>
      <c r="B15" s="326">
        <v>45518</v>
      </c>
      <c r="C15" s="153">
        <v>1.65768786</v>
      </c>
      <c r="D15" s="153">
        <v>555972128</v>
      </c>
      <c r="E15" s="153" t="s">
        <v>3085</v>
      </c>
      <c r="F15" s="327" t="s">
        <v>3086</v>
      </c>
      <c r="G15" s="153">
        <v>199</v>
      </c>
      <c r="I15" t="s">
        <v>1589</v>
      </c>
    </row>
    <row r="16" spans="1:9">
      <c r="A16" t="s">
        <v>2817</v>
      </c>
      <c r="B16" s="326">
        <v>45519</v>
      </c>
      <c r="C16" s="153">
        <v>1.6653859099999999</v>
      </c>
      <c r="D16" s="153">
        <v>508461203</v>
      </c>
      <c r="E16" s="153" t="s">
        <v>3087</v>
      </c>
      <c r="F16" s="327" t="s">
        <v>3088</v>
      </c>
      <c r="G16" s="153">
        <v>199</v>
      </c>
      <c r="I16" t="s">
        <v>1589</v>
      </c>
    </row>
    <row r="17" spans="1:9">
      <c r="A17" t="s">
        <v>2817</v>
      </c>
      <c r="B17" s="326">
        <v>45520</v>
      </c>
      <c r="C17" s="153">
        <v>1.2489563699999999</v>
      </c>
      <c r="D17" s="153">
        <v>509602177</v>
      </c>
      <c r="E17" s="153" t="s">
        <v>3089</v>
      </c>
      <c r="F17" s="327" t="s">
        <v>3090</v>
      </c>
      <c r="G17" s="153">
        <v>199</v>
      </c>
      <c r="I17" t="s">
        <v>1589</v>
      </c>
    </row>
    <row r="18" spans="1:9">
      <c r="A18" t="s">
        <v>2817</v>
      </c>
      <c r="B18" s="326">
        <v>45521</v>
      </c>
      <c r="C18" s="153">
        <v>1.40884656</v>
      </c>
      <c r="D18" s="153">
        <v>552186678</v>
      </c>
      <c r="E18" s="153" t="s">
        <v>3091</v>
      </c>
      <c r="F18" s="327" t="s">
        <v>3092</v>
      </c>
      <c r="G18" s="153">
        <v>199</v>
      </c>
      <c r="I18" t="s">
        <v>1589</v>
      </c>
    </row>
    <row r="19" spans="1:9">
      <c r="A19" t="s">
        <v>2817</v>
      </c>
      <c r="B19" s="326">
        <v>45524</v>
      </c>
      <c r="C19" s="153">
        <v>1.6662665999999999</v>
      </c>
      <c r="D19" s="153">
        <v>562006763</v>
      </c>
      <c r="E19" s="153" t="s">
        <v>3093</v>
      </c>
      <c r="F19" s="327" t="s">
        <v>3094</v>
      </c>
      <c r="G19" s="153">
        <v>199</v>
      </c>
      <c r="I19" t="s">
        <v>1589</v>
      </c>
    </row>
    <row r="20" spans="1:9">
      <c r="A20" t="s">
        <v>2817</v>
      </c>
      <c r="B20" s="326">
        <v>45524</v>
      </c>
      <c r="C20" s="153">
        <v>1.24895877</v>
      </c>
      <c r="D20" s="153">
        <v>558016022</v>
      </c>
      <c r="E20" s="153" t="s">
        <v>3095</v>
      </c>
      <c r="F20" s="328" t="s">
        <v>3096</v>
      </c>
      <c r="G20" s="153">
        <v>199</v>
      </c>
      <c r="I20" t="s">
        <v>3084</v>
      </c>
    </row>
    <row r="21" spans="1:9">
      <c r="A21" t="s">
        <v>2817</v>
      </c>
      <c r="B21" s="326">
        <v>45524</v>
      </c>
      <c r="C21" s="153">
        <v>1.66629574</v>
      </c>
      <c r="D21" s="153">
        <v>505449662</v>
      </c>
      <c r="E21" s="153" t="s">
        <v>3097</v>
      </c>
      <c r="F21" s="327" t="s">
        <v>3098</v>
      </c>
      <c r="G21" s="153">
        <v>199</v>
      </c>
      <c r="I21" t="s">
        <v>1589</v>
      </c>
    </row>
    <row r="22" spans="1:9">
      <c r="A22" t="s">
        <v>2817</v>
      </c>
      <c r="B22" s="326" t="s">
        <v>3099</v>
      </c>
      <c r="C22" s="153">
        <v>1.4249535499999999</v>
      </c>
      <c r="D22" s="153">
        <v>585868296</v>
      </c>
      <c r="E22" s="153" t="s">
        <v>3100</v>
      </c>
      <c r="F22" s="328" t="s">
        <v>3101</v>
      </c>
      <c r="G22" s="153">
        <v>199</v>
      </c>
      <c r="H22" t="s">
        <v>3102</v>
      </c>
      <c r="I22" t="s">
        <v>3084</v>
      </c>
    </row>
    <row r="23" spans="1:9">
      <c r="A23" t="s">
        <v>2817</v>
      </c>
      <c r="B23" s="326" t="s">
        <v>3099</v>
      </c>
      <c r="C23" s="153">
        <v>1.57640815</v>
      </c>
      <c r="D23" s="153">
        <v>544939362</v>
      </c>
      <c r="E23" s="153" t="s">
        <v>3103</v>
      </c>
      <c r="F23" s="327" t="s">
        <v>3104</v>
      </c>
      <c r="G23" s="153">
        <v>199</v>
      </c>
      <c r="H23" t="s">
        <v>3102</v>
      </c>
      <c r="I23" t="s">
        <v>1589</v>
      </c>
    </row>
    <row r="24" spans="1:9">
      <c r="A24" t="s">
        <v>2817</v>
      </c>
      <c r="B24" s="326" t="s">
        <v>3105</v>
      </c>
      <c r="C24" s="153">
        <v>1.4276587199999999</v>
      </c>
      <c r="D24" s="153">
        <v>547777766</v>
      </c>
      <c r="E24" s="153" t="s">
        <v>3106</v>
      </c>
      <c r="F24" s="328" t="s">
        <v>3107</v>
      </c>
      <c r="G24" s="153">
        <v>299</v>
      </c>
      <c r="I24" t="s">
        <v>3084</v>
      </c>
    </row>
    <row r="25" spans="1:9">
      <c r="A25" t="s">
        <v>2817</v>
      </c>
      <c r="B25" s="326" t="s">
        <v>3105</v>
      </c>
      <c r="C25" s="153">
        <v>1.3578639699999999</v>
      </c>
      <c r="D25" s="153">
        <v>589201925</v>
      </c>
      <c r="E25" s="153" t="s">
        <v>3108</v>
      </c>
      <c r="F25" s="327" t="s">
        <v>3109</v>
      </c>
      <c r="G25" s="153">
        <v>199</v>
      </c>
      <c r="H25" t="s">
        <v>3102</v>
      </c>
      <c r="I25" t="s">
        <v>1589</v>
      </c>
    </row>
    <row r="26" spans="1:9">
      <c r="A26" t="s">
        <v>2817</v>
      </c>
      <c r="B26" s="326" t="s">
        <v>3110</v>
      </c>
      <c r="C26" s="153">
        <v>1.6667297999999999</v>
      </c>
      <c r="D26" s="153">
        <v>559421662</v>
      </c>
      <c r="E26" s="153" t="s">
        <v>3111</v>
      </c>
      <c r="F26" s="327" t="s">
        <v>3112</v>
      </c>
      <c r="G26" s="153">
        <v>199</v>
      </c>
      <c r="H26" t="s">
        <v>3102</v>
      </c>
      <c r="I26" t="s">
        <v>1589</v>
      </c>
    </row>
    <row r="27" spans="1:9">
      <c r="A27" t="s">
        <v>2817</v>
      </c>
      <c r="B27" s="326" t="s">
        <v>3110</v>
      </c>
      <c r="C27" s="153">
        <v>1.6097545499999999</v>
      </c>
      <c r="D27" s="153">
        <v>525273458</v>
      </c>
      <c r="E27" s="153" t="s">
        <v>3113</v>
      </c>
      <c r="F27" s="327" t="s">
        <v>3114</v>
      </c>
      <c r="G27" s="153">
        <v>199</v>
      </c>
      <c r="I27" t="s">
        <v>1589</v>
      </c>
    </row>
    <row r="28" spans="1:9">
      <c r="A28" t="s">
        <v>2817</v>
      </c>
      <c r="B28" s="326" t="s">
        <v>3110</v>
      </c>
      <c r="C28" s="153">
        <v>1.6668202599999999</v>
      </c>
      <c r="D28" s="153">
        <v>522447433</v>
      </c>
      <c r="E28" s="153" t="s">
        <v>3115</v>
      </c>
      <c r="F28" s="328" t="s">
        <v>3116</v>
      </c>
      <c r="G28" s="153">
        <v>199</v>
      </c>
      <c r="I28" t="s">
        <v>3084</v>
      </c>
    </row>
    <row r="29" spans="1:9">
      <c r="A29" t="s">
        <v>2817</v>
      </c>
      <c r="B29" s="326" t="s">
        <v>3117</v>
      </c>
      <c r="C29" s="153">
        <v>1.6668202599999999</v>
      </c>
      <c r="D29" s="153">
        <v>522447433</v>
      </c>
      <c r="E29" s="153" t="s">
        <v>3118</v>
      </c>
      <c r="F29" s="328" t="s">
        <v>3119</v>
      </c>
      <c r="G29" s="153">
        <v>199</v>
      </c>
      <c r="H29" t="s">
        <v>3120</v>
      </c>
      <c r="I29" t="s">
        <v>3084</v>
      </c>
    </row>
    <row r="30" spans="1:9">
      <c r="A30" t="s">
        <v>2817</v>
      </c>
      <c r="B30" s="326" t="s">
        <v>3117</v>
      </c>
      <c r="C30" s="153">
        <v>1.40804412</v>
      </c>
      <c r="D30" s="153">
        <v>524086618</v>
      </c>
      <c r="E30" s="153" t="s">
        <v>3121</v>
      </c>
      <c r="F30" s="327" t="s">
        <v>3122</v>
      </c>
      <c r="G30" s="153">
        <v>199</v>
      </c>
      <c r="H30" t="s">
        <v>3102</v>
      </c>
      <c r="I30" t="s">
        <v>1589</v>
      </c>
    </row>
    <row r="31" spans="1:9">
      <c r="A31" t="s">
        <v>2817</v>
      </c>
      <c r="B31" s="326" t="s">
        <v>3123</v>
      </c>
      <c r="C31" s="153">
        <v>1.6672241699999999</v>
      </c>
      <c r="D31" s="153">
        <v>528310607</v>
      </c>
      <c r="E31" s="153" t="s">
        <v>3124</v>
      </c>
      <c r="F31" s="327" t="s">
        <v>3125</v>
      </c>
      <c r="G31" s="153">
        <v>199</v>
      </c>
      <c r="I31" t="s">
        <v>1589</v>
      </c>
    </row>
    <row r="32" spans="1:9">
      <c r="A32" t="s">
        <v>2817</v>
      </c>
      <c r="B32" s="326" t="s">
        <v>3123</v>
      </c>
      <c r="C32" s="153">
        <v>1.6672412299999999</v>
      </c>
      <c r="D32" s="153">
        <v>567125007</v>
      </c>
      <c r="E32" s="153" t="s">
        <v>3126</v>
      </c>
      <c r="F32" s="327" t="s">
        <v>3127</v>
      </c>
      <c r="G32" s="153">
        <v>199</v>
      </c>
      <c r="I32" t="s">
        <v>1589</v>
      </c>
    </row>
    <row r="33" spans="1:9">
      <c r="A33" t="s">
        <v>2817</v>
      </c>
      <c r="B33" s="326" t="s">
        <v>3123</v>
      </c>
      <c r="C33" s="153">
        <v>1.66729196</v>
      </c>
      <c r="D33" s="153">
        <v>561846980</v>
      </c>
      <c r="E33" s="153" t="s">
        <v>3128</v>
      </c>
      <c r="F33" s="328" t="s">
        <v>3129</v>
      </c>
      <c r="G33" s="153">
        <v>199</v>
      </c>
      <c r="I33" t="s">
        <v>1663</v>
      </c>
    </row>
    <row r="34" spans="1:9">
      <c r="A34" t="s">
        <v>2817</v>
      </c>
      <c r="B34" s="326" t="s">
        <v>3123</v>
      </c>
      <c r="C34" s="153">
        <v>1.66729196</v>
      </c>
      <c r="D34" s="153">
        <v>561846980</v>
      </c>
      <c r="E34" s="153" t="s">
        <v>3130</v>
      </c>
      <c r="F34" s="328" t="s">
        <v>3129</v>
      </c>
      <c r="G34" s="153">
        <v>199</v>
      </c>
      <c r="I34" t="s">
        <v>1663</v>
      </c>
    </row>
    <row r="35" spans="1:9">
      <c r="A35" t="s">
        <v>2817</v>
      </c>
      <c r="B35" s="326" t="s">
        <v>3131</v>
      </c>
      <c r="C35" s="153">
        <v>1.66742941</v>
      </c>
      <c r="D35" s="153">
        <v>547261369</v>
      </c>
      <c r="E35" s="153" t="s">
        <v>3132</v>
      </c>
      <c r="F35" s="327" t="s">
        <v>3133</v>
      </c>
      <c r="G35" s="153">
        <v>199</v>
      </c>
      <c r="H35" t="s">
        <v>3102</v>
      </c>
      <c r="I35" t="s">
        <v>1589</v>
      </c>
    </row>
    <row r="36" spans="1:9">
      <c r="A36" t="s">
        <v>2817</v>
      </c>
      <c r="B36" s="326" t="s">
        <v>3131</v>
      </c>
      <c r="C36" s="153">
        <v>1.65475744</v>
      </c>
      <c r="D36" s="153">
        <v>556803052</v>
      </c>
      <c r="E36" s="153" t="s">
        <v>3134</v>
      </c>
      <c r="F36" s="327" t="s">
        <v>2951</v>
      </c>
      <c r="G36" s="153">
        <v>199</v>
      </c>
      <c r="H36" t="s">
        <v>3102</v>
      </c>
      <c r="I36" t="s">
        <v>1589</v>
      </c>
    </row>
    <row r="37" spans="1:9">
      <c r="A37" t="s">
        <v>2817</v>
      </c>
      <c r="B37" s="326" t="s">
        <v>3131</v>
      </c>
      <c r="C37" s="153">
        <v>1.5664111999999999</v>
      </c>
      <c r="D37" s="153">
        <v>525969088</v>
      </c>
      <c r="E37" s="153" t="s">
        <v>3135</v>
      </c>
      <c r="F37" s="327" t="s">
        <v>3136</v>
      </c>
      <c r="G37" s="153">
        <v>199</v>
      </c>
      <c r="H37" t="s">
        <v>3102</v>
      </c>
      <c r="I37" t="s">
        <v>1589</v>
      </c>
    </row>
    <row r="38" spans="1:9">
      <c r="A38" t="s">
        <v>2817</v>
      </c>
      <c r="B38" s="326" t="s">
        <v>3137</v>
      </c>
      <c r="C38" s="153" t="e">
        <v>#N/A</v>
      </c>
      <c r="D38" s="153">
        <v>503657346</v>
      </c>
      <c r="E38" s="153" t="s">
        <v>3138</v>
      </c>
      <c r="F38" s="328" t="s">
        <v>3139</v>
      </c>
      <c r="G38" s="153">
        <v>199</v>
      </c>
      <c r="I38" t="s">
        <v>1663</v>
      </c>
    </row>
    <row r="39" spans="1:9">
      <c r="A39" t="s">
        <v>2817</v>
      </c>
      <c r="B39" s="326" t="s">
        <v>3140</v>
      </c>
      <c r="C39" s="153" t="e">
        <v>#N/A</v>
      </c>
      <c r="D39" s="153">
        <v>501730613</v>
      </c>
      <c r="E39" s="153" t="s">
        <v>3141</v>
      </c>
      <c r="F39" s="328" t="s">
        <v>3142</v>
      </c>
      <c r="G39" s="153">
        <v>199</v>
      </c>
      <c r="I39" t="s">
        <v>1663</v>
      </c>
    </row>
    <row r="40" spans="1:9">
      <c r="A40" t="s">
        <v>2817</v>
      </c>
      <c r="B40" s="326" t="s">
        <v>3140</v>
      </c>
      <c r="C40" s="153" t="e">
        <v>#N/A</v>
      </c>
      <c r="D40" s="153">
        <v>545794788</v>
      </c>
      <c r="E40" s="153" t="s">
        <v>3143</v>
      </c>
      <c r="F40" s="327" t="s">
        <v>3144</v>
      </c>
      <c r="G40" s="153">
        <v>199</v>
      </c>
      <c r="I40" t="s">
        <v>1589</v>
      </c>
    </row>
    <row r="41" spans="1:9">
      <c r="A41" t="s">
        <v>2817</v>
      </c>
      <c r="B41" s="326" t="s">
        <v>3140</v>
      </c>
      <c r="C41" s="153" t="e">
        <v>#N/A</v>
      </c>
      <c r="D41" s="153">
        <v>542480989</v>
      </c>
      <c r="E41" s="153" t="s">
        <v>3145</v>
      </c>
      <c r="F41" s="148" t="s">
        <v>3146</v>
      </c>
      <c r="G41" s="153">
        <v>199</v>
      </c>
      <c r="I41" t="s">
        <v>1589</v>
      </c>
    </row>
    <row r="42" spans="1:9">
      <c r="A42" t="s">
        <v>2817</v>
      </c>
      <c r="B42" s="326" t="s">
        <v>3140</v>
      </c>
      <c r="C42" s="153" t="e">
        <v>#N/A</v>
      </c>
      <c r="D42" s="153">
        <v>567194001</v>
      </c>
      <c r="E42" s="153" t="s">
        <v>3147</v>
      </c>
      <c r="F42" s="148" t="s">
        <v>3148</v>
      </c>
      <c r="G42" s="153">
        <v>199</v>
      </c>
      <c r="I42" t="s">
        <v>481</v>
      </c>
    </row>
  </sheetData>
  <conditionalFormatting sqref="C2:D2">
    <cfRule type="duplicateValues" dxfId="388" priority="5"/>
    <cfRule type="duplicateValues" dxfId="387" priority="6"/>
  </conditionalFormatting>
  <conditionalFormatting sqref="C3:D3">
    <cfRule type="duplicateValues" dxfId="386" priority="1"/>
    <cfRule type="duplicateValues" dxfId="385" priority="2"/>
  </conditionalFormatting>
  <conditionalFormatting sqref="C1:E1 C4:E42">
    <cfRule type="duplicateValues" dxfId="384" priority="8"/>
  </conditionalFormatting>
  <conditionalFormatting sqref="E2">
    <cfRule type="duplicateValues" dxfId="383" priority="7"/>
  </conditionalFormatting>
  <conditionalFormatting sqref="E3">
    <cfRule type="duplicateValues" dxfId="382" priority="3"/>
    <cfRule type="duplicateValues" dxfId="381" priority="4"/>
  </conditionalFormatting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V51"/>
  <sheetViews>
    <sheetView topLeftCell="A22" zoomScale="70" zoomScaleNormal="70" workbookViewId="0">
      <selection activeCell="B1" sqref="B1:I51"/>
    </sheetView>
  </sheetViews>
  <sheetFormatPr defaultRowHeight="14.5"/>
  <cols>
    <col min="1" max="1" width="12.26953125" bestFit="1" customWidth="1"/>
    <col min="2" max="2" width="11.81640625" bestFit="1" customWidth="1"/>
    <col min="3" max="3" width="12.54296875" bestFit="1" customWidth="1"/>
    <col min="4" max="4" width="15.7265625" bestFit="1" customWidth="1"/>
    <col min="5" max="5" width="15.7265625" customWidth="1"/>
    <col min="6" max="6" width="48.81640625" bestFit="1" customWidth="1"/>
    <col min="7" max="7" width="5.1796875" bestFit="1" customWidth="1"/>
    <col min="8" max="8" width="13.26953125" bestFit="1" customWidth="1"/>
    <col min="9" max="9" width="12.453125" bestFit="1" customWidth="1"/>
    <col min="10" max="10" width="10.7265625" bestFit="1" customWidth="1"/>
    <col min="11" max="11" width="26.81640625" bestFit="1" customWidth="1"/>
    <col min="14" max="14" width="10.7265625" bestFit="1" customWidth="1"/>
    <col min="16" max="16" width="14" bestFit="1" customWidth="1"/>
    <col min="17" max="17" width="22.26953125" customWidth="1"/>
    <col min="21" max="21" width="18.81640625" customWidth="1"/>
    <col min="22" max="22" width="10.81640625" bestFit="1" customWidth="1"/>
  </cols>
  <sheetData>
    <row r="1" spans="1:22">
      <c r="A1" s="329" t="s">
        <v>2634</v>
      </c>
      <c r="B1" s="330" t="s">
        <v>1668</v>
      </c>
      <c r="C1" s="329" t="s">
        <v>2003</v>
      </c>
      <c r="D1" s="329" t="s">
        <v>2636</v>
      </c>
      <c r="E1" s="329" t="s">
        <v>2635</v>
      </c>
      <c r="F1" s="329" t="s">
        <v>2637</v>
      </c>
      <c r="G1" s="329" t="s">
        <v>1882</v>
      </c>
      <c r="H1" s="329" t="s">
        <v>3149</v>
      </c>
      <c r="I1" s="329" t="s">
        <v>2069</v>
      </c>
      <c r="J1" s="330" t="s">
        <v>1920</v>
      </c>
      <c r="K1" s="329" t="s">
        <v>1752</v>
      </c>
    </row>
    <row r="2" spans="1:22">
      <c r="A2" t="s">
        <v>148</v>
      </c>
      <c r="B2" s="326">
        <v>45536</v>
      </c>
      <c r="C2" t="e">
        <v>#N/A</v>
      </c>
      <c r="D2" t="s">
        <v>3150</v>
      </c>
      <c r="E2">
        <v>558762582</v>
      </c>
      <c r="F2" s="331" t="s">
        <v>3151</v>
      </c>
      <c r="G2">
        <v>199</v>
      </c>
      <c r="H2" t="s">
        <v>319</v>
      </c>
      <c r="I2" t="s">
        <v>1563</v>
      </c>
      <c r="J2" t="e">
        <v>#N/A</v>
      </c>
      <c r="K2" t="s">
        <v>3256</v>
      </c>
    </row>
    <row r="3" spans="1:22">
      <c r="A3" t="s">
        <v>148</v>
      </c>
      <c r="B3" s="326">
        <v>45537</v>
      </c>
      <c r="C3">
        <v>1.2640961500000001</v>
      </c>
      <c r="D3" t="s">
        <v>3152</v>
      </c>
      <c r="E3">
        <v>506977457</v>
      </c>
      <c r="F3" s="331" t="s">
        <v>3153</v>
      </c>
      <c r="G3">
        <v>199</v>
      </c>
      <c r="H3" t="s">
        <v>319</v>
      </c>
      <c r="I3" t="s">
        <v>1589</v>
      </c>
      <c r="J3">
        <v>45538</v>
      </c>
    </row>
    <row r="4" spans="1:22">
      <c r="A4" t="s">
        <v>148</v>
      </c>
      <c r="B4" s="326">
        <v>45538</v>
      </c>
      <c r="C4">
        <v>1.6688016699999999</v>
      </c>
      <c r="D4" t="s">
        <v>3154</v>
      </c>
      <c r="E4">
        <v>565605313</v>
      </c>
      <c r="F4" s="331" t="s">
        <v>3155</v>
      </c>
      <c r="G4">
        <v>299</v>
      </c>
      <c r="H4" t="s">
        <v>319</v>
      </c>
      <c r="I4" t="s">
        <v>1589</v>
      </c>
      <c r="J4">
        <v>45539</v>
      </c>
    </row>
    <row r="5" spans="1:22">
      <c r="A5" t="s">
        <v>148</v>
      </c>
      <c r="B5" s="326">
        <v>45538</v>
      </c>
      <c r="C5">
        <v>1.6225978700000001</v>
      </c>
      <c r="D5" t="s">
        <v>3156</v>
      </c>
      <c r="E5">
        <v>508061013</v>
      </c>
      <c r="F5" s="331" t="s">
        <v>3157</v>
      </c>
      <c r="G5">
        <v>199</v>
      </c>
      <c r="H5" t="s">
        <v>319</v>
      </c>
      <c r="I5" t="s">
        <v>1589</v>
      </c>
      <c r="J5">
        <v>45539</v>
      </c>
    </row>
    <row r="6" spans="1:22">
      <c r="A6" t="s">
        <v>148</v>
      </c>
      <c r="B6" s="326">
        <v>45539</v>
      </c>
      <c r="C6">
        <v>1.66896818</v>
      </c>
      <c r="D6" t="s">
        <v>3158</v>
      </c>
      <c r="F6" t="s">
        <v>3159</v>
      </c>
      <c r="G6">
        <v>199</v>
      </c>
      <c r="H6" t="s">
        <v>319</v>
      </c>
      <c r="I6" t="s">
        <v>1589</v>
      </c>
      <c r="J6">
        <v>45540</v>
      </c>
    </row>
    <row r="7" spans="1:22">
      <c r="A7" t="s">
        <v>148</v>
      </c>
      <c r="B7" s="326">
        <v>45539</v>
      </c>
      <c r="C7">
        <v>1.6681605900000001</v>
      </c>
      <c r="D7" t="s">
        <v>3160</v>
      </c>
      <c r="E7">
        <v>567194001</v>
      </c>
      <c r="F7" s="331" t="s">
        <v>3148</v>
      </c>
      <c r="G7">
        <v>199</v>
      </c>
      <c r="H7" t="s">
        <v>319</v>
      </c>
      <c r="I7" t="s">
        <v>1589</v>
      </c>
      <c r="J7">
        <v>45539</v>
      </c>
    </row>
    <row r="8" spans="1:22">
      <c r="A8" t="s">
        <v>148</v>
      </c>
      <c r="B8" s="326">
        <v>45540</v>
      </c>
      <c r="C8">
        <v>1.6691583400000001</v>
      </c>
      <c r="D8" t="s">
        <v>3161</v>
      </c>
      <c r="E8">
        <v>547269143</v>
      </c>
      <c r="F8" s="331" t="s">
        <v>3162</v>
      </c>
      <c r="G8">
        <v>199</v>
      </c>
      <c r="H8" t="s">
        <v>319</v>
      </c>
      <c r="I8" t="s">
        <v>1589</v>
      </c>
      <c r="J8">
        <v>45540</v>
      </c>
    </row>
    <row r="9" spans="1:22">
      <c r="A9" t="s">
        <v>148</v>
      </c>
      <c r="B9" s="326">
        <v>45540</v>
      </c>
      <c r="D9" t="s">
        <v>3163</v>
      </c>
      <c r="E9">
        <v>509721314</v>
      </c>
      <c r="F9" t="s">
        <v>3164</v>
      </c>
      <c r="G9">
        <v>199</v>
      </c>
      <c r="H9" t="s">
        <v>319</v>
      </c>
      <c r="I9" t="s">
        <v>1563</v>
      </c>
      <c r="J9" t="e">
        <v>#N/A</v>
      </c>
    </row>
    <row r="10" spans="1:22">
      <c r="A10" t="s">
        <v>148</v>
      </c>
      <c r="B10" s="326">
        <v>45540</v>
      </c>
      <c r="C10">
        <v>1.66919913</v>
      </c>
      <c r="D10" t="s">
        <v>3165</v>
      </c>
      <c r="E10">
        <v>507962562</v>
      </c>
      <c r="F10" s="331" t="s">
        <v>3164</v>
      </c>
      <c r="G10">
        <v>199</v>
      </c>
      <c r="H10" t="s">
        <v>319</v>
      </c>
      <c r="I10" t="s">
        <v>1589</v>
      </c>
      <c r="J10">
        <v>45540</v>
      </c>
    </row>
    <row r="11" spans="1:22">
      <c r="A11" t="s">
        <v>148</v>
      </c>
      <c r="B11" s="326">
        <v>45541</v>
      </c>
      <c r="C11">
        <v>1.6694075100000001</v>
      </c>
      <c r="D11" t="s">
        <v>3166</v>
      </c>
      <c r="E11">
        <v>506363559</v>
      </c>
      <c r="F11" s="331" t="s">
        <v>3167</v>
      </c>
      <c r="G11">
        <v>199</v>
      </c>
      <c r="H11" t="s">
        <v>319</v>
      </c>
      <c r="I11" t="s">
        <v>1589</v>
      </c>
      <c r="J11">
        <v>45541</v>
      </c>
    </row>
    <row r="12" spans="1:22">
      <c r="A12" t="s">
        <v>148</v>
      </c>
      <c r="B12" s="326">
        <v>45543</v>
      </c>
      <c r="C12">
        <v>1.6698411</v>
      </c>
      <c r="D12" t="s">
        <v>3168</v>
      </c>
      <c r="E12">
        <v>501696799</v>
      </c>
      <c r="F12" s="331" t="s">
        <v>3169</v>
      </c>
      <c r="G12">
        <v>299</v>
      </c>
      <c r="H12" t="s">
        <v>319</v>
      </c>
      <c r="I12" t="s">
        <v>1589</v>
      </c>
      <c r="J12">
        <v>45544</v>
      </c>
      <c r="M12" s="329" t="s">
        <v>3259</v>
      </c>
    </row>
    <row r="13" spans="1:22">
      <c r="A13" t="s">
        <v>148</v>
      </c>
      <c r="B13" s="326">
        <v>45545</v>
      </c>
      <c r="C13">
        <v>1.40884656</v>
      </c>
      <c r="D13" t="s">
        <v>3170</v>
      </c>
      <c r="E13">
        <v>552186678</v>
      </c>
      <c r="F13" s="331" t="s">
        <v>3092</v>
      </c>
      <c r="G13">
        <v>199</v>
      </c>
      <c r="H13" t="s">
        <v>2939</v>
      </c>
      <c r="I13" t="s">
        <v>1589</v>
      </c>
      <c r="J13">
        <v>45546</v>
      </c>
      <c r="M13" t="s">
        <v>2817</v>
      </c>
      <c r="N13" s="326" t="s">
        <v>3140</v>
      </c>
      <c r="O13" s="153" t="e">
        <v>#N/A</v>
      </c>
      <c r="P13" s="153" t="s">
        <v>3143</v>
      </c>
      <c r="Q13" s="327" t="s">
        <v>3144</v>
      </c>
      <c r="R13" s="153">
        <v>199</v>
      </c>
      <c r="S13" t="s">
        <v>1093</v>
      </c>
      <c r="V13" t="s">
        <v>1589</v>
      </c>
    </row>
    <row r="14" spans="1:22">
      <c r="A14" t="s">
        <v>148</v>
      </c>
      <c r="B14" s="326">
        <v>45545</v>
      </c>
      <c r="C14">
        <v>1.67029122</v>
      </c>
      <c r="D14" t="s">
        <v>3171</v>
      </c>
      <c r="F14" s="331" t="s">
        <v>3172</v>
      </c>
      <c r="G14">
        <v>199</v>
      </c>
      <c r="I14" t="s">
        <v>1589</v>
      </c>
      <c r="J14">
        <v>45545</v>
      </c>
      <c r="M14" t="s">
        <v>2817</v>
      </c>
      <c r="N14" s="326" t="s">
        <v>3140</v>
      </c>
      <c r="O14" s="153" t="e">
        <v>#N/A</v>
      </c>
      <c r="P14" s="153" t="s">
        <v>3145</v>
      </c>
      <c r="Q14" s="148" t="s">
        <v>3146</v>
      </c>
      <c r="R14" s="153">
        <v>199</v>
      </c>
      <c r="S14" t="s">
        <v>1093</v>
      </c>
      <c r="V14" t="s">
        <v>1589</v>
      </c>
    </row>
    <row r="15" spans="1:22">
      <c r="A15" t="s">
        <v>148</v>
      </c>
      <c r="B15" s="326">
        <v>45545</v>
      </c>
      <c r="C15" t="e">
        <v>#N/A</v>
      </c>
      <c r="D15" t="s">
        <v>3173</v>
      </c>
      <c r="F15" s="331" t="s">
        <v>3174</v>
      </c>
      <c r="G15">
        <v>199</v>
      </c>
      <c r="I15" t="s">
        <v>1563</v>
      </c>
      <c r="J15" t="e">
        <v>#N/A</v>
      </c>
      <c r="K15" t="s">
        <v>1589</v>
      </c>
      <c r="M15" t="s">
        <v>3257</v>
      </c>
    </row>
    <row r="16" spans="1:22">
      <c r="A16" t="s">
        <v>148</v>
      </c>
      <c r="B16" s="326">
        <v>45546</v>
      </c>
      <c r="C16">
        <v>1.6705435500000001</v>
      </c>
      <c r="D16" t="s">
        <v>3175</v>
      </c>
      <c r="E16">
        <v>554978967</v>
      </c>
      <c r="F16" s="331" t="s">
        <v>110</v>
      </c>
      <c r="G16">
        <v>199</v>
      </c>
      <c r="I16" t="s">
        <v>1589</v>
      </c>
      <c r="J16">
        <v>45546</v>
      </c>
      <c r="M16" t="s">
        <v>148</v>
      </c>
      <c r="N16" s="326">
        <v>45536</v>
      </c>
      <c r="O16" t="e">
        <v>#N/A</v>
      </c>
      <c r="P16" t="s">
        <v>3150</v>
      </c>
      <c r="Q16" s="331" t="s">
        <v>3151</v>
      </c>
      <c r="R16">
        <v>199</v>
      </c>
      <c r="S16" t="s">
        <v>1563</v>
      </c>
      <c r="T16" t="e">
        <v>#N/A</v>
      </c>
      <c r="U16" t="s">
        <v>3256</v>
      </c>
      <c r="V16" t="s">
        <v>1589</v>
      </c>
    </row>
    <row r="17" spans="1:22">
      <c r="A17" t="s">
        <v>148</v>
      </c>
      <c r="B17" s="326">
        <v>45635</v>
      </c>
      <c r="C17">
        <v>1.32390981</v>
      </c>
      <c r="D17" t="s">
        <v>3176</v>
      </c>
      <c r="E17">
        <v>588947100</v>
      </c>
      <c r="F17" s="331" t="s">
        <v>3177</v>
      </c>
      <c r="G17">
        <v>199</v>
      </c>
      <c r="I17" t="s">
        <v>1589</v>
      </c>
      <c r="J17">
        <v>45548</v>
      </c>
      <c r="M17" t="s">
        <v>148</v>
      </c>
      <c r="N17" s="326">
        <v>45545</v>
      </c>
      <c r="O17" t="e">
        <v>#N/A</v>
      </c>
      <c r="P17" t="s">
        <v>3173</v>
      </c>
      <c r="Q17" s="331" t="s">
        <v>3174</v>
      </c>
      <c r="R17">
        <v>199</v>
      </c>
      <c r="S17" t="s">
        <v>1563</v>
      </c>
      <c r="T17" t="e">
        <v>#N/A</v>
      </c>
      <c r="V17" t="s">
        <v>1589</v>
      </c>
    </row>
    <row r="18" spans="1:22">
      <c r="A18" t="s">
        <v>148</v>
      </c>
      <c r="B18" s="326" t="s">
        <v>3178</v>
      </c>
      <c r="C18">
        <v>1.67105521</v>
      </c>
      <c r="D18" t="s">
        <v>3179</v>
      </c>
      <c r="E18">
        <v>543283940</v>
      </c>
      <c r="F18" s="331" t="s">
        <v>3180</v>
      </c>
      <c r="G18">
        <v>299</v>
      </c>
      <c r="I18" t="s">
        <v>1589</v>
      </c>
      <c r="J18">
        <v>45549</v>
      </c>
      <c r="M18" s="332" t="s">
        <v>148</v>
      </c>
      <c r="N18" s="333" t="s">
        <v>3187</v>
      </c>
      <c r="O18" s="332" t="e">
        <v>#N/A</v>
      </c>
      <c r="P18" s="332" t="s">
        <v>3188</v>
      </c>
      <c r="Q18" s="332" t="s">
        <v>3189</v>
      </c>
      <c r="R18" s="332">
        <v>299</v>
      </c>
      <c r="S18" s="332" t="s">
        <v>1563</v>
      </c>
      <c r="T18" s="332" t="e">
        <v>#N/A</v>
      </c>
      <c r="V18" t="s">
        <v>1589</v>
      </c>
    </row>
    <row r="19" spans="1:22">
      <c r="A19" t="s">
        <v>148</v>
      </c>
      <c r="B19" s="326" t="s">
        <v>3178</v>
      </c>
      <c r="C19">
        <v>1.67105623</v>
      </c>
      <c r="D19" t="s">
        <v>3181</v>
      </c>
      <c r="E19">
        <v>523499155</v>
      </c>
      <c r="F19" s="331" t="s">
        <v>3182</v>
      </c>
      <c r="G19">
        <v>299</v>
      </c>
      <c r="I19" t="s">
        <v>1563</v>
      </c>
      <c r="J19" t="e">
        <v>#N/A</v>
      </c>
      <c r="K19" t="s">
        <v>1794</v>
      </c>
      <c r="M19" s="332" t="s">
        <v>148</v>
      </c>
      <c r="N19" s="333" t="s">
        <v>3235</v>
      </c>
      <c r="O19" s="332"/>
      <c r="P19" s="332" t="s">
        <v>3236</v>
      </c>
      <c r="Q19" s="332" t="s">
        <v>3237</v>
      </c>
      <c r="R19" s="332">
        <v>199</v>
      </c>
      <c r="S19" s="332" t="s">
        <v>1563</v>
      </c>
      <c r="T19" s="332">
        <v>45564</v>
      </c>
      <c r="V19" s="332" t="s">
        <v>1589</v>
      </c>
    </row>
    <row r="20" spans="1:22">
      <c r="A20" t="s">
        <v>148</v>
      </c>
      <c r="B20" s="326" t="s">
        <v>3178</v>
      </c>
      <c r="C20">
        <v>1.4234228</v>
      </c>
      <c r="D20" t="s">
        <v>3183</v>
      </c>
      <c r="E20">
        <v>508071109</v>
      </c>
      <c r="F20" s="331" t="s">
        <v>3184</v>
      </c>
      <c r="G20">
        <v>199</v>
      </c>
      <c r="I20" t="s">
        <v>1563</v>
      </c>
      <c r="J20" t="e">
        <v>#N/A</v>
      </c>
      <c r="K20" t="s">
        <v>1794</v>
      </c>
    </row>
    <row r="21" spans="1:22">
      <c r="A21" t="s">
        <v>148</v>
      </c>
      <c r="B21" s="326" t="s">
        <v>3178</v>
      </c>
      <c r="C21">
        <v>1.6711161299999999</v>
      </c>
      <c r="D21" t="s">
        <v>3185</v>
      </c>
      <c r="E21">
        <v>507424045</v>
      </c>
      <c r="F21" s="331" t="s">
        <v>3186</v>
      </c>
      <c r="G21">
        <v>299</v>
      </c>
      <c r="I21" t="s">
        <v>1563</v>
      </c>
      <c r="J21" t="e">
        <v>#N/A</v>
      </c>
      <c r="K21" t="s">
        <v>1977</v>
      </c>
    </row>
    <row r="22" spans="1:22">
      <c r="A22" s="332" t="s">
        <v>148</v>
      </c>
      <c r="B22" s="333" t="s">
        <v>3187</v>
      </c>
      <c r="C22" s="332" t="e">
        <v>#N/A</v>
      </c>
      <c r="D22" s="332" t="s">
        <v>3188</v>
      </c>
      <c r="E22" s="332">
        <v>565656258</v>
      </c>
      <c r="F22" s="332" t="s">
        <v>3189</v>
      </c>
      <c r="G22" s="332">
        <v>299</v>
      </c>
      <c r="H22" s="332"/>
      <c r="I22" s="332" t="s">
        <v>1589</v>
      </c>
      <c r="J22" s="332" t="e">
        <v>#N/A</v>
      </c>
      <c r="K22" t="s">
        <v>3258</v>
      </c>
    </row>
    <row r="23" spans="1:22">
      <c r="A23" t="s">
        <v>148</v>
      </c>
      <c r="B23" s="326" t="s">
        <v>3190</v>
      </c>
      <c r="C23">
        <v>1.6718080900000001</v>
      </c>
      <c r="D23" t="s">
        <v>3191</v>
      </c>
      <c r="E23">
        <v>562725861</v>
      </c>
      <c r="F23" s="331" t="s">
        <v>3192</v>
      </c>
      <c r="G23">
        <v>199</v>
      </c>
      <c r="I23" t="s">
        <v>1563</v>
      </c>
      <c r="J23" t="e">
        <v>#N/A</v>
      </c>
    </row>
    <row r="24" spans="1:22">
      <c r="A24" t="s">
        <v>148</v>
      </c>
      <c r="B24" s="326" t="s">
        <v>3190</v>
      </c>
      <c r="C24">
        <v>1.6718194799999999</v>
      </c>
      <c r="D24" t="s">
        <v>3193</v>
      </c>
      <c r="E24">
        <v>544234033</v>
      </c>
      <c r="F24" s="331" t="s">
        <v>3194</v>
      </c>
      <c r="G24">
        <v>299</v>
      </c>
      <c r="I24" t="s">
        <v>1589</v>
      </c>
      <c r="J24">
        <v>45551</v>
      </c>
    </row>
    <row r="25" spans="1:22">
      <c r="A25" t="s">
        <v>148</v>
      </c>
      <c r="B25" s="326" t="s">
        <v>3195</v>
      </c>
      <c r="C25">
        <v>1.67202187</v>
      </c>
      <c r="D25" t="s">
        <v>3196</v>
      </c>
      <c r="E25">
        <v>505077826</v>
      </c>
      <c r="F25" s="331" t="s">
        <v>3197</v>
      </c>
      <c r="G25">
        <v>199</v>
      </c>
      <c r="I25" t="s">
        <v>1563</v>
      </c>
      <c r="J25" t="e">
        <v>#N/A</v>
      </c>
    </row>
    <row r="26" spans="1:22">
      <c r="A26" t="s">
        <v>148</v>
      </c>
      <c r="B26" s="326">
        <v>45553</v>
      </c>
      <c r="C26">
        <v>1.66482894</v>
      </c>
      <c r="D26" t="s">
        <v>3198</v>
      </c>
      <c r="E26">
        <v>502304560</v>
      </c>
      <c r="F26" s="331" t="s">
        <v>3079</v>
      </c>
      <c r="G26">
        <v>199</v>
      </c>
      <c r="I26" t="s">
        <v>1589</v>
      </c>
      <c r="J26">
        <v>45554</v>
      </c>
    </row>
    <row r="27" spans="1:22">
      <c r="A27" t="s">
        <v>148</v>
      </c>
      <c r="B27" s="326">
        <v>45553</v>
      </c>
      <c r="C27">
        <v>1.6723522099999999</v>
      </c>
      <c r="D27" t="s">
        <v>3199</v>
      </c>
      <c r="E27">
        <v>586655058</v>
      </c>
      <c r="F27" s="331" t="s">
        <v>3200</v>
      </c>
      <c r="G27">
        <v>199</v>
      </c>
      <c r="I27" t="s">
        <v>1589</v>
      </c>
      <c r="J27">
        <v>45554</v>
      </c>
    </row>
    <row r="28" spans="1:22">
      <c r="A28" t="s">
        <v>148</v>
      </c>
      <c r="B28" s="326" t="s">
        <v>3201</v>
      </c>
      <c r="C28">
        <v>1.6725554300000001</v>
      </c>
      <c r="D28" t="s">
        <v>3202</v>
      </c>
      <c r="E28">
        <v>555521312</v>
      </c>
      <c r="F28" s="331" t="s">
        <v>3203</v>
      </c>
      <c r="G28">
        <v>199</v>
      </c>
      <c r="I28" t="s">
        <v>1589</v>
      </c>
      <c r="J28">
        <v>45554</v>
      </c>
    </row>
    <row r="29" spans="1:22">
      <c r="A29" t="s">
        <v>148</v>
      </c>
      <c r="B29" s="326" t="s">
        <v>3201</v>
      </c>
      <c r="C29">
        <v>1.6726329499999999</v>
      </c>
      <c r="D29" t="s">
        <v>3204</v>
      </c>
      <c r="E29">
        <v>529657602</v>
      </c>
      <c r="F29" s="331" t="s">
        <v>3205</v>
      </c>
      <c r="G29">
        <v>199</v>
      </c>
      <c r="I29" t="s">
        <v>1589</v>
      </c>
      <c r="J29">
        <v>45556</v>
      </c>
    </row>
    <row r="30" spans="1:22">
      <c r="A30" t="s">
        <v>148</v>
      </c>
      <c r="B30" s="326" t="s">
        <v>3206</v>
      </c>
      <c r="C30">
        <v>1.67280359</v>
      </c>
      <c r="D30" t="s">
        <v>3207</v>
      </c>
      <c r="E30">
        <v>507017651</v>
      </c>
      <c r="F30" s="331" t="s">
        <v>3208</v>
      </c>
      <c r="G30">
        <v>199</v>
      </c>
      <c r="I30" t="s">
        <v>1589</v>
      </c>
      <c r="J30">
        <v>45556</v>
      </c>
    </row>
    <row r="31" spans="1:22">
      <c r="A31" t="s">
        <v>148</v>
      </c>
      <c r="B31" s="326" t="s">
        <v>3206</v>
      </c>
      <c r="C31">
        <v>1.6728175300000001</v>
      </c>
      <c r="D31" t="s">
        <v>3209</v>
      </c>
      <c r="E31">
        <v>542712815</v>
      </c>
      <c r="F31" s="331" t="s">
        <v>3210</v>
      </c>
      <c r="G31">
        <v>299</v>
      </c>
      <c r="I31" t="s">
        <v>1563</v>
      </c>
      <c r="J31" t="e">
        <v>#N/A</v>
      </c>
    </row>
    <row r="32" spans="1:22">
      <c r="A32" t="s">
        <v>148</v>
      </c>
      <c r="B32" s="326" t="s">
        <v>3211</v>
      </c>
      <c r="C32">
        <v>1.6330653500000001</v>
      </c>
      <c r="D32" t="s">
        <v>3212</v>
      </c>
      <c r="E32">
        <v>563765112</v>
      </c>
      <c r="F32" s="331" t="s">
        <v>3213</v>
      </c>
      <c r="G32">
        <v>199</v>
      </c>
      <c r="I32" t="s">
        <v>1589</v>
      </c>
      <c r="J32">
        <v>45557</v>
      </c>
    </row>
    <row r="33" spans="1:11">
      <c r="A33" t="s">
        <v>148</v>
      </c>
      <c r="B33" s="326" t="s">
        <v>3211</v>
      </c>
      <c r="C33">
        <v>1.5660019700000001</v>
      </c>
      <c r="D33" t="s">
        <v>3214</v>
      </c>
      <c r="E33">
        <v>553996100</v>
      </c>
      <c r="F33" s="331" t="s">
        <v>3215</v>
      </c>
      <c r="G33">
        <v>199</v>
      </c>
      <c r="I33" t="s">
        <v>1589</v>
      </c>
      <c r="J33">
        <v>45557</v>
      </c>
    </row>
    <row r="34" spans="1:11">
      <c r="A34" t="s">
        <v>148</v>
      </c>
      <c r="B34" s="326" t="s">
        <v>3211</v>
      </c>
      <c r="C34">
        <v>1.6728175300000001</v>
      </c>
      <c r="D34" t="s">
        <v>3216</v>
      </c>
      <c r="E34">
        <v>542712815</v>
      </c>
      <c r="F34" s="331" t="s">
        <v>3217</v>
      </c>
      <c r="G34">
        <v>299</v>
      </c>
      <c r="I34" t="s">
        <v>1563</v>
      </c>
      <c r="J34" t="e">
        <v>#N/A</v>
      </c>
    </row>
    <row r="35" spans="1:11">
      <c r="A35" t="s">
        <v>148</v>
      </c>
      <c r="B35" s="326" t="s">
        <v>3218</v>
      </c>
      <c r="C35">
        <v>1.67353179</v>
      </c>
      <c r="D35" t="s">
        <v>3219</v>
      </c>
      <c r="E35">
        <v>565515809</v>
      </c>
      <c r="F35" s="331" t="s">
        <v>3220</v>
      </c>
      <c r="G35">
        <v>199</v>
      </c>
      <c r="I35" t="s">
        <v>1589</v>
      </c>
      <c r="J35">
        <v>45558</v>
      </c>
    </row>
    <row r="36" spans="1:11">
      <c r="A36" t="s">
        <v>148</v>
      </c>
      <c r="B36" s="326" t="s">
        <v>3221</v>
      </c>
      <c r="C36">
        <v>1.4984520400000001</v>
      </c>
      <c r="D36" t="s">
        <v>3222</v>
      </c>
      <c r="E36">
        <v>557133157</v>
      </c>
      <c r="F36" s="331" t="s">
        <v>3223</v>
      </c>
      <c r="G36">
        <v>199</v>
      </c>
      <c r="I36" t="s">
        <v>1589</v>
      </c>
      <c r="J36">
        <v>45559</v>
      </c>
    </row>
    <row r="37" spans="1:11">
      <c r="A37" t="s">
        <v>148</v>
      </c>
      <c r="B37" s="326" t="s">
        <v>3224</v>
      </c>
      <c r="C37">
        <v>1.6742862700000001</v>
      </c>
      <c r="D37" t="s">
        <v>3225</v>
      </c>
      <c r="E37">
        <v>568175945</v>
      </c>
      <c r="F37" s="331" t="s">
        <v>3226</v>
      </c>
      <c r="G37">
        <v>199</v>
      </c>
      <c r="I37" t="s">
        <v>1589</v>
      </c>
      <c r="J37">
        <v>45561</v>
      </c>
    </row>
    <row r="38" spans="1:11">
      <c r="A38" t="s">
        <v>148</v>
      </c>
      <c r="B38" s="326" t="s">
        <v>3224</v>
      </c>
      <c r="C38">
        <v>1.67436184</v>
      </c>
      <c r="D38" t="s">
        <v>3227</v>
      </c>
      <c r="E38">
        <v>525896650</v>
      </c>
      <c r="F38" s="331" t="s">
        <v>3228</v>
      </c>
      <c r="G38">
        <v>199</v>
      </c>
      <c r="I38" t="s">
        <v>1589</v>
      </c>
      <c r="J38">
        <v>45562</v>
      </c>
    </row>
    <row r="39" spans="1:11">
      <c r="A39" t="s">
        <v>148</v>
      </c>
      <c r="B39" s="326" t="s">
        <v>3229</v>
      </c>
      <c r="C39">
        <v>1.6745614</v>
      </c>
      <c r="D39" t="s">
        <v>3230</v>
      </c>
      <c r="E39">
        <v>501748667</v>
      </c>
      <c r="F39" s="331" t="s">
        <v>3231</v>
      </c>
      <c r="G39">
        <v>199</v>
      </c>
      <c r="I39" t="s">
        <v>1589</v>
      </c>
      <c r="J39">
        <v>45562</v>
      </c>
    </row>
    <row r="40" spans="1:11">
      <c r="A40" t="s">
        <v>148</v>
      </c>
      <c r="B40" s="326" t="s">
        <v>3229</v>
      </c>
      <c r="C40">
        <v>1.5268971499999999</v>
      </c>
      <c r="D40" t="s">
        <v>3232</v>
      </c>
      <c r="E40">
        <v>503657346</v>
      </c>
      <c r="F40" s="331" t="s">
        <v>3139</v>
      </c>
      <c r="G40">
        <v>199</v>
      </c>
      <c r="I40" t="s">
        <v>1589</v>
      </c>
      <c r="J40">
        <v>45562</v>
      </c>
    </row>
    <row r="41" spans="1:11">
      <c r="A41" t="s">
        <v>148</v>
      </c>
      <c r="B41" s="326" t="s">
        <v>3229</v>
      </c>
      <c r="C41">
        <v>1.6745813199999999</v>
      </c>
      <c r="D41" t="s">
        <v>3233</v>
      </c>
      <c r="E41">
        <v>585942158</v>
      </c>
      <c r="F41" s="331" t="s">
        <v>3234</v>
      </c>
      <c r="G41">
        <v>199</v>
      </c>
      <c r="I41" t="s">
        <v>1589</v>
      </c>
      <c r="J41">
        <v>45563</v>
      </c>
    </row>
    <row r="42" spans="1:11">
      <c r="A42" s="332" t="s">
        <v>148</v>
      </c>
      <c r="B42" s="333" t="s">
        <v>3235</v>
      </c>
      <c r="C42" s="332"/>
      <c r="D42" s="332" t="s">
        <v>3236</v>
      </c>
      <c r="E42" s="332">
        <v>561518009</v>
      </c>
      <c r="F42" s="332" t="s">
        <v>3237</v>
      </c>
      <c r="G42" s="332">
        <v>199</v>
      </c>
      <c r="H42" s="332"/>
      <c r="I42" s="332" t="s">
        <v>1589</v>
      </c>
      <c r="J42" s="332">
        <v>45564</v>
      </c>
      <c r="K42" t="s">
        <v>3258</v>
      </c>
    </row>
    <row r="43" spans="1:11">
      <c r="A43" t="s">
        <v>148</v>
      </c>
      <c r="B43" s="326" t="s">
        <v>3235</v>
      </c>
      <c r="C43">
        <v>1.3902324100000001</v>
      </c>
      <c r="D43" t="s">
        <v>3238</v>
      </c>
      <c r="E43">
        <v>555721421</v>
      </c>
      <c r="F43" s="331" t="s">
        <v>3239</v>
      </c>
      <c r="G43">
        <v>199</v>
      </c>
      <c r="I43" t="s">
        <v>1589</v>
      </c>
      <c r="J43">
        <v>45563</v>
      </c>
    </row>
    <row r="44" spans="1:11">
      <c r="A44" t="s">
        <v>148</v>
      </c>
      <c r="B44" s="326" t="s">
        <v>3235</v>
      </c>
      <c r="C44">
        <v>1.67477578</v>
      </c>
      <c r="D44" t="s">
        <v>3240</v>
      </c>
      <c r="E44">
        <v>558009523</v>
      </c>
      <c r="F44" s="331" t="s">
        <v>3241</v>
      </c>
      <c r="G44">
        <v>199</v>
      </c>
      <c r="I44" t="s">
        <v>1589</v>
      </c>
      <c r="J44">
        <v>45564</v>
      </c>
    </row>
    <row r="45" spans="1:11">
      <c r="A45" t="s">
        <v>148</v>
      </c>
      <c r="B45" s="326" t="s">
        <v>3235</v>
      </c>
      <c r="C45">
        <v>1.6748069999999999</v>
      </c>
      <c r="D45" t="s">
        <v>3242</v>
      </c>
      <c r="E45">
        <v>521939364</v>
      </c>
      <c r="F45" s="331" t="s">
        <v>3243</v>
      </c>
      <c r="G45">
        <v>199</v>
      </c>
      <c r="I45" t="s">
        <v>1589</v>
      </c>
      <c r="J45">
        <v>45563</v>
      </c>
    </row>
    <row r="46" spans="1:11">
      <c r="A46" t="s">
        <v>148</v>
      </c>
      <c r="B46" s="326" t="s">
        <v>3244</v>
      </c>
      <c r="C46">
        <v>1.6747219</v>
      </c>
      <c r="D46" t="s">
        <v>3245</v>
      </c>
      <c r="E46">
        <v>561518009</v>
      </c>
      <c r="F46" s="331" t="s">
        <v>3237</v>
      </c>
      <c r="G46">
        <v>199</v>
      </c>
      <c r="I46" t="s">
        <v>1589</v>
      </c>
      <c r="J46">
        <v>45564</v>
      </c>
    </row>
    <row r="47" spans="1:11">
      <c r="A47" t="s">
        <v>148</v>
      </c>
      <c r="B47" s="326" t="s">
        <v>3244</v>
      </c>
      <c r="C47">
        <v>1.67507132</v>
      </c>
      <c r="D47" t="s">
        <v>3246</v>
      </c>
      <c r="E47">
        <v>569379391</v>
      </c>
      <c r="F47" s="331" t="s">
        <v>3247</v>
      </c>
      <c r="G47">
        <v>199</v>
      </c>
      <c r="I47" t="s">
        <v>1563</v>
      </c>
      <c r="J47" t="e">
        <v>#N/A</v>
      </c>
    </row>
    <row r="48" spans="1:11">
      <c r="A48" t="s">
        <v>148</v>
      </c>
      <c r="B48" s="326" t="s">
        <v>3244</v>
      </c>
      <c r="C48">
        <v>1.2307337700000001</v>
      </c>
      <c r="D48" t="s">
        <v>3248</v>
      </c>
      <c r="E48">
        <v>556267368</v>
      </c>
      <c r="F48" s="331" t="s">
        <v>3249</v>
      </c>
      <c r="G48">
        <v>199</v>
      </c>
      <c r="I48" t="s">
        <v>1589</v>
      </c>
      <c r="J48">
        <v>45565</v>
      </c>
    </row>
    <row r="49" spans="1:10">
      <c r="A49" t="s">
        <v>148</v>
      </c>
      <c r="B49" s="326" t="s">
        <v>3250</v>
      </c>
      <c r="C49">
        <v>1.6752159099999999</v>
      </c>
      <c r="D49" t="s">
        <v>3251</v>
      </c>
      <c r="E49">
        <v>558202362</v>
      </c>
      <c r="F49" s="331" t="s">
        <v>3252</v>
      </c>
      <c r="G49">
        <v>199</v>
      </c>
      <c r="I49" t="s">
        <v>1589</v>
      </c>
      <c r="J49">
        <v>45565</v>
      </c>
    </row>
    <row r="50" spans="1:10">
      <c r="A50" t="s">
        <v>148</v>
      </c>
      <c r="B50" s="326" t="s">
        <v>3250</v>
      </c>
      <c r="C50">
        <v>1.6752379399999999</v>
      </c>
      <c r="D50" t="s">
        <v>3253</v>
      </c>
      <c r="E50">
        <v>524820046</v>
      </c>
      <c r="F50" s="331" t="s">
        <v>2101</v>
      </c>
      <c r="G50">
        <v>199</v>
      </c>
      <c r="I50" t="s">
        <v>1589</v>
      </c>
      <c r="J50">
        <v>45565</v>
      </c>
    </row>
    <row r="51" spans="1:10">
      <c r="A51" t="s">
        <v>148</v>
      </c>
      <c r="B51" s="326" t="s">
        <v>3250</v>
      </c>
      <c r="C51">
        <v>1.6160616299999999</v>
      </c>
      <c r="D51" t="s">
        <v>3254</v>
      </c>
      <c r="E51">
        <v>509559698</v>
      </c>
      <c r="F51" s="331" t="s">
        <v>3255</v>
      </c>
      <c r="G51">
        <v>199</v>
      </c>
      <c r="I51" t="s">
        <v>1589</v>
      </c>
      <c r="J51">
        <v>45565</v>
      </c>
    </row>
  </sheetData>
  <conditionalFormatting sqref="C1:E51">
    <cfRule type="duplicateValues" dxfId="380" priority="6"/>
  </conditionalFormatting>
  <conditionalFormatting sqref="O13:P14">
    <cfRule type="duplicateValues" dxfId="379" priority="1"/>
  </conditionalFormatting>
  <conditionalFormatting sqref="O16:P16">
    <cfRule type="duplicateValues" dxfId="378" priority="5"/>
  </conditionalFormatting>
  <conditionalFormatting sqref="O17:P17">
    <cfRule type="duplicateValues" dxfId="377" priority="4"/>
  </conditionalFormatting>
  <conditionalFormatting sqref="O18:P18">
    <cfRule type="duplicateValues" dxfId="376" priority="3"/>
  </conditionalFormatting>
  <conditionalFormatting sqref="O19:P19">
    <cfRule type="duplicateValues" dxfId="375" priority="2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38"/>
  <sheetViews>
    <sheetView workbookViewId="0">
      <selection activeCell="A25" sqref="A25:O38"/>
    </sheetView>
  </sheetViews>
  <sheetFormatPr defaultRowHeight="14.5"/>
  <cols>
    <col min="1" max="1" width="14" bestFit="1" customWidth="1"/>
    <col min="2" max="2" width="20.81640625" bestFit="1" customWidth="1"/>
    <col min="3" max="3" width="9.7265625" bestFit="1" customWidth="1"/>
    <col min="4" max="4" width="12" bestFit="1" customWidth="1"/>
    <col min="5" max="5" width="16.54296875" bestFit="1" customWidth="1"/>
    <col min="6" max="6" width="18.453125" bestFit="1" customWidth="1"/>
    <col min="7" max="7" width="5.81640625" bestFit="1" customWidth="1"/>
    <col min="8" max="8" width="11.453125" bestFit="1" customWidth="1"/>
    <col min="9" max="9" width="9.1796875" bestFit="1" customWidth="1"/>
    <col min="10" max="10" width="27.81640625" bestFit="1" customWidth="1"/>
  </cols>
  <sheetData>
    <row r="1" spans="1:10" ht="15.5">
      <c r="A1" s="334" t="s">
        <v>3260</v>
      </c>
      <c r="B1" s="335" t="s">
        <v>1668</v>
      </c>
      <c r="C1" s="334" t="s">
        <v>2003</v>
      </c>
      <c r="D1" s="334" t="s">
        <v>2636</v>
      </c>
      <c r="E1" s="334" t="s">
        <v>3305</v>
      </c>
      <c r="F1" s="334" t="s">
        <v>2637</v>
      </c>
      <c r="G1" s="334" t="s">
        <v>1882</v>
      </c>
      <c r="H1" s="334" t="s">
        <v>3149</v>
      </c>
      <c r="I1" s="334" t="s">
        <v>2069</v>
      </c>
      <c r="J1" s="334" t="s">
        <v>3261</v>
      </c>
    </row>
    <row r="2" spans="1:10">
      <c r="A2" s="212" t="s">
        <v>148</v>
      </c>
      <c r="B2" s="213">
        <v>45545</v>
      </c>
      <c r="C2" s="212">
        <v>1.6775014399999999</v>
      </c>
      <c r="D2" s="212" t="s">
        <v>3262</v>
      </c>
      <c r="E2" s="212">
        <v>551409466</v>
      </c>
      <c r="F2" s="212" t="s">
        <v>3263</v>
      </c>
      <c r="G2" s="212">
        <v>199</v>
      </c>
      <c r="H2" s="212"/>
      <c r="I2" s="336" t="s">
        <v>2808</v>
      </c>
      <c r="J2" s="212" t="s">
        <v>2524</v>
      </c>
    </row>
    <row r="3" spans="1:10">
      <c r="A3" s="212" t="s">
        <v>148</v>
      </c>
      <c r="B3" s="213">
        <v>45566</v>
      </c>
      <c r="C3" s="212">
        <v>1.3168714100000001</v>
      </c>
      <c r="D3" s="212" t="s">
        <v>3264</v>
      </c>
      <c r="E3" s="212"/>
      <c r="F3" s="212" t="s">
        <v>3265</v>
      </c>
      <c r="G3" s="212">
        <v>199</v>
      </c>
      <c r="H3" s="212"/>
      <c r="I3" s="336" t="s">
        <v>2808</v>
      </c>
      <c r="J3" s="212" t="s">
        <v>2524</v>
      </c>
    </row>
    <row r="4" spans="1:10">
      <c r="A4" s="212" t="s">
        <v>148</v>
      </c>
      <c r="B4" s="213">
        <v>45567</v>
      </c>
      <c r="C4" s="212">
        <v>1.67569949</v>
      </c>
      <c r="D4" s="212" t="s">
        <v>3266</v>
      </c>
      <c r="E4" s="212">
        <v>554203953</v>
      </c>
      <c r="F4" s="212" t="s">
        <v>3267</v>
      </c>
      <c r="G4" s="212">
        <v>199</v>
      </c>
      <c r="H4" s="212"/>
      <c r="I4" s="336" t="s">
        <v>2808</v>
      </c>
      <c r="J4" s="212" t="s">
        <v>2524</v>
      </c>
    </row>
    <row r="5" spans="1:10">
      <c r="A5" s="212" t="s">
        <v>148</v>
      </c>
      <c r="B5" s="213">
        <v>45567</v>
      </c>
      <c r="C5" s="212">
        <v>1.67569944</v>
      </c>
      <c r="D5" s="212" t="s">
        <v>3268</v>
      </c>
      <c r="E5" s="212">
        <v>527882901</v>
      </c>
      <c r="F5" s="212" t="s">
        <v>2403</v>
      </c>
      <c r="G5" s="212">
        <v>199</v>
      </c>
      <c r="H5" s="212"/>
      <c r="I5" s="336" t="s">
        <v>2808</v>
      </c>
      <c r="J5" s="212" t="s">
        <v>2524</v>
      </c>
    </row>
    <row r="6" spans="1:10">
      <c r="A6" s="212" t="s">
        <v>148</v>
      </c>
      <c r="B6" s="213">
        <v>45567</v>
      </c>
      <c r="C6" s="212">
        <v>1.675713</v>
      </c>
      <c r="D6" s="212" t="s">
        <v>3269</v>
      </c>
      <c r="E6" s="212">
        <v>557082709</v>
      </c>
      <c r="F6" s="212" t="s">
        <v>3270</v>
      </c>
      <c r="G6" s="212">
        <v>199</v>
      </c>
      <c r="H6" s="337" t="s">
        <v>3271</v>
      </c>
      <c r="I6" s="336" t="s">
        <v>2808</v>
      </c>
      <c r="J6" s="212" t="s">
        <v>2524</v>
      </c>
    </row>
    <row r="7" spans="1:10">
      <c r="A7" s="212" t="s">
        <v>148</v>
      </c>
      <c r="B7" s="213">
        <v>45567</v>
      </c>
      <c r="C7" s="212">
        <v>1.6757510099999999</v>
      </c>
      <c r="D7" s="212" t="s">
        <v>3272</v>
      </c>
      <c r="E7" s="212">
        <v>505266883</v>
      </c>
      <c r="F7" s="212" t="s">
        <v>3096</v>
      </c>
      <c r="G7" s="212">
        <v>199</v>
      </c>
      <c r="H7" s="212"/>
      <c r="I7" s="336" t="s">
        <v>2808</v>
      </c>
      <c r="J7" s="212" t="s">
        <v>2524</v>
      </c>
    </row>
    <row r="8" spans="1:10">
      <c r="A8" s="212" t="s">
        <v>148</v>
      </c>
      <c r="B8" s="213">
        <v>45567</v>
      </c>
      <c r="C8" s="212">
        <v>1.6758065099999999</v>
      </c>
      <c r="D8" s="212" t="s">
        <v>3273</v>
      </c>
      <c r="E8" s="212">
        <v>566578332</v>
      </c>
      <c r="F8" s="212" t="s">
        <v>3274</v>
      </c>
      <c r="G8" s="212">
        <v>199</v>
      </c>
      <c r="H8" s="212"/>
      <c r="I8" s="336" t="s">
        <v>2808</v>
      </c>
      <c r="J8" s="212" t="s">
        <v>2524</v>
      </c>
    </row>
    <row r="9" spans="1:10">
      <c r="A9" s="212" t="s">
        <v>148</v>
      </c>
      <c r="B9" s="213">
        <v>45568</v>
      </c>
      <c r="C9" s="212">
        <v>1.6759758300000001</v>
      </c>
      <c r="D9" s="212" t="s">
        <v>3275</v>
      </c>
      <c r="E9" s="212">
        <v>507141052</v>
      </c>
      <c r="F9" s="212" t="s">
        <v>3276</v>
      </c>
      <c r="G9" s="212">
        <v>199</v>
      </c>
      <c r="H9" s="212"/>
      <c r="I9" s="336" t="s">
        <v>2808</v>
      </c>
      <c r="J9" s="212" t="s">
        <v>2524</v>
      </c>
    </row>
    <row r="10" spans="1:10">
      <c r="A10" s="212" t="s">
        <v>148</v>
      </c>
      <c r="B10" s="213">
        <v>45568</v>
      </c>
      <c r="C10" s="212">
        <v>1.675713</v>
      </c>
      <c r="D10" s="212" t="s">
        <v>3277</v>
      </c>
      <c r="E10" s="212">
        <v>557082709</v>
      </c>
      <c r="F10" s="212" t="s">
        <v>3270</v>
      </c>
      <c r="G10" s="212">
        <v>199</v>
      </c>
      <c r="H10" s="337" t="s">
        <v>3271</v>
      </c>
      <c r="I10" s="336" t="s">
        <v>2808</v>
      </c>
      <c r="J10" s="212" t="s">
        <v>2524</v>
      </c>
    </row>
    <row r="11" spans="1:10">
      <c r="A11" s="212" t="s">
        <v>148</v>
      </c>
      <c r="B11" s="213">
        <v>45568</v>
      </c>
      <c r="C11" s="212">
        <v>1.3168714100000001</v>
      </c>
      <c r="D11" s="212" t="s">
        <v>3278</v>
      </c>
      <c r="E11" s="212">
        <v>504111301</v>
      </c>
      <c r="F11" s="212" t="s">
        <v>3265</v>
      </c>
      <c r="G11" s="212">
        <v>199</v>
      </c>
      <c r="H11" s="212"/>
      <c r="I11" s="336" t="s">
        <v>2808</v>
      </c>
      <c r="J11" s="212" t="s">
        <v>2524</v>
      </c>
    </row>
    <row r="12" spans="1:10">
      <c r="A12" s="212" t="s">
        <v>148</v>
      </c>
      <c r="B12" s="213">
        <v>45569</v>
      </c>
      <c r="C12" s="212">
        <v>1.6762772699999999</v>
      </c>
      <c r="D12" s="212" t="s">
        <v>3279</v>
      </c>
      <c r="E12" s="212">
        <v>561061341</v>
      </c>
      <c r="F12" s="212" t="s">
        <v>3280</v>
      </c>
      <c r="G12" s="212">
        <v>199</v>
      </c>
      <c r="H12" s="212"/>
      <c r="I12" s="336" t="s">
        <v>2808</v>
      </c>
      <c r="J12" s="212" t="s">
        <v>2524</v>
      </c>
    </row>
    <row r="13" spans="1:10">
      <c r="A13" s="212" t="s">
        <v>148</v>
      </c>
      <c r="B13" s="213">
        <v>45571</v>
      </c>
      <c r="C13" s="212">
        <v>1.67677678</v>
      </c>
      <c r="D13" s="212" t="s">
        <v>3281</v>
      </c>
      <c r="E13" s="212">
        <v>503658763</v>
      </c>
      <c r="F13" s="212" t="s">
        <v>3282</v>
      </c>
      <c r="G13" s="212">
        <v>299</v>
      </c>
      <c r="H13" s="212"/>
      <c r="I13" s="336" t="s">
        <v>2808</v>
      </c>
      <c r="J13" s="212" t="s">
        <v>2524</v>
      </c>
    </row>
    <row r="14" spans="1:10">
      <c r="A14" s="212" t="s">
        <v>148</v>
      </c>
      <c r="B14" s="213">
        <v>45571</v>
      </c>
      <c r="C14" s="212">
        <v>1.6745614</v>
      </c>
      <c r="D14" s="212" t="s">
        <v>3283</v>
      </c>
      <c r="E14" s="212">
        <v>501748667</v>
      </c>
      <c r="F14" s="212" t="s">
        <v>3231</v>
      </c>
      <c r="G14" s="212">
        <v>199</v>
      </c>
      <c r="H14" s="212"/>
      <c r="I14" s="336" t="s">
        <v>2808</v>
      </c>
      <c r="J14" s="212" t="s">
        <v>2524</v>
      </c>
    </row>
    <row r="15" spans="1:10">
      <c r="A15" s="212" t="s">
        <v>148</v>
      </c>
      <c r="B15" s="213">
        <v>45573</v>
      </c>
      <c r="C15" s="212">
        <v>1.6772607100000001</v>
      </c>
      <c r="D15" s="212" t="s">
        <v>3284</v>
      </c>
      <c r="E15" s="212">
        <v>505688486</v>
      </c>
      <c r="F15" s="212" t="s">
        <v>3285</v>
      </c>
      <c r="G15" s="212">
        <v>199</v>
      </c>
      <c r="H15" s="212"/>
      <c r="I15" s="336" t="s">
        <v>2808</v>
      </c>
      <c r="J15" s="212" t="s">
        <v>2524</v>
      </c>
    </row>
    <row r="16" spans="1:10">
      <c r="A16" s="212" t="s">
        <v>148</v>
      </c>
      <c r="B16" s="213">
        <v>45581</v>
      </c>
      <c r="C16" s="212">
        <v>1.67936033</v>
      </c>
      <c r="D16" s="212" t="s">
        <v>3286</v>
      </c>
      <c r="E16" s="212">
        <v>563957298</v>
      </c>
      <c r="F16" s="212" t="s">
        <v>3287</v>
      </c>
      <c r="G16" s="212">
        <v>199</v>
      </c>
      <c r="H16" s="212"/>
      <c r="I16" s="336" t="s">
        <v>2808</v>
      </c>
      <c r="J16" s="212"/>
    </row>
    <row r="17" spans="1:15">
      <c r="A17" s="212" t="s">
        <v>148</v>
      </c>
      <c r="B17" s="213">
        <v>45582</v>
      </c>
      <c r="C17" s="212">
        <v>1.3534275</v>
      </c>
      <c r="D17" s="212" t="s">
        <v>3288</v>
      </c>
      <c r="E17" s="212">
        <v>523295995</v>
      </c>
      <c r="F17" s="212" t="s">
        <v>369</v>
      </c>
      <c r="G17" s="212">
        <v>199</v>
      </c>
      <c r="H17" s="212"/>
      <c r="I17" s="336" t="s">
        <v>2808</v>
      </c>
      <c r="J17" s="212"/>
    </row>
    <row r="18" spans="1:15">
      <c r="A18" s="212" t="s">
        <v>148</v>
      </c>
      <c r="B18" s="213">
        <v>45585</v>
      </c>
      <c r="C18" s="212">
        <v>1.40984949</v>
      </c>
      <c r="D18" s="212" t="s">
        <v>3289</v>
      </c>
      <c r="E18" s="212">
        <v>559191520</v>
      </c>
      <c r="F18" s="212" t="s">
        <v>3290</v>
      </c>
      <c r="G18" s="212">
        <v>199</v>
      </c>
      <c r="H18" s="212"/>
      <c r="I18" s="336" t="s">
        <v>2808</v>
      </c>
      <c r="J18" s="212"/>
    </row>
    <row r="19" spans="1:15">
      <c r="A19" s="212" t="s">
        <v>148</v>
      </c>
      <c r="B19" s="213">
        <v>45589</v>
      </c>
      <c r="C19" s="212">
        <v>1.60361478</v>
      </c>
      <c r="D19" s="212" t="s">
        <v>3291</v>
      </c>
      <c r="E19" s="212">
        <v>552251578</v>
      </c>
      <c r="F19" s="212" t="s">
        <v>3292</v>
      </c>
      <c r="G19" s="212">
        <v>199</v>
      </c>
      <c r="H19" s="212"/>
      <c r="I19" s="336" t="s">
        <v>2808</v>
      </c>
      <c r="J19" s="212"/>
    </row>
    <row r="20" spans="1:15">
      <c r="A20" s="212" t="s">
        <v>148</v>
      </c>
      <c r="B20" s="213">
        <v>45590</v>
      </c>
      <c r="C20" s="212">
        <v>1.6817393</v>
      </c>
      <c r="D20" s="212" t="s">
        <v>3293</v>
      </c>
      <c r="E20" s="212">
        <v>521442076</v>
      </c>
      <c r="F20" s="212" t="s">
        <v>3294</v>
      </c>
      <c r="G20" s="212">
        <v>199</v>
      </c>
      <c r="H20" s="212"/>
      <c r="I20" s="336" t="s">
        <v>2808</v>
      </c>
      <c r="J20" s="212"/>
    </row>
    <row r="21" spans="1:15">
      <c r="A21" s="212" t="s">
        <v>148</v>
      </c>
      <c r="B21" s="213">
        <v>45591</v>
      </c>
      <c r="C21" s="212">
        <v>1.6820255799999999</v>
      </c>
      <c r="D21" s="212" t="s">
        <v>3295</v>
      </c>
      <c r="E21" s="212">
        <v>555667185</v>
      </c>
      <c r="F21" s="212" t="s">
        <v>3296</v>
      </c>
      <c r="G21" s="212">
        <v>199</v>
      </c>
      <c r="H21" s="212"/>
      <c r="I21" s="336" t="s">
        <v>2808</v>
      </c>
      <c r="J21" s="212"/>
    </row>
    <row r="22" spans="1:15">
      <c r="A22" s="212" t="s">
        <v>148</v>
      </c>
      <c r="B22" s="213">
        <v>45593</v>
      </c>
      <c r="C22" s="212">
        <v>1.58514723</v>
      </c>
      <c r="D22" s="212" t="s">
        <v>3297</v>
      </c>
      <c r="E22" s="212">
        <v>582044720</v>
      </c>
      <c r="F22" s="212" t="s">
        <v>3298</v>
      </c>
      <c r="G22" s="212">
        <v>199</v>
      </c>
      <c r="H22" s="212"/>
      <c r="I22" s="336" t="s">
        <v>2808</v>
      </c>
      <c r="J22" s="212"/>
    </row>
    <row r="23" spans="1:15">
      <c r="A23" s="212" t="s">
        <v>148</v>
      </c>
      <c r="B23" s="213">
        <v>45594</v>
      </c>
      <c r="C23" s="212">
        <v>1.6828031400000001</v>
      </c>
      <c r="D23" s="212" t="s">
        <v>3299</v>
      </c>
      <c r="E23" s="212">
        <v>556017146</v>
      </c>
      <c r="F23" s="212" t="s">
        <v>3300</v>
      </c>
      <c r="G23" s="212">
        <v>199</v>
      </c>
      <c r="H23" s="212"/>
      <c r="I23" s="336" t="s">
        <v>2808</v>
      </c>
      <c r="J23" s="212"/>
    </row>
    <row r="24" spans="1:15">
      <c r="A24" s="212" t="s">
        <v>148</v>
      </c>
      <c r="B24" s="213">
        <v>45594</v>
      </c>
      <c r="C24" s="212">
        <v>1.1872155499999999</v>
      </c>
      <c r="D24" s="212" t="s">
        <v>3301</v>
      </c>
      <c r="E24" s="212">
        <v>558935999</v>
      </c>
      <c r="F24" s="212" t="s">
        <v>3302</v>
      </c>
      <c r="G24" s="212">
        <v>199</v>
      </c>
      <c r="H24" s="212"/>
      <c r="I24" s="336" t="s">
        <v>2808</v>
      </c>
      <c r="J24" s="212"/>
    </row>
    <row r="25" spans="1:15" ht="29">
      <c r="A25" s="361" t="s">
        <v>3313</v>
      </c>
      <c r="B25" s="362" t="s">
        <v>3314</v>
      </c>
      <c r="C25" s="362" t="s">
        <v>3315</v>
      </c>
      <c r="D25" s="362" t="s">
        <v>3316</v>
      </c>
      <c r="E25" s="363" t="s">
        <v>3319</v>
      </c>
      <c r="F25" s="362" t="s">
        <v>3320</v>
      </c>
      <c r="G25" s="362" t="s">
        <v>3321</v>
      </c>
      <c r="H25" s="362" t="s">
        <v>2069</v>
      </c>
      <c r="I25" s="362" t="s">
        <v>253</v>
      </c>
      <c r="J25" s="362" t="s">
        <v>3322</v>
      </c>
      <c r="K25" s="362" t="s">
        <v>2069</v>
      </c>
      <c r="L25" s="364" t="s">
        <v>3323</v>
      </c>
      <c r="M25" s="362" t="s">
        <v>3324</v>
      </c>
      <c r="N25" s="362" t="s">
        <v>3325</v>
      </c>
      <c r="O25" s="365" t="s">
        <v>3326</v>
      </c>
    </row>
    <row r="26" spans="1:15" ht="29">
      <c r="A26" s="366">
        <v>1</v>
      </c>
      <c r="B26" s="367" t="s">
        <v>3327</v>
      </c>
      <c r="C26" s="368">
        <v>45572</v>
      </c>
      <c r="D26" s="369" t="s">
        <v>3398</v>
      </c>
      <c r="E26" s="370">
        <v>507141052</v>
      </c>
      <c r="F26" s="369" t="s">
        <v>3399</v>
      </c>
      <c r="G26" s="369">
        <v>199</v>
      </c>
      <c r="H26" s="371" t="s">
        <v>2056</v>
      </c>
      <c r="I26" s="372"/>
      <c r="J26" s="366">
        <v>1.47943789</v>
      </c>
      <c r="K26" s="366" t="s">
        <v>3400</v>
      </c>
      <c r="L26" s="373">
        <v>45572</v>
      </c>
      <c r="M26" s="366" t="s">
        <v>2939</v>
      </c>
      <c r="N26" s="366"/>
      <c r="O26" s="373"/>
    </row>
    <row r="27" spans="1:15" ht="29">
      <c r="A27" s="366">
        <v>2</v>
      </c>
      <c r="B27" s="367" t="s">
        <v>3327</v>
      </c>
      <c r="C27" s="368">
        <v>45572</v>
      </c>
      <c r="D27" s="374" t="s">
        <v>3401</v>
      </c>
      <c r="E27" s="375">
        <v>547038670</v>
      </c>
      <c r="F27" s="374" t="s">
        <v>3402</v>
      </c>
      <c r="G27" s="374">
        <v>199</v>
      </c>
      <c r="H27" s="376" t="s">
        <v>2056</v>
      </c>
      <c r="I27" s="372"/>
      <c r="J27" s="366">
        <v>1.32280771</v>
      </c>
      <c r="K27" s="366" t="s">
        <v>1589</v>
      </c>
      <c r="L27" s="373">
        <v>45572</v>
      </c>
      <c r="M27" s="366"/>
      <c r="N27" s="366"/>
      <c r="O27" s="373"/>
    </row>
    <row r="28" spans="1:15" ht="29">
      <c r="A28" s="366">
        <v>3</v>
      </c>
      <c r="B28" s="367" t="s">
        <v>3327</v>
      </c>
      <c r="C28" s="368">
        <v>45574</v>
      </c>
      <c r="D28" s="377" t="s">
        <v>3403</v>
      </c>
      <c r="E28" s="378">
        <v>551409446</v>
      </c>
      <c r="F28" s="377" t="s">
        <v>3404</v>
      </c>
      <c r="G28" s="377">
        <v>199</v>
      </c>
      <c r="H28" s="379" t="s">
        <v>331</v>
      </c>
      <c r="I28" s="372" t="s">
        <v>331</v>
      </c>
      <c r="J28" s="366"/>
      <c r="K28" s="366" t="s">
        <v>331</v>
      </c>
      <c r="L28" s="373"/>
      <c r="M28" s="366"/>
      <c r="N28" s="380"/>
      <c r="O28" s="373"/>
    </row>
    <row r="29" spans="1:15" ht="29">
      <c r="A29" s="366">
        <v>4</v>
      </c>
      <c r="B29" s="367" t="s">
        <v>3327</v>
      </c>
      <c r="C29" s="368">
        <v>45574</v>
      </c>
      <c r="D29" s="381" t="s">
        <v>3405</v>
      </c>
      <c r="E29" s="382">
        <v>509231876</v>
      </c>
      <c r="F29" s="381" t="s">
        <v>3406</v>
      </c>
      <c r="G29" s="381">
        <v>199</v>
      </c>
      <c r="H29" s="376" t="s">
        <v>2056</v>
      </c>
      <c r="I29" s="367"/>
      <c r="J29" s="366">
        <v>1.6775313300000001</v>
      </c>
      <c r="K29" s="366" t="s">
        <v>1589</v>
      </c>
      <c r="L29" s="373">
        <v>45576</v>
      </c>
      <c r="M29" s="366"/>
      <c r="N29" s="380"/>
      <c r="O29" s="373"/>
    </row>
    <row r="30" spans="1:15" ht="29">
      <c r="A30" s="366">
        <v>5</v>
      </c>
      <c r="B30" s="367" t="s">
        <v>3327</v>
      </c>
      <c r="C30" s="368">
        <v>45577</v>
      </c>
      <c r="D30" s="383" t="s">
        <v>3407</v>
      </c>
      <c r="E30" s="384">
        <v>502173962</v>
      </c>
      <c r="F30" s="383" t="s">
        <v>3408</v>
      </c>
      <c r="G30" s="383">
        <v>199</v>
      </c>
      <c r="H30" s="376" t="s">
        <v>2056</v>
      </c>
      <c r="I30" s="367"/>
      <c r="J30" s="366">
        <v>1.6782816300000001</v>
      </c>
      <c r="K30" s="366" t="s">
        <v>1589</v>
      </c>
      <c r="L30" s="373">
        <v>45577</v>
      </c>
      <c r="M30" s="366"/>
      <c r="N30" s="380"/>
      <c r="O30" s="373"/>
    </row>
    <row r="31" spans="1:15" ht="29">
      <c r="A31" s="366">
        <v>6</v>
      </c>
      <c r="B31" s="367" t="s">
        <v>3327</v>
      </c>
      <c r="C31" s="368">
        <v>45578</v>
      </c>
      <c r="D31" s="383" t="s">
        <v>3409</v>
      </c>
      <c r="E31" s="384">
        <v>552863356</v>
      </c>
      <c r="F31" s="383" t="s">
        <v>3410</v>
      </c>
      <c r="G31" s="383">
        <v>199</v>
      </c>
      <c r="H31" s="376" t="s">
        <v>2056</v>
      </c>
      <c r="I31" s="367"/>
      <c r="J31" s="366">
        <v>1.67850411</v>
      </c>
      <c r="K31" s="366" t="s">
        <v>1589</v>
      </c>
      <c r="L31" s="373">
        <v>45578</v>
      </c>
      <c r="M31" s="366"/>
      <c r="N31" s="380"/>
      <c r="O31" s="373"/>
    </row>
    <row r="32" spans="1:15" ht="29">
      <c r="A32" s="366">
        <v>7</v>
      </c>
      <c r="B32" s="367" t="s">
        <v>3327</v>
      </c>
      <c r="C32" s="368">
        <v>45578</v>
      </c>
      <c r="D32" s="383" t="s">
        <v>3411</v>
      </c>
      <c r="E32" s="384">
        <v>508263723</v>
      </c>
      <c r="F32" s="383" t="s">
        <v>3412</v>
      </c>
      <c r="G32" s="383">
        <v>199</v>
      </c>
      <c r="H32" s="376" t="s">
        <v>2056</v>
      </c>
      <c r="I32" s="367"/>
      <c r="J32" s="366">
        <v>1.6785418700000001</v>
      </c>
      <c r="K32" s="366" t="s">
        <v>1589</v>
      </c>
      <c r="L32" s="373">
        <v>45578</v>
      </c>
      <c r="M32" s="366"/>
      <c r="N32" s="380"/>
      <c r="O32" s="373"/>
    </row>
    <row r="33" spans="1:15" ht="29">
      <c r="A33" s="366">
        <v>8</v>
      </c>
      <c r="B33" s="380" t="s">
        <v>3327</v>
      </c>
      <c r="C33" s="368">
        <v>45582</v>
      </c>
      <c r="D33" s="383" t="s">
        <v>3413</v>
      </c>
      <c r="E33" s="384">
        <v>504778191</v>
      </c>
      <c r="F33" s="383" t="s">
        <v>3414</v>
      </c>
      <c r="G33" s="383">
        <v>199</v>
      </c>
      <c r="H33" s="376" t="s">
        <v>2056</v>
      </c>
      <c r="I33" s="367"/>
      <c r="J33" s="380">
        <v>1.67967632</v>
      </c>
      <c r="K33" s="366" t="s">
        <v>1589</v>
      </c>
      <c r="L33" s="385">
        <v>45583</v>
      </c>
      <c r="M33" s="380"/>
      <c r="N33" s="380"/>
      <c r="O33" s="385"/>
    </row>
    <row r="34" spans="1:15" ht="29">
      <c r="A34" s="366">
        <v>9</v>
      </c>
      <c r="B34" s="367" t="s">
        <v>3327</v>
      </c>
      <c r="C34" s="368">
        <v>45587</v>
      </c>
      <c r="D34" s="386" t="s">
        <v>3415</v>
      </c>
      <c r="E34" s="387">
        <v>507681410</v>
      </c>
      <c r="F34" s="386" t="s">
        <v>3416</v>
      </c>
      <c r="G34" s="386">
        <v>199</v>
      </c>
      <c r="H34" s="376" t="s">
        <v>2056</v>
      </c>
      <c r="I34" s="367"/>
      <c r="J34" s="380">
        <v>1.68086281</v>
      </c>
      <c r="K34" s="366" t="s">
        <v>1589</v>
      </c>
      <c r="L34" s="385">
        <v>45587</v>
      </c>
      <c r="M34" s="380"/>
      <c r="N34" s="380"/>
      <c r="O34" s="385"/>
    </row>
    <row r="35" spans="1:15" ht="29">
      <c r="A35" s="366">
        <v>10</v>
      </c>
      <c r="B35" s="367" t="s">
        <v>3327</v>
      </c>
      <c r="C35" s="368">
        <v>45590</v>
      </c>
      <c r="D35" s="386" t="s">
        <v>3417</v>
      </c>
      <c r="E35" s="386">
        <v>564899792</v>
      </c>
      <c r="F35" s="386" t="s">
        <v>3418</v>
      </c>
      <c r="G35" s="386">
        <v>199</v>
      </c>
      <c r="H35" s="376" t="s">
        <v>2056</v>
      </c>
      <c r="I35" s="367"/>
      <c r="J35" s="380">
        <v>1.68176879</v>
      </c>
      <c r="K35" s="366" t="s">
        <v>1589</v>
      </c>
      <c r="L35" s="385">
        <v>45590</v>
      </c>
      <c r="M35" s="380"/>
      <c r="N35" s="380"/>
      <c r="O35" s="385"/>
    </row>
    <row r="36" spans="1:15" ht="29">
      <c r="A36" s="366">
        <v>11</v>
      </c>
      <c r="B36" s="367" t="s">
        <v>3327</v>
      </c>
      <c r="C36" s="368">
        <v>45591</v>
      </c>
      <c r="D36" s="386" t="s">
        <v>3419</v>
      </c>
      <c r="E36" s="386">
        <v>529685264</v>
      </c>
      <c r="F36" s="386" t="s">
        <v>3420</v>
      </c>
      <c r="G36" s="386">
        <v>299</v>
      </c>
      <c r="H36" s="376" t="s">
        <v>2056</v>
      </c>
      <c r="I36" s="367"/>
      <c r="J36" s="380">
        <v>1.4802061099999999</v>
      </c>
      <c r="K36" s="366" t="s">
        <v>1589</v>
      </c>
      <c r="L36" s="385">
        <v>45592</v>
      </c>
      <c r="M36" s="380"/>
      <c r="N36" s="380"/>
      <c r="O36" s="385"/>
    </row>
    <row r="37" spans="1:15" ht="29">
      <c r="A37" s="366">
        <v>12</v>
      </c>
      <c r="B37" s="367" t="s">
        <v>3327</v>
      </c>
      <c r="C37" s="368">
        <v>45592</v>
      </c>
      <c r="D37" s="386" t="s">
        <v>3421</v>
      </c>
      <c r="E37" s="386">
        <v>551550254</v>
      </c>
      <c r="F37" s="386" t="s">
        <v>3422</v>
      </c>
      <c r="G37" s="386">
        <v>199</v>
      </c>
      <c r="H37" s="376" t="s">
        <v>2056</v>
      </c>
      <c r="I37" s="367"/>
      <c r="J37" s="380">
        <v>1.6822727799999999</v>
      </c>
      <c r="K37" s="366" t="s">
        <v>1589</v>
      </c>
      <c r="L37" s="385">
        <v>45592</v>
      </c>
      <c r="M37" s="380"/>
      <c r="N37" s="380"/>
      <c r="O37" s="385"/>
    </row>
    <row r="38" spans="1:15" ht="29">
      <c r="A38" s="366">
        <v>13</v>
      </c>
      <c r="B38" s="367" t="s">
        <v>3327</v>
      </c>
      <c r="C38" s="368">
        <v>45592</v>
      </c>
      <c r="D38" s="386" t="s">
        <v>3423</v>
      </c>
      <c r="E38" s="386">
        <v>563952786</v>
      </c>
      <c r="F38" s="386" t="s">
        <v>3424</v>
      </c>
      <c r="G38" s="386">
        <v>199</v>
      </c>
      <c r="H38" s="376" t="s">
        <v>2056</v>
      </c>
      <c r="I38" s="367"/>
      <c r="J38" s="380">
        <v>1.6822911</v>
      </c>
      <c r="K38" s="366" t="s">
        <v>1589</v>
      </c>
      <c r="L38" s="385">
        <v>45592</v>
      </c>
      <c r="M38" s="380"/>
      <c r="N38" s="380"/>
      <c r="O38" s="385"/>
    </row>
  </sheetData>
  <conditionalFormatting sqref="C1:C24">
    <cfRule type="duplicateValues" dxfId="374" priority="3"/>
  </conditionalFormatting>
  <conditionalFormatting sqref="F25:F33">
    <cfRule type="duplicateValues" dxfId="373" priority="2"/>
  </conditionalFormatting>
  <conditionalFormatting sqref="F25:F38">
    <cfRule type="duplicateValues" dxfId="372" priority="1"/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Q35"/>
  <sheetViews>
    <sheetView topLeftCell="A31" workbookViewId="0">
      <selection activeCell="D3" sqref="D3"/>
    </sheetView>
  </sheetViews>
  <sheetFormatPr defaultRowHeight="14.5"/>
  <cols>
    <col min="1" max="1" width="16.54296875" bestFit="1" customWidth="1"/>
    <col min="2" max="2" width="15.7265625" bestFit="1" customWidth="1"/>
    <col min="3" max="3" width="4.81640625" bestFit="1" customWidth="1"/>
  </cols>
  <sheetData>
    <row r="1" spans="1:17" ht="15.5">
      <c r="A1" s="334" t="s">
        <v>3305</v>
      </c>
      <c r="B1" s="334" t="s">
        <v>2637</v>
      </c>
      <c r="C1" s="334" t="s">
        <v>1882</v>
      </c>
    </row>
    <row r="2" spans="1:17">
      <c r="A2" t="s">
        <v>3307</v>
      </c>
      <c r="B2">
        <v>563825130</v>
      </c>
    </row>
    <row r="3" spans="1:17" ht="26.5">
      <c r="A3" s="388" t="s">
        <v>3313</v>
      </c>
      <c r="B3" s="388" t="s">
        <v>3314</v>
      </c>
      <c r="C3" s="388" t="s">
        <v>3315</v>
      </c>
      <c r="D3" s="388" t="s">
        <v>3316</v>
      </c>
      <c r="E3" s="388" t="s">
        <v>3319</v>
      </c>
      <c r="F3" s="388" t="s">
        <v>3320</v>
      </c>
      <c r="G3" s="388" t="s">
        <v>3321</v>
      </c>
      <c r="H3" s="388" t="s">
        <v>2069</v>
      </c>
      <c r="I3" s="388" t="s">
        <v>253</v>
      </c>
      <c r="J3" s="388" t="s">
        <v>3322</v>
      </c>
      <c r="K3" s="389" t="s">
        <v>2069</v>
      </c>
      <c r="L3" s="389" t="s">
        <v>3323</v>
      </c>
      <c r="M3" s="388" t="s">
        <v>3324</v>
      </c>
      <c r="N3" s="388" t="s">
        <v>3325</v>
      </c>
      <c r="O3" s="388" t="s">
        <v>3326</v>
      </c>
      <c r="P3" s="388" t="s">
        <v>3317</v>
      </c>
      <c r="Q3" s="388" t="s">
        <v>3318</v>
      </c>
    </row>
    <row r="4" spans="1:17" ht="39.5">
      <c r="A4" s="390">
        <v>1</v>
      </c>
      <c r="B4" s="391" t="s">
        <v>3327</v>
      </c>
      <c r="C4" s="392">
        <v>45599</v>
      </c>
      <c r="D4" s="393" t="s">
        <v>3425</v>
      </c>
      <c r="E4" s="393">
        <v>565036069</v>
      </c>
      <c r="F4" s="393" t="s">
        <v>3426</v>
      </c>
      <c r="G4" s="393">
        <v>199</v>
      </c>
      <c r="H4" s="393" t="s">
        <v>3335</v>
      </c>
      <c r="I4" s="391" t="s">
        <v>3427</v>
      </c>
      <c r="J4" s="390"/>
      <c r="K4" s="394" t="s">
        <v>3335</v>
      </c>
      <c r="L4" s="395"/>
      <c r="M4" s="396"/>
      <c r="N4" s="391"/>
      <c r="O4" s="397"/>
      <c r="P4" s="398" t="s">
        <v>3342</v>
      </c>
      <c r="Q4" s="398">
        <v>784198693751053</v>
      </c>
    </row>
    <row r="5" spans="1:17" ht="26.5">
      <c r="A5" s="390">
        <v>2</v>
      </c>
      <c r="B5" s="391" t="s">
        <v>3327</v>
      </c>
      <c r="C5" s="392">
        <v>45602</v>
      </c>
      <c r="D5" s="399" t="s">
        <v>3428</v>
      </c>
      <c r="E5" s="400">
        <v>509583740</v>
      </c>
      <c r="F5" s="400" t="s">
        <v>3429</v>
      </c>
      <c r="G5" s="400">
        <v>199</v>
      </c>
      <c r="H5" s="400" t="s">
        <v>2056</v>
      </c>
      <c r="I5" s="391"/>
      <c r="J5" s="390">
        <v>1.6852343999999999</v>
      </c>
      <c r="K5" s="394" t="s">
        <v>1589</v>
      </c>
      <c r="L5" s="395">
        <v>45602</v>
      </c>
      <c r="M5" s="396"/>
      <c r="N5" s="396"/>
      <c r="O5" s="397"/>
      <c r="P5" s="398" t="s">
        <v>3338</v>
      </c>
      <c r="Q5" s="398">
        <v>784198625392406</v>
      </c>
    </row>
    <row r="6" spans="1:17" ht="26.5">
      <c r="A6" s="390">
        <v>3</v>
      </c>
      <c r="B6" s="391" t="s">
        <v>3327</v>
      </c>
      <c r="C6" s="392">
        <v>45605</v>
      </c>
      <c r="D6" s="400" t="s">
        <v>3430</v>
      </c>
      <c r="E6" s="400">
        <v>564173174</v>
      </c>
      <c r="F6" s="400" t="s">
        <v>3431</v>
      </c>
      <c r="G6" s="400">
        <v>199</v>
      </c>
      <c r="H6" s="400" t="s">
        <v>2056</v>
      </c>
      <c r="I6" s="391"/>
      <c r="J6" s="390">
        <v>1.68608088</v>
      </c>
      <c r="K6" s="394" t="s">
        <v>1589</v>
      </c>
      <c r="L6" s="395">
        <v>45606</v>
      </c>
      <c r="M6" s="396"/>
      <c r="N6" s="396"/>
      <c r="O6" s="397"/>
      <c r="P6" s="398" t="s">
        <v>3342</v>
      </c>
      <c r="Q6" s="398">
        <v>78419709478079</v>
      </c>
    </row>
    <row r="7" spans="1:17" ht="26.5">
      <c r="A7" s="390">
        <v>4</v>
      </c>
      <c r="B7" s="391" t="s">
        <v>3327</v>
      </c>
      <c r="C7" s="392">
        <v>45605</v>
      </c>
      <c r="D7" s="400" t="s">
        <v>3432</v>
      </c>
      <c r="E7" s="400">
        <v>567853481</v>
      </c>
      <c r="F7" s="400" t="s">
        <v>3433</v>
      </c>
      <c r="G7" s="400">
        <v>199</v>
      </c>
      <c r="H7" s="400" t="s">
        <v>2056</v>
      </c>
      <c r="I7" s="391"/>
      <c r="J7" s="390">
        <v>1.68608333</v>
      </c>
      <c r="K7" s="394" t="s">
        <v>1589</v>
      </c>
      <c r="L7" s="395">
        <v>45605</v>
      </c>
      <c r="M7" s="396"/>
      <c r="N7" s="396"/>
      <c r="O7" s="397"/>
      <c r="P7" s="398" t="s">
        <v>3329</v>
      </c>
      <c r="Q7" s="398">
        <v>784199349817058</v>
      </c>
    </row>
    <row r="8" spans="1:17" ht="26.5">
      <c r="A8" s="390">
        <v>5</v>
      </c>
      <c r="B8" s="391" t="s">
        <v>3327</v>
      </c>
      <c r="C8" s="392">
        <v>45605</v>
      </c>
      <c r="D8" s="400" t="s">
        <v>3434</v>
      </c>
      <c r="E8" s="400">
        <v>504174732</v>
      </c>
      <c r="F8" s="400" t="s">
        <v>3435</v>
      </c>
      <c r="G8" s="400">
        <v>199</v>
      </c>
      <c r="H8" s="400" t="s">
        <v>2056</v>
      </c>
      <c r="I8" s="391"/>
      <c r="J8" s="390">
        <v>1.68608556</v>
      </c>
      <c r="K8" s="394" t="s">
        <v>1589</v>
      </c>
      <c r="L8" s="395">
        <v>45605</v>
      </c>
      <c r="M8" s="396"/>
      <c r="N8" s="396"/>
      <c r="O8" s="397"/>
      <c r="P8" s="398" t="s">
        <v>3342</v>
      </c>
      <c r="Q8" s="398">
        <v>784197709280537</v>
      </c>
    </row>
    <row r="9" spans="1:17" ht="52.5">
      <c r="A9" s="390">
        <v>6</v>
      </c>
      <c r="B9" s="391" t="s">
        <v>3327</v>
      </c>
      <c r="C9" s="392">
        <v>45605</v>
      </c>
      <c r="D9" s="400" t="s">
        <v>3436</v>
      </c>
      <c r="E9" s="400">
        <v>554963963</v>
      </c>
      <c r="F9" s="400" t="s">
        <v>3437</v>
      </c>
      <c r="G9" s="400">
        <v>199</v>
      </c>
      <c r="H9" s="400" t="s">
        <v>2056</v>
      </c>
      <c r="I9" s="391"/>
      <c r="J9" s="390">
        <v>1.4431913000000001</v>
      </c>
      <c r="K9" s="394" t="s">
        <v>1589</v>
      </c>
      <c r="L9" s="395">
        <v>45605</v>
      </c>
      <c r="M9" s="396"/>
      <c r="N9" s="396"/>
      <c r="O9" s="397"/>
      <c r="P9" s="398" t="s">
        <v>3342</v>
      </c>
      <c r="Q9" s="398">
        <v>784197069404933</v>
      </c>
    </row>
    <row r="10" spans="1:17" ht="26.5">
      <c r="A10" s="390">
        <v>7</v>
      </c>
      <c r="B10" s="391" t="s">
        <v>3327</v>
      </c>
      <c r="C10" s="392">
        <v>45605</v>
      </c>
      <c r="D10" s="400" t="s">
        <v>3438</v>
      </c>
      <c r="E10" s="400">
        <v>552544918</v>
      </c>
      <c r="F10" s="400" t="s">
        <v>3439</v>
      </c>
      <c r="G10" s="400">
        <v>199</v>
      </c>
      <c r="H10" s="400" t="s">
        <v>2056</v>
      </c>
      <c r="I10" s="391"/>
      <c r="J10" s="390">
        <v>1.6861377799999999</v>
      </c>
      <c r="K10" s="394" t="s">
        <v>1589</v>
      </c>
      <c r="L10" s="395">
        <v>45606</v>
      </c>
      <c r="M10" s="396"/>
      <c r="N10" s="396"/>
      <c r="O10" s="397"/>
      <c r="P10" s="398" t="s">
        <v>3332</v>
      </c>
      <c r="Q10" s="398">
        <v>784199680005933</v>
      </c>
    </row>
    <row r="11" spans="1:17" ht="26.5">
      <c r="A11" s="390">
        <v>8</v>
      </c>
      <c r="B11" s="391" t="s">
        <v>3327</v>
      </c>
      <c r="C11" s="392">
        <v>45605</v>
      </c>
      <c r="D11" s="400" t="s">
        <v>3440</v>
      </c>
      <c r="E11" s="400">
        <v>551092013</v>
      </c>
      <c r="F11" s="400" t="s">
        <v>3441</v>
      </c>
      <c r="G11" s="400">
        <v>199</v>
      </c>
      <c r="H11" s="400" t="s">
        <v>2056</v>
      </c>
      <c r="I11" s="391"/>
      <c r="J11" s="390">
        <v>1.68607569</v>
      </c>
      <c r="K11" s="394" t="s">
        <v>1589</v>
      </c>
      <c r="L11" s="395">
        <v>45605</v>
      </c>
      <c r="M11" s="396"/>
      <c r="N11" s="396"/>
      <c r="O11" s="397"/>
      <c r="P11" s="398" t="s">
        <v>3342</v>
      </c>
      <c r="Q11" s="398">
        <v>784199535925160</v>
      </c>
    </row>
    <row r="12" spans="1:17" ht="26.5">
      <c r="A12" s="390">
        <v>9</v>
      </c>
      <c r="B12" s="391" t="s">
        <v>3327</v>
      </c>
      <c r="C12" s="392">
        <v>45606</v>
      </c>
      <c r="D12" s="400" t="s">
        <v>3442</v>
      </c>
      <c r="E12" s="400">
        <v>582540372</v>
      </c>
      <c r="F12" s="400" t="s">
        <v>3443</v>
      </c>
      <c r="G12" s="400">
        <v>199</v>
      </c>
      <c r="H12" s="400" t="s">
        <v>2056</v>
      </c>
      <c r="I12" s="391"/>
      <c r="J12" s="390">
        <v>1.6863923700000001</v>
      </c>
      <c r="K12" s="394" t="s">
        <v>1589</v>
      </c>
      <c r="L12" s="395">
        <v>45606</v>
      </c>
      <c r="M12" s="396"/>
      <c r="N12" s="396"/>
      <c r="O12" s="397"/>
      <c r="P12" s="398" t="s">
        <v>3444</v>
      </c>
      <c r="Q12" s="398">
        <v>784199750716948</v>
      </c>
    </row>
    <row r="13" spans="1:17" ht="26.5">
      <c r="A13" s="390">
        <v>10</v>
      </c>
      <c r="B13" s="391" t="s">
        <v>3327</v>
      </c>
      <c r="C13" s="392">
        <v>45607</v>
      </c>
      <c r="D13" s="400" t="s">
        <v>3445</v>
      </c>
      <c r="E13" s="400">
        <v>501225643</v>
      </c>
      <c r="F13" s="400" t="s">
        <v>3446</v>
      </c>
      <c r="G13" s="400">
        <v>199</v>
      </c>
      <c r="H13" s="400" t="s">
        <v>2056</v>
      </c>
      <c r="I13" s="391"/>
      <c r="J13" s="390">
        <v>1.68677458</v>
      </c>
      <c r="K13" s="394" t="s">
        <v>1589</v>
      </c>
      <c r="L13" s="395">
        <v>45608</v>
      </c>
      <c r="M13" s="396"/>
      <c r="N13" s="396"/>
      <c r="O13" s="397"/>
      <c r="P13" s="398" t="s">
        <v>3396</v>
      </c>
      <c r="Q13" s="398">
        <v>784200259454674</v>
      </c>
    </row>
    <row r="14" spans="1:17" ht="26.5">
      <c r="A14" s="390">
        <v>11</v>
      </c>
      <c r="B14" s="391" t="s">
        <v>3327</v>
      </c>
      <c r="C14" s="392">
        <v>45608</v>
      </c>
      <c r="D14" s="400" t="s">
        <v>3447</v>
      </c>
      <c r="E14" s="400">
        <v>509988050</v>
      </c>
      <c r="F14" s="400" t="s">
        <v>3448</v>
      </c>
      <c r="G14" s="400">
        <v>199</v>
      </c>
      <c r="H14" s="400" t="s">
        <v>2056</v>
      </c>
      <c r="I14" s="391"/>
      <c r="J14" s="390">
        <v>1.68702402</v>
      </c>
      <c r="K14" s="394" t="s">
        <v>1589</v>
      </c>
      <c r="L14" s="395">
        <v>45608</v>
      </c>
      <c r="M14" s="396"/>
      <c r="N14" s="396"/>
      <c r="O14" s="397"/>
      <c r="P14" s="398" t="s">
        <v>3449</v>
      </c>
      <c r="Q14" s="398">
        <v>784199681631968</v>
      </c>
    </row>
    <row r="15" spans="1:17" ht="26.5">
      <c r="A15" s="390">
        <v>12</v>
      </c>
      <c r="B15" s="391" t="s">
        <v>3327</v>
      </c>
      <c r="C15" s="392">
        <v>45609</v>
      </c>
      <c r="D15" s="400" t="s">
        <v>3450</v>
      </c>
      <c r="E15" s="400">
        <v>507085866</v>
      </c>
      <c r="F15" s="400" t="s">
        <v>3451</v>
      </c>
      <c r="G15" s="400">
        <v>199</v>
      </c>
      <c r="H15" s="400" t="s">
        <v>2056</v>
      </c>
      <c r="I15" s="391"/>
      <c r="J15" s="390">
        <v>1.6873175600000001</v>
      </c>
      <c r="K15" s="394" t="s">
        <v>1589</v>
      </c>
      <c r="L15" s="395">
        <v>45609</v>
      </c>
      <c r="M15" s="396"/>
      <c r="N15" s="396"/>
      <c r="O15" s="397"/>
      <c r="P15" s="398" t="s">
        <v>3452</v>
      </c>
      <c r="Q15" s="398">
        <v>784199671133447</v>
      </c>
    </row>
    <row r="16" spans="1:17" ht="26.5">
      <c r="A16" s="390">
        <v>13</v>
      </c>
      <c r="B16" s="391" t="s">
        <v>3327</v>
      </c>
      <c r="C16" s="392">
        <v>45612</v>
      </c>
      <c r="D16" s="399" t="s">
        <v>3453</v>
      </c>
      <c r="E16" s="400">
        <v>501237930</v>
      </c>
      <c r="F16" s="400" t="s">
        <v>3454</v>
      </c>
      <c r="G16" s="400">
        <v>199</v>
      </c>
      <c r="H16" s="400" t="s">
        <v>2056</v>
      </c>
      <c r="I16" s="391"/>
      <c r="J16" s="396">
        <v>1.68824756</v>
      </c>
      <c r="K16" s="394" t="s">
        <v>1589</v>
      </c>
      <c r="L16" s="397">
        <v>45613</v>
      </c>
      <c r="M16" s="396"/>
      <c r="N16" s="396"/>
      <c r="O16" s="397"/>
      <c r="P16" s="398" t="s">
        <v>3455</v>
      </c>
      <c r="Q16" s="398">
        <v>784200072116153</v>
      </c>
    </row>
    <row r="17" spans="1:17" ht="26.5">
      <c r="A17" s="390">
        <v>14</v>
      </c>
      <c r="B17" s="391" t="s">
        <v>3327</v>
      </c>
      <c r="C17" s="392">
        <v>45612</v>
      </c>
      <c r="D17" s="393" t="s">
        <v>3456</v>
      </c>
      <c r="E17" s="393">
        <v>502706464</v>
      </c>
      <c r="F17" s="393" t="s">
        <v>3457</v>
      </c>
      <c r="G17" s="393">
        <v>199</v>
      </c>
      <c r="H17" s="393" t="s">
        <v>3335</v>
      </c>
      <c r="I17" s="391" t="s">
        <v>3458</v>
      </c>
      <c r="J17" s="390"/>
      <c r="K17" s="394" t="s">
        <v>3335</v>
      </c>
      <c r="L17" s="395"/>
      <c r="M17" s="396"/>
      <c r="N17" s="396"/>
      <c r="O17" s="397"/>
      <c r="P17" s="398" t="s">
        <v>3459</v>
      </c>
      <c r="Q17" s="398">
        <v>784198309208464</v>
      </c>
    </row>
    <row r="18" spans="1:17" ht="26.5">
      <c r="A18" s="390">
        <v>15</v>
      </c>
      <c r="B18" s="391" t="s">
        <v>3327</v>
      </c>
      <c r="C18" s="392">
        <v>45613</v>
      </c>
      <c r="D18" s="393" t="s">
        <v>3460</v>
      </c>
      <c r="E18" s="393">
        <v>524629206</v>
      </c>
      <c r="F18" s="393" t="s">
        <v>3461</v>
      </c>
      <c r="G18" s="393">
        <v>199</v>
      </c>
      <c r="H18" s="393" t="s">
        <v>3335</v>
      </c>
      <c r="I18" s="391" t="s">
        <v>3462</v>
      </c>
      <c r="J18" s="390"/>
      <c r="K18" s="394" t="s">
        <v>3335</v>
      </c>
      <c r="L18" s="395"/>
      <c r="M18" s="396"/>
      <c r="N18" s="396"/>
      <c r="O18" s="397"/>
      <c r="P18" s="398" t="s">
        <v>3463</v>
      </c>
      <c r="Q18" s="398">
        <v>784199346173331</v>
      </c>
    </row>
    <row r="19" spans="1:17" ht="39.5">
      <c r="A19" s="390">
        <v>16</v>
      </c>
      <c r="B19" s="391" t="s">
        <v>3327</v>
      </c>
      <c r="C19" s="392">
        <v>45614</v>
      </c>
      <c r="D19" s="400" t="s">
        <v>3464</v>
      </c>
      <c r="E19" s="400">
        <v>528509782</v>
      </c>
      <c r="F19" s="400" t="s">
        <v>3465</v>
      </c>
      <c r="G19" s="400">
        <v>199</v>
      </c>
      <c r="H19" s="400" t="s">
        <v>2056</v>
      </c>
      <c r="I19" s="391"/>
      <c r="J19" s="390">
        <v>1.68882391</v>
      </c>
      <c r="K19" s="394" t="s">
        <v>1589</v>
      </c>
      <c r="L19" s="395">
        <v>45614</v>
      </c>
      <c r="M19" s="396"/>
      <c r="N19" s="396"/>
      <c r="O19" s="397"/>
      <c r="P19" s="398" t="s">
        <v>3332</v>
      </c>
      <c r="Q19" s="398">
        <v>784199847885615</v>
      </c>
    </row>
    <row r="20" spans="1:17" ht="26.5">
      <c r="A20" s="390">
        <v>17</v>
      </c>
      <c r="B20" s="391" t="s">
        <v>3327</v>
      </c>
      <c r="C20" s="392">
        <v>45614</v>
      </c>
      <c r="D20" s="400" t="s">
        <v>3466</v>
      </c>
      <c r="E20" s="400">
        <v>588079902</v>
      </c>
      <c r="F20" s="400" t="s">
        <v>3467</v>
      </c>
      <c r="G20" s="400">
        <v>199</v>
      </c>
      <c r="H20" s="400" t="s">
        <v>2056</v>
      </c>
      <c r="I20" s="391"/>
      <c r="J20" s="390">
        <v>1.68889881</v>
      </c>
      <c r="K20" s="394" t="s">
        <v>1589</v>
      </c>
      <c r="L20" s="395">
        <v>45615</v>
      </c>
      <c r="M20" s="396"/>
      <c r="N20" s="396"/>
      <c r="O20" s="397"/>
      <c r="P20" s="398" t="s">
        <v>3468</v>
      </c>
      <c r="Q20" s="398">
        <v>784199637696578</v>
      </c>
    </row>
    <row r="21" spans="1:17" ht="26.5">
      <c r="A21" s="390">
        <v>18</v>
      </c>
      <c r="B21" s="391" t="s">
        <v>3327</v>
      </c>
      <c r="C21" s="392">
        <v>45616</v>
      </c>
      <c r="D21" s="400" t="s">
        <v>3469</v>
      </c>
      <c r="E21" s="400">
        <v>569024475</v>
      </c>
      <c r="F21" s="400" t="s">
        <v>3470</v>
      </c>
      <c r="G21" s="400">
        <v>199</v>
      </c>
      <c r="H21" s="400" t="s">
        <v>2056</v>
      </c>
      <c r="I21" s="391"/>
      <c r="J21" s="390">
        <v>1.6893506</v>
      </c>
      <c r="K21" s="394" t="s">
        <v>1589</v>
      </c>
      <c r="L21" s="395">
        <v>45616</v>
      </c>
      <c r="M21" s="396"/>
      <c r="N21" s="396"/>
      <c r="O21" s="397"/>
      <c r="P21" s="398" t="s">
        <v>3329</v>
      </c>
      <c r="Q21" s="398">
        <v>784199365150327</v>
      </c>
    </row>
    <row r="22" spans="1:17" ht="39.5">
      <c r="A22" s="390">
        <v>19</v>
      </c>
      <c r="B22" s="391" t="s">
        <v>3327</v>
      </c>
      <c r="C22" s="392">
        <v>45620</v>
      </c>
      <c r="D22" s="400" t="s">
        <v>3471</v>
      </c>
      <c r="E22" s="400">
        <v>504370237</v>
      </c>
      <c r="F22" s="400" t="s">
        <v>3472</v>
      </c>
      <c r="G22" s="400">
        <v>199</v>
      </c>
      <c r="H22" s="400" t="s">
        <v>2056</v>
      </c>
      <c r="I22" s="391"/>
      <c r="J22" s="390">
        <v>1.6905044499999999</v>
      </c>
      <c r="K22" s="394" t="s">
        <v>1589</v>
      </c>
      <c r="L22" s="395">
        <v>45620</v>
      </c>
      <c r="M22" s="396"/>
      <c r="N22" s="396"/>
      <c r="O22" s="397"/>
      <c r="P22" s="398" t="s">
        <v>3342</v>
      </c>
      <c r="Q22" s="398">
        <v>784196151437306</v>
      </c>
    </row>
    <row r="23" spans="1:17" ht="26.5">
      <c r="A23" s="390">
        <v>20</v>
      </c>
      <c r="B23" s="391" t="s">
        <v>3327</v>
      </c>
      <c r="C23" s="392">
        <v>45620</v>
      </c>
      <c r="D23" s="400" t="s">
        <v>3473</v>
      </c>
      <c r="E23" s="400">
        <v>507971234</v>
      </c>
      <c r="F23" s="400" t="s">
        <v>3474</v>
      </c>
      <c r="G23" s="400">
        <v>199</v>
      </c>
      <c r="H23" s="400" t="s">
        <v>2056</v>
      </c>
      <c r="I23" s="391"/>
      <c r="J23" s="390">
        <v>1.6906224599999999</v>
      </c>
      <c r="K23" s="394" t="s">
        <v>1589</v>
      </c>
      <c r="L23" s="395">
        <v>45621</v>
      </c>
      <c r="M23" s="396"/>
      <c r="N23" s="396"/>
      <c r="O23" s="397"/>
      <c r="P23" s="398" t="s">
        <v>3475</v>
      </c>
      <c r="Q23" s="398">
        <v>784198507470205</v>
      </c>
    </row>
    <row r="24" spans="1:17" ht="39.5">
      <c r="A24" s="390">
        <v>21</v>
      </c>
      <c r="B24" s="391" t="s">
        <v>3327</v>
      </c>
      <c r="C24" s="392">
        <v>45622</v>
      </c>
      <c r="D24" s="393" t="s">
        <v>3476</v>
      </c>
      <c r="E24" s="393">
        <v>581466787</v>
      </c>
      <c r="F24" s="393" t="s">
        <v>3477</v>
      </c>
      <c r="G24" s="393">
        <v>199</v>
      </c>
      <c r="H24" s="393" t="s">
        <v>3335</v>
      </c>
      <c r="I24" s="391" t="s">
        <v>3478</v>
      </c>
      <c r="J24" s="390"/>
      <c r="K24" s="394" t="s">
        <v>3335</v>
      </c>
      <c r="L24" s="395"/>
      <c r="M24" s="396"/>
      <c r="N24" s="396"/>
      <c r="O24" s="397"/>
      <c r="P24" s="398" t="s">
        <v>3455</v>
      </c>
      <c r="Q24" s="398">
        <v>784199019162520</v>
      </c>
    </row>
    <row r="25" spans="1:17" ht="52.5">
      <c r="A25" s="390">
        <v>22</v>
      </c>
      <c r="B25" s="391" t="s">
        <v>3327</v>
      </c>
      <c r="C25" s="392">
        <v>45622</v>
      </c>
      <c r="D25" s="400" t="s">
        <v>3479</v>
      </c>
      <c r="E25" s="400">
        <v>545623664</v>
      </c>
      <c r="F25" s="400" t="s">
        <v>3480</v>
      </c>
      <c r="G25" s="400">
        <v>199</v>
      </c>
      <c r="H25" s="400" t="s">
        <v>2056</v>
      </c>
      <c r="I25" s="391"/>
      <c r="J25" s="390">
        <v>1.6910451799999999</v>
      </c>
      <c r="K25" s="394" t="s">
        <v>1589</v>
      </c>
      <c r="L25" s="395">
        <v>45622</v>
      </c>
      <c r="M25" s="396"/>
      <c r="N25" s="396"/>
      <c r="O25" s="397"/>
      <c r="P25" s="398" t="s">
        <v>3342</v>
      </c>
      <c r="Q25" s="398">
        <v>784199887471615</v>
      </c>
    </row>
    <row r="26" spans="1:17" ht="26.5">
      <c r="A26" s="390">
        <v>23</v>
      </c>
      <c r="B26" s="391" t="s">
        <v>3327</v>
      </c>
      <c r="C26" s="392">
        <v>45622</v>
      </c>
      <c r="D26" s="393" t="s">
        <v>3481</v>
      </c>
      <c r="E26" s="393">
        <v>565242401</v>
      </c>
      <c r="F26" s="393" t="s">
        <v>3482</v>
      </c>
      <c r="G26" s="393">
        <v>199</v>
      </c>
      <c r="H26" s="393" t="s">
        <v>3335</v>
      </c>
      <c r="I26" s="391" t="s">
        <v>3478</v>
      </c>
      <c r="J26" s="390"/>
      <c r="K26" s="394" t="s">
        <v>3335</v>
      </c>
      <c r="L26" s="395"/>
      <c r="M26" s="396"/>
      <c r="N26" s="396"/>
      <c r="O26" s="397"/>
      <c r="P26" s="398" t="s">
        <v>3342</v>
      </c>
      <c r="Q26" s="398">
        <v>784198781465673</v>
      </c>
    </row>
    <row r="27" spans="1:17" ht="39.5">
      <c r="A27" s="390">
        <v>24</v>
      </c>
      <c r="B27" s="391" t="s">
        <v>3327</v>
      </c>
      <c r="C27" s="392">
        <v>45622</v>
      </c>
      <c r="D27" s="393" t="s">
        <v>3476</v>
      </c>
      <c r="E27" s="393">
        <v>581466787</v>
      </c>
      <c r="F27" s="393" t="s">
        <v>3483</v>
      </c>
      <c r="G27" s="393">
        <v>199</v>
      </c>
      <c r="H27" s="393" t="s">
        <v>3335</v>
      </c>
      <c r="I27" s="391"/>
      <c r="J27" s="390"/>
      <c r="K27" s="394" t="s">
        <v>3335</v>
      </c>
      <c r="L27" s="395"/>
      <c r="M27" s="396"/>
      <c r="N27" s="396"/>
      <c r="O27" s="397"/>
      <c r="P27" s="398" t="s">
        <v>3455</v>
      </c>
      <c r="Q27" s="398">
        <v>784199019612520</v>
      </c>
    </row>
    <row r="28" spans="1:17" ht="39.5">
      <c r="A28" s="390">
        <v>25</v>
      </c>
      <c r="B28" s="391" t="s">
        <v>3327</v>
      </c>
      <c r="C28" s="392">
        <v>45623</v>
      </c>
      <c r="D28" s="400" t="s">
        <v>3484</v>
      </c>
      <c r="E28" s="400">
        <v>503649994</v>
      </c>
      <c r="F28" s="400" t="s">
        <v>3485</v>
      </c>
      <c r="G28" s="400">
        <v>199</v>
      </c>
      <c r="H28" s="400" t="s">
        <v>2056</v>
      </c>
      <c r="I28" s="391"/>
      <c r="J28" s="390">
        <v>1.6914817499999999</v>
      </c>
      <c r="K28" s="394" t="s">
        <v>1589</v>
      </c>
      <c r="L28" s="395">
        <v>45624</v>
      </c>
      <c r="M28" s="396"/>
      <c r="N28" s="396"/>
      <c r="O28" s="397"/>
      <c r="P28" s="398" t="s">
        <v>3486</v>
      </c>
      <c r="Q28" s="398">
        <v>784198198036174</v>
      </c>
    </row>
    <row r="29" spans="1:17" ht="26.5">
      <c r="A29" s="390">
        <v>26</v>
      </c>
      <c r="B29" s="391" t="s">
        <v>3327</v>
      </c>
      <c r="C29" s="392">
        <v>45624</v>
      </c>
      <c r="D29" s="400" t="s">
        <v>3487</v>
      </c>
      <c r="E29" s="400">
        <v>557172885</v>
      </c>
      <c r="F29" s="400" t="s">
        <v>3488</v>
      </c>
      <c r="G29" s="400">
        <v>199</v>
      </c>
      <c r="H29" s="400" t="s">
        <v>2056</v>
      </c>
      <c r="I29" s="391"/>
      <c r="J29" s="390">
        <v>1.69159858</v>
      </c>
      <c r="K29" s="394" t="s">
        <v>1589</v>
      </c>
      <c r="L29" s="395">
        <v>45624</v>
      </c>
      <c r="M29" s="396"/>
      <c r="N29" s="396"/>
      <c r="O29" s="397"/>
      <c r="P29" s="398" t="s">
        <v>3338</v>
      </c>
      <c r="Q29" s="398">
        <v>784199773918059</v>
      </c>
    </row>
    <row r="30" spans="1:17" ht="39.5">
      <c r="A30" s="390">
        <v>27</v>
      </c>
      <c r="B30" s="391" t="s">
        <v>3327</v>
      </c>
      <c r="C30" s="392">
        <v>45624</v>
      </c>
      <c r="D30" s="393" t="s">
        <v>3489</v>
      </c>
      <c r="E30" s="393">
        <v>505552481</v>
      </c>
      <c r="F30" s="393" t="s">
        <v>3490</v>
      </c>
      <c r="G30" s="393">
        <v>199</v>
      </c>
      <c r="H30" s="393" t="s">
        <v>3335</v>
      </c>
      <c r="I30" s="391"/>
      <c r="J30" s="390"/>
      <c r="K30" s="394" t="s">
        <v>3335</v>
      </c>
      <c r="L30" s="395"/>
      <c r="M30" s="396"/>
      <c r="N30" s="396"/>
      <c r="O30" s="397"/>
      <c r="P30" s="398" t="s">
        <v>3390</v>
      </c>
      <c r="Q30" s="398">
        <v>784197538759131</v>
      </c>
    </row>
    <row r="31" spans="1:17" ht="26.5">
      <c r="A31" s="390">
        <v>28</v>
      </c>
      <c r="B31" s="391" t="s">
        <v>3327</v>
      </c>
      <c r="C31" s="392">
        <v>45624</v>
      </c>
      <c r="D31" s="400" t="s">
        <v>3491</v>
      </c>
      <c r="E31" s="400">
        <v>543303264</v>
      </c>
      <c r="F31" s="400" t="s">
        <v>3492</v>
      </c>
      <c r="G31" s="400">
        <v>349</v>
      </c>
      <c r="H31" s="400" t="s">
        <v>2056</v>
      </c>
      <c r="I31" s="391"/>
      <c r="J31" s="390">
        <v>1.6916218999999999</v>
      </c>
      <c r="K31" s="394" t="s">
        <v>1589</v>
      </c>
      <c r="L31" s="395">
        <v>45625</v>
      </c>
      <c r="M31" s="396"/>
      <c r="N31" s="396"/>
      <c r="O31" s="397"/>
      <c r="P31" s="398" t="s">
        <v>3493</v>
      </c>
      <c r="Q31" s="398">
        <v>784199673201853</v>
      </c>
    </row>
    <row r="32" spans="1:17" ht="39.5">
      <c r="A32" s="390">
        <v>29</v>
      </c>
      <c r="B32" s="391" t="s">
        <v>3327</v>
      </c>
      <c r="C32" s="392">
        <v>45624</v>
      </c>
      <c r="D32" s="400" t="s">
        <v>3494</v>
      </c>
      <c r="E32" s="400">
        <v>551182246</v>
      </c>
      <c r="F32" s="400" t="s">
        <v>3495</v>
      </c>
      <c r="G32" s="400">
        <v>199</v>
      </c>
      <c r="H32" s="400" t="s">
        <v>2056</v>
      </c>
      <c r="I32" s="391"/>
      <c r="J32" s="390">
        <v>1.69165626</v>
      </c>
      <c r="K32" s="394" t="s">
        <v>1589</v>
      </c>
      <c r="L32" s="395">
        <v>45624</v>
      </c>
      <c r="M32" s="396"/>
      <c r="N32" s="396"/>
      <c r="O32" s="397"/>
      <c r="P32" s="398" t="s">
        <v>3342</v>
      </c>
      <c r="Q32" s="398">
        <v>784196670521614</v>
      </c>
    </row>
    <row r="33" spans="1:17" ht="39.5">
      <c r="A33" s="390">
        <v>30</v>
      </c>
      <c r="B33" s="391" t="s">
        <v>3327</v>
      </c>
      <c r="C33" s="392">
        <v>45624</v>
      </c>
      <c r="D33" s="393" t="s">
        <v>3484</v>
      </c>
      <c r="E33" s="393">
        <v>503649994</v>
      </c>
      <c r="F33" s="393" t="s">
        <v>3496</v>
      </c>
      <c r="G33" s="393">
        <v>199</v>
      </c>
      <c r="H33" s="393" t="s">
        <v>3335</v>
      </c>
      <c r="I33" s="391"/>
      <c r="J33" s="390"/>
      <c r="K33" s="394" t="s">
        <v>3335</v>
      </c>
      <c r="L33" s="395"/>
      <c r="M33" s="396"/>
      <c r="N33" s="396"/>
      <c r="O33" s="397"/>
      <c r="P33" s="398" t="s">
        <v>3486</v>
      </c>
      <c r="Q33" s="398">
        <v>784198198036174</v>
      </c>
    </row>
    <row r="34" spans="1:17" ht="39.5">
      <c r="A34" s="390">
        <v>31</v>
      </c>
      <c r="B34" s="391" t="s">
        <v>3327</v>
      </c>
      <c r="C34" s="392">
        <v>45626</v>
      </c>
      <c r="D34" s="401" t="s">
        <v>3328</v>
      </c>
      <c r="E34" s="401">
        <v>569547102</v>
      </c>
      <c r="F34" s="401" t="s">
        <v>3330</v>
      </c>
      <c r="G34" s="401">
        <v>199</v>
      </c>
      <c r="H34" s="401" t="s">
        <v>3497</v>
      </c>
      <c r="I34" s="391"/>
      <c r="J34" s="390"/>
      <c r="K34" s="398" t="s">
        <v>3497</v>
      </c>
      <c r="L34" s="395"/>
      <c r="M34" s="396"/>
      <c r="N34" s="396"/>
      <c r="O34" s="397"/>
      <c r="P34" s="398" t="s">
        <v>3329</v>
      </c>
      <c r="Q34" s="398">
        <v>784198754090912</v>
      </c>
    </row>
    <row r="35" spans="1:17" ht="39.5">
      <c r="A35" s="390">
        <v>32</v>
      </c>
      <c r="B35" s="391" t="s">
        <v>3327</v>
      </c>
      <c r="C35" s="392">
        <v>45626</v>
      </c>
      <c r="D35" s="401" t="s">
        <v>3331</v>
      </c>
      <c r="E35" s="401">
        <v>559057362</v>
      </c>
      <c r="F35" s="401" t="s">
        <v>3333</v>
      </c>
      <c r="G35" s="401">
        <v>199</v>
      </c>
      <c r="H35" s="401" t="s">
        <v>3497</v>
      </c>
      <c r="I35" s="391"/>
      <c r="J35" s="390"/>
      <c r="K35" s="398" t="s">
        <v>3497</v>
      </c>
      <c r="L35" s="395"/>
      <c r="M35" s="396"/>
      <c r="N35" s="396"/>
      <c r="O35" s="397"/>
      <c r="P35" s="398" t="s">
        <v>3332</v>
      </c>
      <c r="Q35" s="398">
        <v>784200383481700</v>
      </c>
    </row>
  </sheetData>
  <conditionalFormatting sqref="F3:F15">
    <cfRule type="duplicateValues" dxfId="371" priority="4"/>
  </conditionalFormatting>
  <conditionalFormatting sqref="F3:F28">
    <cfRule type="duplicateValues" dxfId="370" priority="1"/>
  </conditionalFormatting>
  <conditionalFormatting sqref="J3:J35">
    <cfRule type="duplicateValues" dxfId="369" priority="2"/>
    <cfRule type="duplicateValues" dxfId="368" priority="3"/>
    <cfRule type="duplicateValues" dxfId="367" priority="5"/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Q76"/>
  <sheetViews>
    <sheetView topLeftCell="A21" zoomScale="85" zoomScaleNormal="85" workbookViewId="0">
      <selection activeCell="H25" sqref="H25"/>
    </sheetView>
  </sheetViews>
  <sheetFormatPr defaultRowHeight="14.5"/>
  <cols>
    <col min="1" max="1" width="9.81640625" bestFit="1" customWidth="1"/>
    <col min="3" max="3" width="23.26953125" bestFit="1" customWidth="1"/>
    <col min="4" max="4" width="15.81640625" bestFit="1" customWidth="1"/>
    <col min="6" max="6" width="17.1796875" bestFit="1" customWidth="1"/>
    <col min="7" max="7" width="10.54296875" bestFit="1" customWidth="1"/>
    <col min="8" max="8" width="14.54296875" bestFit="1" customWidth="1"/>
  </cols>
  <sheetData>
    <row r="1" spans="1:17">
      <c r="A1" t="s">
        <v>2635</v>
      </c>
      <c r="C1" t="s">
        <v>3308</v>
      </c>
    </row>
    <row r="2" spans="1:17">
      <c r="A2">
        <v>526303224</v>
      </c>
      <c r="C2" t="s">
        <v>3309</v>
      </c>
    </row>
    <row r="3" spans="1:17">
      <c r="A3">
        <v>586794937</v>
      </c>
      <c r="C3" t="s">
        <v>3310</v>
      </c>
    </row>
    <row r="4" spans="1:17">
      <c r="A4">
        <v>502259004</v>
      </c>
      <c r="C4" t="s">
        <v>3311</v>
      </c>
    </row>
    <row r="5" spans="1:17">
      <c r="A5">
        <v>524722595</v>
      </c>
      <c r="C5" t="s">
        <v>3312</v>
      </c>
    </row>
    <row r="6" spans="1:17" ht="29">
      <c r="A6" s="339" t="s">
        <v>3313</v>
      </c>
      <c r="B6" s="340" t="s">
        <v>3314</v>
      </c>
      <c r="C6" s="340" t="s">
        <v>3315</v>
      </c>
      <c r="D6" s="340" t="s">
        <v>3316</v>
      </c>
      <c r="E6" s="340" t="s">
        <v>3317</v>
      </c>
      <c r="F6" s="340" t="s">
        <v>3318</v>
      </c>
      <c r="G6" s="340" t="s">
        <v>3319</v>
      </c>
      <c r="H6" s="340" t="s">
        <v>3320</v>
      </c>
      <c r="I6" s="340" t="s">
        <v>3321</v>
      </c>
      <c r="J6" s="340" t="s">
        <v>2069</v>
      </c>
      <c r="K6" s="340" t="s">
        <v>253</v>
      </c>
      <c r="L6" s="340" t="s">
        <v>3322</v>
      </c>
      <c r="M6" s="340" t="s">
        <v>2069</v>
      </c>
      <c r="N6" s="341" t="s">
        <v>3323</v>
      </c>
      <c r="O6" s="340" t="s">
        <v>3324</v>
      </c>
      <c r="P6" s="340" t="s">
        <v>3325</v>
      </c>
      <c r="Q6" s="342" t="s">
        <v>3326</v>
      </c>
    </row>
    <row r="7" spans="1:17" ht="29">
      <c r="A7" s="343">
        <v>1</v>
      </c>
      <c r="B7" s="344" t="s">
        <v>3327</v>
      </c>
      <c r="C7" s="345">
        <v>45626</v>
      </c>
      <c r="D7" s="346" t="s">
        <v>3328</v>
      </c>
      <c r="E7" s="346" t="s">
        <v>3329</v>
      </c>
      <c r="F7" s="347">
        <v>784000000000000</v>
      </c>
      <c r="G7" s="346">
        <v>569547102</v>
      </c>
      <c r="H7" s="346" t="s">
        <v>3330</v>
      </c>
      <c r="I7" s="346">
        <v>199</v>
      </c>
      <c r="J7" s="346" t="s">
        <v>2056</v>
      </c>
      <c r="K7" s="348"/>
      <c r="L7" s="343">
        <v>1.6922580199999999</v>
      </c>
      <c r="M7" s="349" t="s">
        <v>1589</v>
      </c>
      <c r="N7" s="350">
        <v>45629</v>
      </c>
      <c r="O7" s="348"/>
      <c r="P7" s="348"/>
      <c r="Q7" s="348"/>
    </row>
    <row r="8" spans="1:17" ht="29">
      <c r="A8" s="343">
        <v>2</v>
      </c>
      <c r="B8" s="344" t="s">
        <v>3327</v>
      </c>
      <c r="C8" s="345">
        <v>45626</v>
      </c>
      <c r="D8" s="346" t="s">
        <v>3331</v>
      </c>
      <c r="E8" s="346" t="s">
        <v>3332</v>
      </c>
      <c r="F8" s="347">
        <v>784000000000000</v>
      </c>
      <c r="G8" s="346">
        <v>559057362</v>
      </c>
      <c r="H8" s="346" t="s">
        <v>3333</v>
      </c>
      <c r="I8" s="346">
        <v>199</v>
      </c>
      <c r="J8" s="346" t="s">
        <v>2056</v>
      </c>
      <c r="K8" s="348"/>
      <c r="L8" s="343">
        <v>1.69234843</v>
      </c>
      <c r="M8" s="349" t="s">
        <v>1589</v>
      </c>
      <c r="N8" s="350">
        <v>45629</v>
      </c>
      <c r="O8" s="348"/>
      <c r="P8" s="348"/>
      <c r="Q8" s="348"/>
    </row>
    <row r="9" spans="1:17" ht="29">
      <c r="A9" s="343">
        <v>3</v>
      </c>
      <c r="B9" s="344" t="s">
        <v>3327</v>
      </c>
      <c r="C9" s="345">
        <v>45627</v>
      </c>
      <c r="D9" s="351" t="s">
        <v>3328</v>
      </c>
      <c r="E9" s="351" t="s">
        <v>3329</v>
      </c>
      <c r="F9" s="351">
        <v>784198754090912</v>
      </c>
      <c r="G9" s="351">
        <v>568345980</v>
      </c>
      <c r="H9" s="351" t="s">
        <v>3334</v>
      </c>
      <c r="I9" s="351">
        <v>199</v>
      </c>
      <c r="J9" s="351" t="s">
        <v>3335</v>
      </c>
      <c r="K9" s="352" t="s">
        <v>3336</v>
      </c>
      <c r="L9" s="343"/>
      <c r="M9" s="348" t="s">
        <v>331</v>
      </c>
      <c r="N9" s="350"/>
      <c r="O9" s="348"/>
      <c r="P9" s="348"/>
      <c r="Q9" s="348"/>
    </row>
    <row r="10" spans="1:17" ht="29">
      <c r="A10" s="343">
        <v>4</v>
      </c>
      <c r="B10" s="344" t="s">
        <v>3327</v>
      </c>
      <c r="C10" s="345">
        <v>45629</v>
      </c>
      <c r="D10" s="353" t="s">
        <v>3337</v>
      </c>
      <c r="E10" s="353" t="s">
        <v>3338</v>
      </c>
      <c r="F10" s="353">
        <v>784199898360344</v>
      </c>
      <c r="G10" s="353">
        <v>544281094</v>
      </c>
      <c r="H10" s="353" t="s">
        <v>3339</v>
      </c>
      <c r="I10" s="353">
        <v>199</v>
      </c>
      <c r="J10" s="353" t="s">
        <v>2056</v>
      </c>
      <c r="K10" s="348"/>
      <c r="L10" s="343">
        <v>1.69298678</v>
      </c>
      <c r="M10" s="349" t="s">
        <v>3340</v>
      </c>
      <c r="N10" s="350">
        <v>45629</v>
      </c>
      <c r="O10" s="348" t="s">
        <v>2939</v>
      </c>
      <c r="P10" s="348"/>
      <c r="Q10" s="348"/>
    </row>
    <row r="11" spans="1:17" ht="29">
      <c r="A11" s="343">
        <v>5</v>
      </c>
      <c r="B11" s="344" t="s">
        <v>3327</v>
      </c>
      <c r="C11" s="345">
        <v>45630</v>
      </c>
      <c r="D11" s="351" t="s">
        <v>3341</v>
      </c>
      <c r="E11" s="351" t="s">
        <v>3342</v>
      </c>
      <c r="F11" s="351">
        <v>784199302846466</v>
      </c>
      <c r="G11" s="351">
        <v>588505670</v>
      </c>
      <c r="H11" s="351" t="s">
        <v>3343</v>
      </c>
      <c r="I11" s="351">
        <v>199</v>
      </c>
      <c r="J11" s="351" t="s">
        <v>3335</v>
      </c>
      <c r="K11" s="348"/>
      <c r="L11" s="343"/>
      <c r="M11" s="348" t="s">
        <v>331</v>
      </c>
      <c r="N11" s="350"/>
      <c r="O11" s="348"/>
      <c r="P11" s="348"/>
      <c r="Q11" s="348"/>
    </row>
    <row r="12" spans="1:17" ht="29">
      <c r="A12" s="343">
        <v>6</v>
      </c>
      <c r="B12" s="344" t="s">
        <v>3327</v>
      </c>
      <c r="C12" s="345">
        <v>45631</v>
      </c>
      <c r="D12" s="346" t="s">
        <v>3344</v>
      </c>
      <c r="E12" s="346"/>
      <c r="F12" s="346"/>
      <c r="G12" s="346">
        <v>558910116</v>
      </c>
      <c r="H12" s="346" t="s">
        <v>3345</v>
      </c>
      <c r="I12" s="346">
        <v>199</v>
      </c>
      <c r="J12" s="346" t="s">
        <v>2056</v>
      </c>
      <c r="K12" s="354"/>
      <c r="L12" s="343">
        <v>1.6935571300000001</v>
      </c>
      <c r="M12" s="349" t="s">
        <v>1589</v>
      </c>
      <c r="N12" s="350">
        <v>45631</v>
      </c>
      <c r="O12" s="348"/>
      <c r="P12" s="354"/>
      <c r="Q12" s="348"/>
    </row>
    <row r="13" spans="1:17" ht="29">
      <c r="A13" s="343">
        <v>7</v>
      </c>
      <c r="B13" s="344" t="s">
        <v>3327</v>
      </c>
      <c r="C13" s="345">
        <v>45632</v>
      </c>
      <c r="D13" s="351" t="s">
        <v>3346</v>
      </c>
      <c r="E13" s="351" t="s">
        <v>3347</v>
      </c>
      <c r="F13" s="351">
        <v>784198025358700</v>
      </c>
      <c r="G13" s="351">
        <v>542250452</v>
      </c>
      <c r="H13" s="351" t="s">
        <v>3348</v>
      </c>
      <c r="I13" s="351">
        <v>199</v>
      </c>
      <c r="J13" s="351" t="s">
        <v>3335</v>
      </c>
      <c r="K13" s="354"/>
      <c r="L13" s="343"/>
      <c r="M13" s="348" t="s">
        <v>331</v>
      </c>
      <c r="N13" s="350"/>
      <c r="O13" s="348"/>
      <c r="P13" s="354"/>
      <c r="Q13" s="348"/>
    </row>
    <row r="14" spans="1:17" ht="29">
      <c r="A14" s="343">
        <v>8</v>
      </c>
      <c r="B14" s="344" t="s">
        <v>3327</v>
      </c>
      <c r="C14" s="345">
        <v>45633</v>
      </c>
      <c r="D14" s="346" t="s">
        <v>3349</v>
      </c>
      <c r="E14" s="346"/>
      <c r="F14" s="346"/>
      <c r="G14" s="346">
        <v>509649719</v>
      </c>
      <c r="H14" s="346" t="s">
        <v>3350</v>
      </c>
      <c r="I14" s="346">
        <v>199</v>
      </c>
      <c r="J14" s="346" t="s">
        <v>2056</v>
      </c>
      <c r="K14" s="354"/>
      <c r="L14" s="343">
        <v>1.69416897</v>
      </c>
      <c r="M14" s="348" t="s">
        <v>1589</v>
      </c>
      <c r="N14" s="350">
        <v>45633</v>
      </c>
      <c r="O14" s="348"/>
      <c r="P14" s="354"/>
      <c r="Q14" s="348"/>
    </row>
    <row r="15" spans="1:17" ht="29">
      <c r="A15" s="343">
        <v>9</v>
      </c>
      <c r="B15" s="344" t="s">
        <v>3327</v>
      </c>
      <c r="C15" s="345">
        <v>45637</v>
      </c>
      <c r="D15" s="346" t="s">
        <v>734</v>
      </c>
      <c r="E15" s="346"/>
      <c r="F15" s="346"/>
      <c r="G15" s="346">
        <v>562517993</v>
      </c>
      <c r="H15" s="346" t="s">
        <v>3351</v>
      </c>
      <c r="I15" s="346">
        <v>199</v>
      </c>
      <c r="J15" s="346" t="s">
        <v>2056</v>
      </c>
      <c r="K15" s="354"/>
      <c r="L15" s="343">
        <v>1.66500677</v>
      </c>
      <c r="M15" s="348" t="s">
        <v>1589</v>
      </c>
      <c r="N15" s="350">
        <v>45639</v>
      </c>
      <c r="O15" s="354"/>
      <c r="P15" s="354"/>
      <c r="Q15" s="355"/>
    </row>
    <row r="16" spans="1:17" ht="29">
      <c r="A16" s="343">
        <v>10</v>
      </c>
      <c r="B16" s="344" t="s">
        <v>3327</v>
      </c>
      <c r="C16" s="345">
        <v>45638</v>
      </c>
      <c r="D16" s="346" t="s">
        <v>3352</v>
      </c>
      <c r="E16" s="346"/>
      <c r="F16" s="346"/>
      <c r="G16" s="346">
        <v>561728950</v>
      </c>
      <c r="H16" s="346" t="s">
        <v>3353</v>
      </c>
      <c r="I16" s="346">
        <v>199</v>
      </c>
      <c r="J16" s="346" t="s">
        <v>2056</v>
      </c>
      <c r="K16" s="354"/>
      <c r="L16" s="343">
        <v>1.6954606800000001</v>
      </c>
      <c r="M16" s="348" t="s">
        <v>1589</v>
      </c>
      <c r="N16" s="350">
        <v>45638</v>
      </c>
      <c r="O16" s="354"/>
      <c r="P16" s="354"/>
      <c r="Q16" s="355"/>
    </row>
    <row r="17" spans="1:17" ht="29">
      <c r="A17" s="343">
        <v>11</v>
      </c>
      <c r="B17" s="348" t="s">
        <v>3327</v>
      </c>
      <c r="C17" s="356">
        <v>45640</v>
      </c>
      <c r="D17" s="346" t="s">
        <v>3354</v>
      </c>
      <c r="E17" s="346"/>
      <c r="F17" s="346"/>
      <c r="G17" s="346">
        <v>503249221</v>
      </c>
      <c r="H17" s="346" t="s">
        <v>3355</v>
      </c>
      <c r="I17" s="346">
        <v>199</v>
      </c>
      <c r="J17" s="346" t="s">
        <v>2056</v>
      </c>
      <c r="K17" s="354"/>
      <c r="L17" s="343">
        <v>1.69611734</v>
      </c>
      <c r="M17" s="348" t="s">
        <v>1589</v>
      </c>
      <c r="N17" s="350">
        <v>45640</v>
      </c>
      <c r="O17" s="354"/>
      <c r="P17" s="354"/>
      <c r="Q17" s="355"/>
    </row>
    <row r="18" spans="1:17" ht="29">
      <c r="A18" s="343">
        <v>12</v>
      </c>
      <c r="B18" s="348" t="s">
        <v>3327</v>
      </c>
      <c r="C18" s="356">
        <v>45641</v>
      </c>
      <c r="D18" s="346" t="s">
        <v>3356</v>
      </c>
      <c r="E18" s="346"/>
      <c r="F18" s="346"/>
      <c r="G18" s="346">
        <v>528268561</v>
      </c>
      <c r="H18" s="346" t="s">
        <v>3357</v>
      </c>
      <c r="I18" s="346">
        <v>199</v>
      </c>
      <c r="J18" s="346" t="s">
        <v>2056</v>
      </c>
      <c r="K18" s="354"/>
      <c r="L18" s="343">
        <v>1.6962505299999999</v>
      </c>
      <c r="M18" s="348" t="s">
        <v>1589</v>
      </c>
      <c r="N18" s="350">
        <v>45641</v>
      </c>
      <c r="O18" s="354"/>
      <c r="P18" s="354"/>
      <c r="Q18" s="355"/>
    </row>
    <row r="19" spans="1:17" ht="29">
      <c r="A19" s="343">
        <v>13</v>
      </c>
      <c r="B19" s="348" t="s">
        <v>3327</v>
      </c>
      <c r="C19" s="356">
        <v>45641</v>
      </c>
      <c r="D19" s="351" t="s">
        <v>3356</v>
      </c>
      <c r="E19" s="351"/>
      <c r="F19" s="351"/>
      <c r="G19" s="351">
        <v>565596430</v>
      </c>
      <c r="H19" s="351" t="s">
        <v>3358</v>
      </c>
      <c r="I19" s="351">
        <v>199</v>
      </c>
      <c r="J19" s="351" t="s">
        <v>3335</v>
      </c>
      <c r="K19" s="354"/>
      <c r="L19" s="343"/>
      <c r="M19" s="348" t="s">
        <v>331</v>
      </c>
      <c r="N19" s="350"/>
      <c r="O19" s="354"/>
      <c r="P19" s="354"/>
      <c r="Q19" s="355"/>
    </row>
    <row r="20" spans="1:17" ht="29">
      <c r="A20" s="343">
        <v>14</v>
      </c>
      <c r="B20" s="348" t="s">
        <v>3327</v>
      </c>
      <c r="C20" s="356">
        <v>45641</v>
      </c>
      <c r="D20" s="346" t="s">
        <v>3359</v>
      </c>
      <c r="E20" s="346"/>
      <c r="F20" s="346"/>
      <c r="G20" s="346">
        <v>504048856</v>
      </c>
      <c r="H20" s="346" t="s">
        <v>3360</v>
      </c>
      <c r="I20" s="346">
        <v>199</v>
      </c>
      <c r="J20" s="346" t="s">
        <v>2056</v>
      </c>
      <c r="K20" s="354"/>
      <c r="L20" s="343">
        <v>1.6964017300000001</v>
      </c>
      <c r="M20" s="348" t="s">
        <v>1589</v>
      </c>
      <c r="N20" s="350">
        <v>45642</v>
      </c>
      <c r="O20" s="354"/>
      <c r="P20" s="354"/>
      <c r="Q20" s="355"/>
    </row>
    <row r="21" spans="1:17" ht="29">
      <c r="A21" s="343">
        <v>15</v>
      </c>
      <c r="B21" s="348" t="s">
        <v>3327</v>
      </c>
      <c r="C21" s="356">
        <v>45642</v>
      </c>
      <c r="D21" s="351" t="s">
        <v>3361</v>
      </c>
      <c r="E21" s="351"/>
      <c r="F21" s="351"/>
      <c r="G21" s="351">
        <v>551977015</v>
      </c>
      <c r="H21" s="351" t="s">
        <v>3362</v>
      </c>
      <c r="I21" s="351">
        <v>199</v>
      </c>
      <c r="J21" s="351" t="s">
        <v>3335</v>
      </c>
      <c r="K21" s="354"/>
      <c r="L21" s="343"/>
      <c r="M21" s="348" t="s">
        <v>331</v>
      </c>
      <c r="N21" s="350"/>
      <c r="O21" s="354"/>
      <c r="P21" s="354"/>
      <c r="Q21" s="355"/>
    </row>
    <row r="22" spans="1:17" ht="29">
      <c r="A22" s="343">
        <v>16</v>
      </c>
      <c r="B22" s="348" t="s">
        <v>3327</v>
      </c>
      <c r="C22" s="356">
        <v>45652</v>
      </c>
      <c r="D22" s="346" t="s">
        <v>3363</v>
      </c>
      <c r="E22" s="346"/>
      <c r="F22" s="346"/>
      <c r="G22" s="346">
        <v>563093023</v>
      </c>
      <c r="H22" s="346" t="s">
        <v>3364</v>
      </c>
      <c r="I22" s="346">
        <v>199</v>
      </c>
      <c r="J22" s="346" t="s">
        <v>2056</v>
      </c>
      <c r="K22" s="354"/>
      <c r="L22" s="343">
        <v>1.69968933</v>
      </c>
      <c r="M22" s="348" t="s">
        <v>1589</v>
      </c>
      <c r="N22" s="350">
        <v>45652</v>
      </c>
      <c r="O22" s="354"/>
      <c r="P22" s="354"/>
      <c r="Q22" s="355"/>
    </row>
    <row r="23" spans="1:17" ht="29">
      <c r="A23" s="343">
        <v>17</v>
      </c>
      <c r="B23" s="348" t="s">
        <v>3327</v>
      </c>
      <c r="C23" s="356">
        <v>45654</v>
      </c>
      <c r="D23" s="351" t="s">
        <v>3365</v>
      </c>
      <c r="E23" s="351"/>
      <c r="F23" s="351"/>
      <c r="G23" s="351">
        <v>505200193</v>
      </c>
      <c r="H23" s="351" t="s">
        <v>3366</v>
      </c>
      <c r="I23" s="351">
        <v>199</v>
      </c>
      <c r="J23" s="351" t="s">
        <v>3335</v>
      </c>
      <c r="K23" s="354"/>
      <c r="L23" s="354"/>
      <c r="M23" s="348" t="s">
        <v>331</v>
      </c>
      <c r="N23" s="355"/>
      <c r="O23" s="354"/>
      <c r="P23" s="354"/>
      <c r="Q23" s="355"/>
    </row>
    <row r="24" spans="1:17">
      <c r="C24" s="357">
        <v>45628</v>
      </c>
      <c r="D24" s="1" t="s">
        <v>3367</v>
      </c>
      <c r="E24" s="1" t="s">
        <v>3368</v>
      </c>
      <c r="F24" s="358">
        <v>784200383481700</v>
      </c>
      <c r="G24" s="3">
        <v>199</v>
      </c>
      <c r="H24" s="3">
        <v>559057362</v>
      </c>
      <c r="I24" s="1" t="s">
        <v>3369</v>
      </c>
      <c r="J24" s="73" t="s">
        <v>83</v>
      </c>
      <c r="K24" s="73" t="e">
        <v>#N/A</v>
      </c>
      <c r="L24" s="73" t="s">
        <v>1589</v>
      </c>
      <c r="M24" s="1">
        <v>1.69234843</v>
      </c>
      <c r="N24" s="326">
        <v>45629</v>
      </c>
      <c r="O24" s="148" t="e">
        <v>#N/A</v>
      </c>
    </row>
    <row r="25" spans="1:17">
      <c r="C25" s="357">
        <v>45629</v>
      </c>
      <c r="D25" s="359" t="s">
        <v>3370</v>
      </c>
      <c r="E25" s="359" t="s">
        <v>3371</v>
      </c>
      <c r="F25" s="358">
        <v>784199572095745</v>
      </c>
      <c r="G25" s="3">
        <v>199</v>
      </c>
      <c r="H25" s="120">
        <v>526156220</v>
      </c>
      <c r="I25" s="359" t="s">
        <v>3372</v>
      </c>
      <c r="J25" s="360" t="s">
        <v>83</v>
      </c>
      <c r="K25" s="73" t="s">
        <v>3373</v>
      </c>
      <c r="L25" s="73" t="s">
        <v>1589</v>
      </c>
      <c r="M25" s="1">
        <v>1.6930175999999999</v>
      </c>
      <c r="N25" s="326">
        <v>45629</v>
      </c>
      <c r="O25" s="148" t="e">
        <v>#N/A</v>
      </c>
    </row>
    <row r="26" spans="1:17">
      <c r="C26" s="357">
        <v>45629</v>
      </c>
      <c r="D26" s="359" t="s">
        <v>3374</v>
      </c>
      <c r="E26" s="359" t="s">
        <v>3347</v>
      </c>
      <c r="F26" s="358">
        <v>784199069435107</v>
      </c>
      <c r="G26" s="3">
        <v>199</v>
      </c>
      <c r="H26" s="120">
        <v>529438837</v>
      </c>
      <c r="I26" s="359" t="s">
        <v>3375</v>
      </c>
      <c r="J26" s="360" t="s">
        <v>83</v>
      </c>
      <c r="K26" s="73" t="s">
        <v>3373</v>
      </c>
      <c r="L26" s="73" t="s">
        <v>1589</v>
      </c>
      <c r="M26" s="1">
        <v>1.6929909599999999</v>
      </c>
      <c r="N26" s="326">
        <v>45629</v>
      </c>
      <c r="O26" s="148" t="e">
        <v>#N/A</v>
      </c>
    </row>
    <row r="27" spans="1:17">
      <c r="C27" s="357">
        <v>45632</v>
      </c>
      <c r="D27" s="359" t="s">
        <v>3376</v>
      </c>
      <c r="E27" s="359" t="s">
        <v>3377</v>
      </c>
      <c r="F27" s="1">
        <v>784198758396240</v>
      </c>
      <c r="G27" s="3">
        <v>199</v>
      </c>
      <c r="H27" s="120">
        <v>507085866</v>
      </c>
      <c r="I27" s="359" t="s">
        <v>3378</v>
      </c>
      <c r="J27" s="73" t="s">
        <v>83</v>
      </c>
      <c r="K27" s="73" t="s">
        <v>3373</v>
      </c>
      <c r="L27" s="73" t="s">
        <v>1589</v>
      </c>
      <c r="M27" s="1">
        <v>1.6938699500000001</v>
      </c>
      <c r="N27" s="326">
        <v>45632</v>
      </c>
      <c r="O27" s="148" t="e">
        <v>#N/A</v>
      </c>
    </row>
    <row r="28" spans="1:17">
      <c r="C28" s="357">
        <v>45635</v>
      </c>
      <c r="D28" s="359" t="s">
        <v>3379</v>
      </c>
      <c r="E28" s="359" t="s">
        <v>3380</v>
      </c>
      <c r="F28" s="358">
        <v>784199526476009</v>
      </c>
      <c r="G28" s="3">
        <v>199</v>
      </c>
      <c r="H28" s="120">
        <v>556312015</v>
      </c>
      <c r="I28" s="359" t="s">
        <v>3381</v>
      </c>
      <c r="J28" s="73" t="s">
        <v>83</v>
      </c>
      <c r="K28" s="73" t="e">
        <v>#N/A</v>
      </c>
      <c r="L28" s="73" t="s">
        <v>1589</v>
      </c>
      <c r="M28" s="1">
        <v>1.69470097</v>
      </c>
      <c r="N28" s="326">
        <v>45635</v>
      </c>
      <c r="O28" s="148" t="e">
        <v>#N/A</v>
      </c>
    </row>
    <row r="29" spans="1:17">
      <c r="C29" s="357">
        <v>45635</v>
      </c>
      <c r="D29" s="359" t="s">
        <v>3382</v>
      </c>
      <c r="E29" s="359" t="s">
        <v>3380</v>
      </c>
      <c r="F29" s="358">
        <v>784196949403644</v>
      </c>
      <c r="G29" s="3">
        <v>199</v>
      </c>
      <c r="H29" s="120">
        <v>504857348</v>
      </c>
      <c r="I29" s="359" t="s">
        <v>3383</v>
      </c>
      <c r="J29" s="73" t="s">
        <v>83</v>
      </c>
      <c r="K29" s="73" t="s">
        <v>3373</v>
      </c>
      <c r="L29" s="73" t="s">
        <v>1589</v>
      </c>
      <c r="M29" s="1">
        <v>1.6946601699999999</v>
      </c>
      <c r="N29" s="326">
        <v>45635</v>
      </c>
      <c r="O29" s="148" t="e">
        <v>#N/A</v>
      </c>
    </row>
    <row r="30" spans="1:17">
      <c r="C30" s="357">
        <v>45637</v>
      </c>
      <c r="D30" s="1" t="s">
        <v>3384</v>
      </c>
      <c r="E30" s="359" t="s">
        <v>3380</v>
      </c>
      <c r="F30" s="358">
        <v>784200361961152</v>
      </c>
      <c r="G30" s="3">
        <v>199</v>
      </c>
      <c r="H30" s="120">
        <v>561865412</v>
      </c>
      <c r="I30" s="359" t="s">
        <v>3385</v>
      </c>
      <c r="J30" s="73" t="s">
        <v>83</v>
      </c>
      <c r="K30" s="73" t="s">
        <v>3386</v>
      </c>
      <c r="L30" s="73" t="s">
        <v>1589</v>
      </c>
      <c r="M30" s="1">
        <v>1.69521955</v>
      </c>
      <c r="N30" s="326">
        <v>45638</v>
      </c>
      <c r="O30" s="148" t="e">
        <v>#N/A</v>
      </c>
    </row>
    <row r="31" spans="1:17">
      <c r="C31" s="357">
        <v>45637</v>
      </c>
      <c r="D31" s="1" t="s">
        <v>3387</v>
      </c>
      <c r="E31" s="359" t="s">
        <v>3338</v>
      </c>
      <c r="F31" s="358">
        <v>784199109396590</v>
      </c>
      <c r="G31" s="3">
        <v>199</v>
      </c>
      <c r="H31" s="120">
        <v>522465467</v>
      </c>
      <c r="I31" s="359" t="s">
        <v>3388</v>
      </c>
      <c r="J31" s="73" t="s">
        <v>83</v>
      </c>
      <c r="K31" s="73" t="s">
        <v>3386</v>
      </c>
      <c r="L31" s="73" t="s">
        <v>1589</v>
      </c>
      <c r="M31" s="1">
        <v>1.69519339</v>
      </c>
      <c r="N31" s="326">
        <v>45637</v>
      </c>
      <c r="O31" s="148" t="e">
        <v>#N/A</v>
      </c>
    </row>
    <row r="32" spans="1:17">
      <c r="C32" s="357">
        <v>45641</v>
      </c>
      <c r="D32" s="359" t="s">
        <v>3389</v>
      </c>
      <c r="E32" s="359" t="s">
        <v>3390</v>
      </c>
      <c r="F32" s="358">
        <v>784198267954000</v>
      </c>
      <c r="G32" s="3">
        <v>199</v>
      </c>
      <c r="H32" s="120">
        <v>586870060</v>
      </c>
      <c r="I32" s="359" t="s">
        <v>3391</v>
      </c>
      <c r="J32" s="73" t="s">
        <v>83</v>
      </c>
      <c r="K32" s="73" t="s">
        <v>3392</v>
      </c>
      <c r="L32" s="73" t="s">
        <v>1589</v>
      </c>
      <c r="M32" s="1">
        <v>1.69635023</v>
      </c>
      <c r="N32" s="326">
        <v>45642</v>
      </c>
      <c r="O32" s="148" t="e">
        <v>#N/A</v>
      </c>
    </row>
    <row r="33" spans="3:15">
      <c r="C33" s="357">
        <v>45642</v>
      </c>
      <c r="D33" s="359" t="s">
        <v>3393</v>
      </c>
      <c r="E33" s="359" t="s">
        <v>3380</v>
      </c>
      <c r="F33" s="358">
        <v>784199194210961</v>
      </c>
      <c r="G33" s="3">
        <v>199</v>
      </c>
      <c r="H33" s="120">
        <v>562790562</v>
      </c>
      <c r="I33" s="359" t="s">
        <v>3394</v>
      </c>
      <c r="J33" s="73" t="s">
        <v>83</v>
      </c>
      <c r="K33" s="73" t="s">
        <v>3373</v>
      </c>
      <c r="L33" s="73" t="s">
        <v>1589</v>
      </c>
      <c r="M33" s="1">
        <v>1.6966848299999999</v>
      </c>
      <c r="N33" s="326">
        <v>45643</v>
      </c>
      <c r="O33" s="148" t="e">
        <v>#N/A</v>
      </c>
    </row>
    <row r="34" spans="3:15">
      <c r="C34" s="357">
        <v>45647</v>
      </c>
      <c r="D34" s="359" t="s">
        <v>3395</v>
      </c>
      <c r="E34" s="359" t="s">
        <v>3396</v>
      </c>
      <c r="F34" s="358">
        <v>784199216495830</v>
      </c>
      <c r="G34" s="3">
        <v>199</v>
      </c>
      <c r="H34" s="120">
        <v>586921115</v>
      </c>
      <c r="I34" s="359" t="s">
        <v>3397</v>
      </c>
      <c r="J34" s="73" t="s">
        <v>83</v>
      </c>
      <c r="K34" s="73" t="s">
        <v>3373</v>
      </c>
      <c r="L34" s="73" t="s">
        <v>1589</v>
      </c>
      <c r="M34" s="1">
        <v>1.4157820999999999</v>
      </c>
      <c r="N34" s="326">
        <v>45647</v>
      </c>
      <c r="O34" s="148" t="e">
        <v>#N/A</v>
      </c>
    </row>
    <row r="35" spans="3:15">
      <c r="D35" s="575" t="s">
        <v>4061</v>
      </c>
      <c r="E35" s="574" t="s">
        <v>2248</v>
      </c>
      <c r="F35" s="573">
        <v>586570092</v>
      </c>
      <c r="G35" s="572">
        <v>199</v>
      </c>
      <c r="H35" s="571" t="s">
        <v>2408</v>
      </c>
      <c r="I35" s="570">
        <v>45627</v>
      </c>
    </row>
    <row r="36" spans="3:15">
      <c r="D36" s="575" t="s">
        <v>4060</v>
      </c>
      <c r="E36" s="574" t="s">
        <v>4059</v>
      </c>
      <c r="F36" s="573">
        <v>507483634</v>
      </c>
      <c r="G36" s="572">
        <v>199</v>
      </c>
      <c r="H36" s="571" t="s">
        <v>2408</v>
      </c>
      <c r="I36" s="570">
        <v>45627</v>
      </c>
    </row>
    <row r="37" spans="3:15">
      <c r="D37" s="575" t="s">
        <v>4058</v>
      </c>
      <c r="E37" s="574" t="s">
        <v>4057</v>
      </c>
      <c r="F37" s="573">
        <v>558980604</v>
      </c>
      <c r="G37" s="572">
        <v>199</v>
      </c>
      <c r="H37" s="571" t="s">
        <v>2408</v>
      </c>
      <c r="I37" s="570">
        <v>45628</v>
      </c>
    </row>
    <row r="38" spans="3:15">
      <c r="D38" s="575" t="s">
        <v>4056</v>
      </c>
      <c r="E38" s="574" t="s">
        <v>2250</v>
      </c>
      <c r="F38" s="573">
        <v>525487452</v>
      </c>
      <c r="G38" s="572">
        <v>199</v>
      </c>
      <c r="H38" s="571" t="s">
        <v>2408</v>
      </c>
      <c r="I38" s="570">
        <v>45628</v>
      </c>
    </row>
    <row r="39" spans="3:15">
      <c r="D39" s="575" t="s">
        <v>4055</v>
      </c>
      <c r="E39" s="574" t="s">
        <v>2252</v>
      </c>
      <c r="F39" s="573">
        <v>503213272</v>
      </c>
      <c r="G39" s="572">
        <v>199</v>
      </c>
      <c r="H39" s="571" t="s">
        <v>2408</v>
      </c>
      <c r="I39" s="570">
        <v>45628</v>
      </c>
    </row>
    <row r="40" spans="3:15">
      <c r="D40" s="575" t="s">
        <v>4054</v>
      </c>
      <c r="E40" s="574" t="s">
        <v>2256</v>
      </c>
      <c r="F40" s="573">
        <v>554292815</v>
      </c>
      <c r="G40" s="572">
        <v>299</v>
      </c>
      <c r="H40" s="571" t="s">
        <v>2408</v>
      </c>
      <c r="I40" s="570">
        <v>45629</v>
      </c>
    </row>
    <row r="41" spans="3:15">
      <c r="D41" s="575" t="s">
        <v>4053</v>
      </c>
      <c r="E41" s="574" t="s">
        <v>2258</v>
      </c>
      <c r="F41" s="573">
        <v>506617701</v>
      </c>
      <c r="G41" s="572">
        <v>199</v>
      </c>
      <c r="H41" s="571" t="s">
        <v>2408</v>
      </c>
      <c r="I41" s="570">
        <v>45628</v>
      </c>
    </row>
    <row r="42" spans="3:15">
      <c r="D42" s="575" t="s">
        <v>4052</v>
      </c>
      <c r="E42" s="574" t="s">
        <v>2260</v>
      </c>
      <c r="F42" s="573">
        <v>563637353</v>
      </c>
      <c r="G42" s="572">
        <v>199</v>
      </c>
      <c r="H42" s="571" t="s">
        <v>2408</v>
      </c>
      <c r="I42" s="570">
        <v>45629</v>
      </c>
    </row>
    <row r="43" spans="3:15">
      <c r="D43" s="575" t="s">
        <v>4051</v>
      </c>
      <c r="E43" s="574" t="s">
        <v>2262</v>
      </c>
      <c r="F43" s="573">
        <v>559012322</v>
      </c>
      <c r="G43" s="572">
        <v>199</v>
      </c>
      <c r="H43" s="571" t="s">
        <v>2408</v>
      </c>
      <c r="I43" s="570">
        <v>45629</v>
      </c>
    </row>
    <row r="44" spans="3:15">
      <c r="D44" s="575" t="s">
        <v>4050</v>
      </c>
      <c r="E44" s="574" t="s">
        <v>2264</v>
      </c>
      <c r="F44" s="573">
        <v>561230010</v>
      </c>
      <c r="G44" s="572">
        <v>299</v>
      </c>
      <c r="H44" s="571" t="s">
        <v>2408</v>
      </c>
      <c r="I44" s="570">
        <v>45629</v>
      </c>
    </row>
    <row r="45" spans="3:15">
      <c r="D45" s="575" t="s">
        <v>4049</v>
      </c>
      <c r="E45" s="574" t="s">
        <v>2266</v>
      </c>
      <c r="F45" s="573">
        <v>565738140</v>
      </c>
      <c r="G45" s="572">
        <v>199</v>
      </c>
      <c r="H45" s="571" t="s">
        <v>2408</v>
      </c>
      <c r="I45" s="570">
        <v>45629</v>
      </c>
    </row>
    <row r="46" spans="3:15">
      <c r="D46" s="575" t="s">
        <v>4048</v>
      </c>
      <c r="E46" s="574" t="s">
        <v>2268</v>
      </c>
      <c r="F46" s="573">
        <v>504875022</v>
      </c>
      <c r="G46" s="572">
        <v>199</v>
      </c>
      <c r="H46" s="571" t="s">
        <v>2408</v>
      </c>
      <c r="I46" s="570">
        <v>45629</v>
      </c>
    </row>
    <row r="47" spans="3:15">
      <c r="D47" s="575" t="s">
        <v>4047</v>
      </c>
      <c r="E47" s="574" t="s">
        <v>2272</v>
      </c>
      <c r="F47" s="573">
        <v>555469869</v>
      </c>
      <c r="G47" s="572">
        <v>199</v>
      </c>
      <c r="H47" s="571" t="s">
        <v>2408</v>
      </c>
      <c r="I47" s="570">
        <v>45630</v>
      </c>
    </row>
    <row r="48" spans="3:15">
      <c r="D48" s="575" t="s">
        <v>4046</v>
      </c>
      <c r="E48" s="574" t="s">
        <v>2274</v>
      </c>
      <c r="F48" s="573">
        <v>501131252</v>
      </c>
      <c r="G48" s="572">
        <v>199</v>
      </c>
      <c r="H48" s="571" t="s">
        <v>2408</v>
      </c>
      <c r="I48" s="570">
        <v>45629</v>
      </c>
    </row>
    <row r="49" spans="4:9">
      <c r="D49" s="575" t="s">
        <v>4045</v>
      </c>
      <c r="E49" s="574" t="s">
        <v>2276</v>
      </c>
      <c r="F49" s="573">
        <v>504113687</v>
      </c>
      <c r="G49" s="572">
        <v>199</v>
      </c>
      <c r="H49" s="571" t="s">
        <v>2408</v>
      </c>
      <c r="I49" s="570">
        <v>45631</v>
      </c>
    </row>
    <row r="50" spans="4:9">
      <c r="D50" s="575" t="s">
        <v>4044</v>
      </c>
      <c r="E50" s="574" t="s">
        <v>2278</v>
      </c>
      <c r="F50" s="573">
        <v>561037484</v>
      </c>
      <c r="G50" s="572">
        <v>199</v>
      </c>
      <c r="H50" s="571" t="s">
        <v>2408</v>
      </c>
      <c r="I50" s="570">
        <v>45630</v>
      </c>
    </row>
    <row r="51" spans="4:9">
      <c r="D51" s="575" t="s">
        <v>4043</v>
      </c>
      <c r="E51" s="574" t="s">
        <v>2282</v>
      </c>
      <c r="F51" s="573">
        <v>553574645</v>
      </c>
      <c r="G51" s="572">
        <v>199</v>
      </c>
      <c r="H51" s="571" t="s">
        <v>2408</v>
      </c>
      <c r="I51" s="570">
        <v>45635</v>
      </c>
    </row>
    <row r="52" spans="4:9">
      <c r="D52" s="575" t="s">
        <v>4042</v>
      </c>
      <c r="E52" s="574" t="s">
        <v>2284</v>
      </c>
      <c r="F52" s="573">
        <v>526232385</v>
      </c>
      <c r="G52" s="572">
        <v>199</v>
      </c>
      <c r="H52" s="571" t="s">
        <v>2408</v>
      </c>
      <c r="I52" s="570">
        <v>45637</v>
      </c>
    </row>
    <row r="53" spans="4:9">
      <c r="D53" s="575" t="s">
        <v>4041</v>
      </c>
      <c r="E53" s="574" t="s">
        <v>2286</v>
      </c>
      <c r="F53" s="573">
        <v>555962622</v>
      </c>
      <c r="G53" s="572">
        <v>199</v>
      </c>
      <c r="H53" s="571" t="s">
        <v>2408</v>
      </c>
      <c r="I53" s="570">
        <v>45635</v>
      </c>
    </row>
    <row r="54" spans="4:9">
      <c r="D54" s="575" t="s">
        <v>4040</v>
      </c>
      <c r="E54" s="574" t="s">
        <v>2292</v>
      </c>
      <c r="F54" s="573">
        <v>509060025</v>
      </c>
      <c r="G54" s="572">
        <v>199</v>
      </c>
      <c r="H54" s="571" t="s">
        <v>2408</v>
      </c>
      <c r="I54" s="570">
        <v>45637</v>
      </c>
    </row>
    <row r="55" spans="4:9">
      <c r="D55" s="575" t="s">
        <v>4039</v>
      </c>
      <c r="E55" s="574" t="s">
        <v>2296</v>
      </c>
      <c r="F55" s="573">
        <v>526815190</v>
      </c>
      <c r="G55" s="572">
        <v>199</v>
      </c>
      <c r="H55" s="571" t="s">
        <v>2408</v>
      </c>
      <c r="I55" s="570">
        <v>45637</v>
      </c>
    </row>
    <row r="56" spans="4:9">
      <c r="D56" s="575" t="s">
        <v>4038</v>
      </c>
      <c r="E56" s="574" t="s">
        <v>2298</v>
      </c>
      <c r="F56" s="573">
        <v>522576352</v>
      </c>
      <c r="G56" s="572">
        <v>199</v>
      </c>
      <c r="H56" s="571" t="s">
        <v>2408</v>
      </c>
      <c r="I56" s="570">
        <v>45638</v>
      </c>
    </row>
    <row r="57" spans="4:9">
      <c r="D57" s="575" t="s">
        <v>4037</v>
      </c>
      <c r="E57" s="574" t="s">
        <v>2300</v>
      </c>
      <c r="F57" s="573">
        <v>501056995</v>
      </c>
      <c r="G57" s="572">
        <v>199</v>
      </c>
      <c r="H57" s="571" t="s">
        <v>2408</v>
      </c>
      <c r="I57" s="570">
        <v>45639</v>
      </c>
    </row>
    <row r="58" spans="4:9">
      <c r="D58" s="575" t="s">
        <v>4036</v>
      </c>
      <c r="E58" s="574" t="s">
        <v>2302</v>
      </c>
      <c r="F58" s="573">
        <v>502512515</v>
      </c>
      <c r="G58" s="572">
        <v>199</v>
      </c>
      <c r="H58" s="571" t="s">
        <v>2408</v>
      </c>
      <c r="I58" s="570">
        <v>45639</v>
      </c>
    </row>
    <row r="59" spans="4:9">
      <c r="D59" s="575" t="s">
        <v>4035</v>
      </c>
      <c r="E59" s="574" t="s">
        <v>2304</v>
      </c>
      <c r="F59" s="573">
        <v>509128482</v>
      </c>
      <c r="G59" s="572">
        <v>199</v>
      </c>
      <c r="H59" s="571" t="s">
        <v>2408</v>
      </c>
      <c r="I59" s="570">
        <v>45640</v>
      </c>
    </row>
    <row r="60" spans="4:9">
      <c r="D60" s="575" t="s">
        <v>4034</v>
      </c>
      <c r="E60" s="574" t="s">
        <v>2306</v>
      </c>
      <c r="F60" s="573">
        <v>568857347</v>
      </c>
      <c r="G60" s="572">
        <v>199</v>
      </c>
      <c r="H60" s="571" t="s">
        <v>2408</v>
      </c>
      <c r="I60" s="570">
        <v>45640</v>
      </c>
    </row>
    <row r="61" spans="4:9">
      <c r="D61" s="575" t="s">
        <v>4033</v>
      </c>
      <c r="E61" s="574" t="s">
        <v>2308</v>
      </c>
      <c r="F61" s="573">
        <v>527519405</v>
      </c>
      <c r="G61" s="572">
        <v>199</v>
      </c>
      <c r="H61" s="571" t="s">
        <v>2408</v>
      </c>
      <c r="I61" s="570">
        <v>45641</v>
      </c>
    </row>
    <row r="62" spans="4:9">
      <c r="D62" s="575" t="s">
        <v>4032</v>
      </c>
      <c r="E62" s="574" t="s">
        <v>2312</v>
      </c>
      <c r="F62" s="573">
        <v>582893981</v>
      </c>
      <c r="G62" s="572">
        <v>199</v>
      </c>
      <c r="H62" s="571" t="s">
        <v>2408</v>
      </c>
      <c r="I62" s="570">
        <v>45643</v>
      </c>
    </row>
    <row r="63" spans="4:9">
      <c r="D63" s="575" t="s">
        <v>4031</v>
      </c>
      <c r="E63" s="574" t="s">
        <v>2314</v>
      </c>
      <c r="F63" s="573">
        <v>557852830</v>
      </c>
      <c r="G63" s="572">
        <v>299</v>
      </c>
      <c r="H63" s="571" t="s">
        <v>2408</v>
      </c>
      <c r="I63" s="570">
        <v>45646</v>
      </c>
    </row>
    <row r="64" spans="4:9">
      <c r="D64" s="575" t="s">
        <v>4030</v>
      </c>
      <c r="E64" s="574" t="s">
        <v>2316</v>
      </c>
      <c r="F64" s="573">
        <v>527192174</v>
      </c>
      <c r="G64" s="572">
        <v>299</v>
      </c>
      <c r="H64" s="571" t="s">
        <v>2408</v>
      </c>
      <c r="I64" s="570">
        <v>45646</v>
      </c>
    </row>
    <row r="65" spans="4:9">
      <c r="D65" s="575" t="s">
        <v>4029</v>
      </c>
      <c r="E65" s="574" t="s">
        <v>2318</v>
      </c>
      <c r="F65" s="573">
        <v>559711723</v>
      </c>
      <c r="G65" s="572">
        <v>199</v>
      </c>
      <c r="H65" s="571" t="s">
        <v>2408</v>
      </c>
      <c r="I65" s="570">
        <v>45649</v>
      </c>
    </row>
    <row r="66" spans="4:9">
      <c r="D66" s="575" t="s">
        <v>4028</v>
      </c>
      <c r="E66" s="574" t="s">
        <v>2322</v>
      </c>
      <c r="F66" s="573">
        <v>527063639</v>
      </c>
      <c r="G66" s="572">
        <v>199</v>
      </c>
      <c r="H66" s="571" t="s">
        <v>2408</v>
      </c>
      <c r="I66" s="570">
        <v>45651</v>
      </c>
    </row>
    <row r="67" spans="4:9">
      <c r="D67" s="575" t="s">
        <v>4027</v>
      </c>
      <c r="E67" s="574" t="s">
        <v>2326</v>
      </c>
      <c r="F67" s="573">
        <v>559236222</v>
      </c>
      <c r="G67" s="572">
        <v>199</v>
      </c>
      <c r="H67" s="571" t="s">
        <v>2408</v>
      </c>
      <c r="I67" s="570">
        <v>45651</v>
      </c>
    </row>
    <row r="68" spans="4:9">
      <c r="D68" s="575" t="s">
        <v>4026</v>
      </c>
      <c r="E68" s="574" t="s">
        <v>4025</v>
      </c>
      <c r="F68" s="573">
        <v>528035181</v>
      </c>
      <c r="G68" s="572">
        <v>199</v>
      </c>
      <c r="H68" s="571" t="s">
        <v>2408</v>
      </c>
      <c r="I68" s="570">
        <v>45652</v>
      </c>
    </row>
    <row r="69" spans="4:9">
      <c r="D69" s="575" t="s">
        <v>4024</v>
      </c>
      <c r="E69" s="574" t="s">
        <v>2328</v>
      </c>
      <c r="F69" s="573">
        <v>589175701</v>
      </c>
      <c r="G69" s="572">
        <v>299</v>
      </c>
      <c r="H69" s="571" t="s">
        <v>2408</v>
      </c>
      <c r="I69" s="570">
        <v>45653</v>
      </c>
    </row>
    <row r="70" spans="4:9">
      <c r="D70" s="575" t="s">
        <v>4023</v>
      </c>
      <c r="E70" s="574" t="s">
        <v>2330</v>
      </c>
      <c r="F70" s="573">
        <v>507798231</v>
      </c>
      <c r="G70" s="572">
        <v>199</v>
      </c>
      <c r="H70" s="571" t="s">
        <v>2408</v>
      </c>
      <c r="I70" s="570">
        <v>45653</v>
      </c>
    </row>
    <row r="71" spans="4:9">
      <c r="D71" s="575" t="s">
        <v>4022</v>
      </c>
      <c r="E71" s="574" t="s">
        <v>2334</v>
      </c>
      <c r="F71" s="573">
        <v>547081835</v>
      </c>
      <c r="G71" s="572">
        <v>199</v>
      </c>
      <c r="H71" s="571" t="s">
        <v>2408</v>
      </c>
      <c r="I71" s="570">
        <v>45653</v>
      </c>
    </row>
    <row r="72" spans="4:9">
      <c r="D72" s="575" t="s">
        <v>4021</v>
      </c>
      <c r="E72" s="574" t="s">
        <v>2337</v>
      </c>
      <c r="F72" s="573">
        <v>509862676</v>
      </c>
      <c r="G72" s="572">
        <v>199</v>
      </c>
      <c r="H72" s="571" t="s">
        <v>2408</v>
      </c>
      <c r="I72" s="570">
        <v>45654</v>
      </c>
    </row>
    <row r="73" spans="4:9">
      <c r="D73" s="575" t="s">
        <v>4020</v>
      </c>
      <c r="E73" s="574" t="s">
        <v>2339</v>
      </c>
      <c r="F73" s="573">
        <v>568272621</v>
      </c>
      <c r="G73" s="572">
        <v>199</v>
      </c>
      <c r="H73" s="571" t="s">
        <v>2408</v>
      </c>
      <c r="I73" s="570">
        <v>45654</v>
      </c>
    </row>
    <row r="74" spans="4:9">
      <c r="D74" s="575" t="s">
        <v>4019</v>
      </c>
      <c r="E74" s="574" t="s">
        <v>2345</v>
      </c>
      <c r="F74" s="573">
        <v>568774807</v>
      </c>
      <c r="G74" s="572">
        <v>199</v>
      </c>
      <c r="H74" s="571" t="s">
        <v>2408</v>
      </c>
      <c r="I74" s="570">
        <v>45655</v>
      </c>
    </row>
    <row r="75" spans="4:9">
      <c r="D75" s="575" t="s">
        <v>4018</v>
      </c>
      <c r="E75" s="574" t="s">
        <v>2349</v>
      </c>
      <c r="F75" s="573">
        <v>527789170</v>
      </c>
      <c r="G75" s="572">
        <v>199</v>
      </c>
      <c r="H75" s="571" t="s">
        <v>2408</v>
      </c>
      <c r="I75" s="570">
        <v>45655</v>
      </c>
    </row>
    <row r="76" spans="4:9">
      <c r="D76" s="575" t="s">
        <v>4017</v>
      </c>
      <c r="E76" s="574" t="s">
        <v>2353</v>
      </c>
      <c r="F76" s="573">
        <v>544033708</v>
      </c>
      <c r="G76" s="572">
        <v>199</v>
      </c>
      <c r="H76" s="571" t="s">
        <v>2408</v>
      </c>
      <c r="I76" s="570">
        <v>45656</v>
      </c>
    </row>
  </sheetData>
  <conditionalFormatting sqref="D24:D34">
    <cfRule type="duplicateValues" dxfId="366" priority="10"/>
    <cfRule type="duplicateValues" dxfId="365" priority="14"/>
    <cfRule type="duplicateValues" dxfId="364" priority="15"/>
    <cfRule type="duplicateValues" dxfId="363" priority="16"/>
    <cfRule type="duplicateValues" dxfId="362" priority="17"/>
    <cfRule type="duplicateValues" dxfId="361" priority="18"/>
    <cfRule type="duplicateValues" dxfId="360" priority="19"/>
    <cfRule type="duplicateValues" dxfId="359" priority="20"/>
    <cfRule type="duplicateValues" dxfId="358" priority="23"/>
  </conditionalFormatting>
  <conditionalFormatting sqref="H6:H23">
    <cfRule type="duplicateValues" dxfId="357" priority="27"/>
  </conditionalFormatting>
  <conditionalFormatting sqref="H25:H26">
    <cfRule type="duplicateValues" dxfId="356" priority="9"/>
  </conditionalFormatting>
  <conditionalFormatting sqref="H27">
    <cfRule type="duplicateValues" dxfId="355" priority="8"/>
  </conditionalFormatting>
  <conditionalFormatting sqref="H28:H29">
    <cfRule type="duplicateValues" dxfId="354" priority="7"/>
  </conditionalFormatting>
  <conditionalFormatting sqref="H30:H31">
    <cfRule type="duplicateValues" dxfId="353" priority="6"/>
  </conditionalFormatting>
  <conditionalFormatting sqref="H32">
    <cfRule type="duplicateValues" dxfId="352" priority="5"/>
  </conditionalFormatting>
  <conditionalFormatting sqref="H33">
    <cfRule type="duplicateValues" dxfId="351" priority="4"/>
  </conditionalFormatting>
  <conditionalFormatting sqref="H34">
    <cfRule type="duplicateValues" dxfId="350" priority="3"/>
  </conditionalFormatting>
  <conditionalFormatting sqref="I24:I34">
    <cfRule type="duplicateValues" dxfId="349" priority="12"/>
    <cfRule type="duplicateValues" dxfId="348" priority="13"/>
    <cfRule type="duplicateValues" dxfId="347" priority="21"/>
    <cfRule type="duplicateValues" dxfId="346" priority="22"/>
    <cfRule type="duplicateValues" dxfId="345" priority="24"/>
    <cfRule type="duplicateValues" dxfId="344" priority="25"/>
  </conditionalFormatting>
  <conditionalFormatting sqref="L6:L23">
    <cfRule type="duplicateValues" dxfId="343" priority="28"/>
  </conditionalFormatting>
  <conditionalFormatting sqref="M24:M34">
    <cfRule type="duplicateValues" dxfId="342" priority="11"/>
    <cfRule type="duplicateValues" dxfId="341" priority="26"/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M30"/>
  <sheetViews>
    <sheetView topLeftCell="A5" zoomScale="85" zoomScaleNormal="85" workbookViewId="0">
      <selection activeCell="C2" sqref="C2:C27"/>
    </sheetView>
  </sheetViews>
  <sheetFormatPr defaultRowHeight="14.5"/>
  <cols>
    <col min="1" max="1" width="15.453125" bestFit="1" customWidth="1"/>
    <col min="2" max="2" width="10.453125" bestFit="1" customWidth="1"/>
  </cols>
  <sheetData>
    <row r="1" spans="1:12">
      <c r="A1" t="s">
        <v>3580</v>
      </c>
      <c r="B1" t="s">
        <v>3512</v>
      </c>
      <c r="C1" t="s">
        <v>3579</v>
      </c>
      <c r="D1" t="s">
        <v>3512</v>
      </c>
      <c r="E1" t="s">
        <v>2636</v>
      </c>
      <c r="F1" t="s">
        <v>2637</v>
      </c>
      <c r="G1" t="s">
        <v>3512</v>
      </c>
      <c r="H1" t="s">
        <v>1882</v>
      </c>
      <c r="I1" t="s">
        <v>3149</v>
      </c>
      <c r="J1" t="s">
        <v>2069</v>
      </c>
      <c r="K1" t="s">
        <v>253</v>
      </c>
      <c r="L1" t="s">
        <v>3578</v>
      </c>
    </row>
    <row r="2" spans="1:12">
      <c r="A2" t="s">
        <v>148</v>
      </c>
      <c r="B2" t="s">
        <v>3498</v>
      </c>
      <c r="C2" t="s">
        <v>3499</v>
      </c>
      <c r="D2" t="s">
        <v>3500</v>
      </c>
      <c r="E2" t="s">
        <v>3501</v>
      </c>
      <c r="F2" t="s">
        <v>3502</v>
      </c>
      <c r="H2" t="s">
        <v>3503</v>
      </c>
      <c r="J2" t="s">
        <v>1589</v>
      </c>
    </row>
    <row r="3" spans="1:12">
      <c r="A3" t="s">
        <v>148</v>
      </c>
      <c r="B3" t="s">
        <v>3504</v>
      </c>
      <c r="C3" t="s">
        <v>3500</v>
      </c>
      <c r="D3" t="s">
        <v>3505</v>
      </c>
      <c r="E3" t="s">
        <v>3506</v>
      </c>
      <c r="F3" t="s">
        <v>3507</v>
      </c>
      <c r="H3" t="s">
        <v>3503</v>
      </c>
      <c r="J3" t="s">
        <v>481</v>
      </c>
    </row>
    <row r="4" spans="1:12">
      <c r="A4" t="s">
        <v>148</v>
      </c>
      <c r="B4" t="s">
        <v>3508</v>
      </c>
      <c r="C4" t="s">
        <v>3509</v>
      </c>
      <c r="D4" t="s">
        <v>3500</v>
      </c>
      <c r="E4" t="s">
        <v>3510</v>
      </c>
      <c r="F4" t="s">
        <v>3511</v>
      </c>
      <c r="H4" t="s">
        <v>3503</v>
      </c>
      <c r="J4" t="s">
        <v>1589</v>
      </c>
    </row>
    <row r="5" spans="1:12">
      <c r="A5" t="s">
        <v>148</v>
      </c>
      <c r="B5" t="s">
        <v>3512</v>
      </c>
      <c r="C5" t="s">
        <v>3500</v>
      </c>
      <c r="D5" t="s">
        <v>3500</v>
      </c>
      <c r="E5" t="s">
        <v>3513</v>
      </c>
      <c r="F5" t="s">
        <v>3514</v>
      </c>
      <c r="H5" t="s">
        <v>3515</v>
      </c>
      <c r="J5" t="s">
        <v>1589</v>
      </c>
    </row>
    <row r="6" spans="1:12">
      <c r="A6" t="s">
        <v>148</v>
      </c>
      <c r="B6" t="s">
        <v>3512</v>
      </c>
      <c r="C6" t="s">
        <v>3500</v>
      </c>
      <c r="D6" t="s">
        <v>3500</v>
      </c>
      <c r="E6" t="s">
        <v>3516</v>
      </c>
      <c r="F6" t="s">
        <v>3517</v>
      </c>
      <c r="H6" t="s">
        <v>3515</v>
      </c>
      <c r="J6" t="s">
        <v>1589</v>
      </c>
    </row>
    <row r="7" spans="1:12">
      <c r="A7" t="s">
        <v>148</v>
      </c>
      <c r="B7" t="s">
        <v>3518</v>
      </c>
      <c r="C7" t="s">
        <v>3519</v>
      </c>
      <c r="D7" t="s">
        <v>3505</v>
      </c>
      <c r="E7" t="s">
        <v>3520</v>
      </c>
      <c r="F7" t="s">
        <v>3521</v>
      </c>
      <c r="H7" t="s">
        <v>3503</v>
      </c>
      <c r="J7" t="s">
        <v>481</v>
      </c>
    </row>
    <row r="8" spans="1:12">
      <c r="A8" t="s">
        <v>148</v>
      </c>
      <c r="B8" t="s">
        <v>3522</v>
      </c>
      <c r="C8" t="s">
        <v>3523</v>
      </c>
      <c r="D8" t="s">
        <v>3505</v>
      </c>
      <c r="E8" t="s">
        <v>3524</v>
      </c>
      <c r="F8" t="s">
        <v>3525</v>
      </c>
      <c r="H8" t="s">
        <v>3503</v>
      </c>
      <c r="J8" t="s">
        <v>481</v>
      </c>
    </row>
    <row r="9" spans="1:12">
      <c r="A9" t="s">
        <v>148</v>
      </c>
      <c r="B9" t="s">
        <v>3526</v>
      </c>
      <c r="C9" t="s">
        <v>3527</v>
      </c>
      <c r="D9" t="s">
        <v>3505</v>
      </c>
      <c r="E9" t="s">
        <v>3528</v>
      </c>
      <c r="F9" t="s">
        <v>3529</v>
      </c>
      <c r="H9" t="s">
        <v>3503</v>
      </c>
      <c r="J9" t="s">
        <v>481</v>
      </c>
    </row>
    <row r="10" spans="1:12">
      <c r="A10" t="s">
        <v>148</v>
      </c>
      <c r="B10" t="s">
        <v>3530</v>
      </c>
      <c r="C10" t="s">
        <v>3531</v>
      </c>
      <c r="D10" t="s">
        <v>3500</v>
      </c>
      <c r="E10" t="s">
        <v>3532</v>
      </c>
      <c r="F10" t="s">
        <v>3533</v>
      </c>
      <c r="H10" t="s">
        <v>3503</v>
      </c>
      <c r="J10" t="s">
        <v>1589</v>
      </c>
    </row>
    <row r="11" spans="1:12">
      <c r="A11" t="s">
        <v>148</v>
      </c>
      <c r="B11" t="s">
        <v>3534</v>
      </c>
      <c r="C11" t="s">
        <v>3535</v>
      </c>
      <c r="D11" t="s">
        <v>3500</v>
      </c>
      <c r="E11" t="s">
        <v>3536</v>
      </c>
      <c r="F11" t="s">
        <v>3537</v>
      </c>
      <c r="H11" t="s">
        <v>3503</v>
      </c>
      <c r="J11" t="s">
        <v>1589</v>
      </c>
    </row>
    <row r="12" spans="1:12">
      <c r="A12" t="s">
        <v>148</v>
      </c>
      <c r="B12" t="s">
        <v>3534</v>
      </c>
      <c r="C12" t="s">
        <v>3538</v>
      </c>
      <c r="D12" t="s">
        <v>3500</v>
      </c>
      <c r="E12" t="s">
        <v>3539</v>
      </c>
      <c r="F12" t="s">
        <v>3540</v>
      </c>
      <c r="H12" t="s">
        <v>3503</v>
      </c>
      <c r="J12" t="s">
        <v>1589</v>
      </c>
    </row>
    <row r="13" spans="1:12">
      <c r="A13" t="s">
        <v>148</v>
      </c>
      <c r="B13" t="s">
        <v>3541</v>
      </c>
      <c r="C13" t="s">
        <v>3542</v>
      </c>
      <c r="D13" t="s">
        <v>3500</v>
      </c>
      <c r="E13" t="s">
        <v>3543</v>
      </c>
      <c r="F13" t="s">
        <v>3039</v>
      </c>
      <c r="H13" t="s">
        <v>3503</v>
      </c>
      <c r="J13" t="s">
        <v>1589</v>
      </c>
    </row>
    <row r="14" spans="1:12">
      <c r="A14" t="s">
        <v>148</v>
      </c>
      <c r="B14" t="s">
        <v>3544</v>
      </c>
      <c r="C14" t="s">
        <v>3545</v>
      </c>
      <c r="D14" t="s">
        <v>3500</v>
      </c>
      <c r="E14" t="s">
        <v>3546</v>
      </c>
      <c r="F14" t="s">
        <v>3547</v>
      </c>
      <c r="H14" t="s">
        <v>3503</v>
      </c>
      <c r="J14" t="s">
        <v>1589</v>
      </c>
    </row>
    <row r="15" spans="1:12">
      <c r="A15" t="s">
        <v>148</v>
      </c>
      <c r="B15" t="s">
        <v>3544</v>
      </c>
      <c r="C15" t="s">
        <v>3548</v>
      </c>
      <c r="D15" t="s">
        <v>3500</v>
      </c>
      <c r="E15" t="s">
        <v>3549</v>
      </c>
      <c r="F15" t="s">
        <v>3550</v>
      </c>
      <c r="H15" t="s">
        <v>3503</v>
      </c>
      <c r="J15" t="s">
        <v>1589</v>
      </c>
    </row>
    <row r="16" spans="1:12">
      <c r="A16" t="s">
        <v>148</v>
      </c>
      <c r="B16" t="s">
        <v>3544</v>
      </c>
      <c r="C16" t="s">
        <v>3551</v>
      </c>
      <c r="D16" t="s">
        <v>3500</v>
      </c>
      <c r="E16" t="s">
        <v>3552</v>
      </c>
      <c r="F16" t="s">
        <v>2403</v>
      </c>
      <c r="H16" t="s">
        <v>3503</v>
      </c>
      <c r="J16" t="s">
        <v>1589</v>
      </c>
    </row>
    <row r="17" spans="1:13">
      <c r="A17" t="s">
        <v>148</v>
      </c>
      <c r="B17" t="s">
        <v>3574</v>
      </c>
      <c r="C17" t="s">
        <v>3577</v>
      </c>
      <c r="D17" t="s">
        <v>3512</v>
      </c>
      <c r="E17" t="s">
        <v>3576</v>
      </c>
      <c r="F17" t="s">
        <v>3575</v>
      </c>
      <c r="G17" t="s">
        <v>3512</v>
      </c>
      <c r="H17" t="s">
        <v>3503</v>
      </c>
      <c r="I17" t="s">
        <v>3512</v>
      </c>
      <c r="J17" t="s">
        <v>1589</v>
      </c>
    </row>
    <row r="18" spans="1:13">
      <c r="A18" t="s">
        <v>148</v>
      </c>
      <c r="B18" t="s">
        <v>3570</v>
      </c>
      <c r="C18" t="s">
        <v>3573</v>
      </c>
      <c r="D18" t="s">
        <v>3512</v>
      </c>
      <c r="E18" t="s">
        <v>3572</v>
      </c>
      <c r="F18" t="s">
        <v>3571</v>
      </c>
      <c r="G18" t="s">
        <v>3512</v>
      </c>
      <c r="H18" t="s">
        <v>3503</v>
      </c>
      <c r="I18" t="s">
        <v>3512</v>
      </c>
      <c r="J18" t="s">
        <v>1589</v>
      </c>
    </row>
    <row r="19" spans="1:13">
      <c r="A19" t="s">
        <v>148</v>
      </c>
      <c r="B19" t="s">
        <v>3563</v>
      </c>
      <c r="C19" t="s">
        <v>3569</v>
      </c>
      <c r="D19" t="s">
        <v>3512</v>
      </c>
      <c r="E19" t="s">
        <v>3568</v>
      </c>
      <c r="F19" t="s">
        <v>3567</v>
      </c>
      <c r="G19" t="s">
        <v>3512</v>
      </c>
      <c r="H19" t="s">
        <v>3503</v>
      </c>
      <c r="I19" t="s">
        <v>3512</v>
      </c>
      <c r="J19" t="s">
        <v>1589</v>
      </c>
    </row>
    <row r="20" spans="1:13">
      <c r="A20" t="s">
        <v>148</v>
      </c>
      <c r="B20" t="s">
        <v>3553</v>
      </c>
      <c r="C20" t="s">
        <v>3566</v>
      </c>
      <c r="D20" t="s">
        <v>3512</v>
      </c>
      <c r="E20" t="s">
        <v>3565</v>
      </c>
      <c r="F20" t="s">
        <v>3564</v>
      </c>
      <c r="G20" t="s">
        <v>3512</v>
      </c>
      <c r="H20" t="s">
        <v>3503</v>
      </c>
      <c r="I20" t="s">
        <v>3512</v>
      </c>
      <c r="J20" t="s">
        <v>1589</v>
      </c>
    </row>
    <row r="21" spans="1:13">
      <c r="A21" t="s">
        <v>148</v>
      </c>
      <c r="B21" s="326">
        <v>45690</v>
      </c>
      <c r="C21" t="s">
        <v>3562</v>
      </c>
      <c r="D21" t="s">
        <v>3512</v>
      </c>
      <c r="E21" t="s">
        <v>3561</v>
      </c>
      <c r="F21" t="s">
        <v>3560</v>
      </c>
      <c r="G21" t="s">
        <v>3512</v>
      </c>
      <c r="H21" t="s">
        <v>3503</v>
      </c>
      <c r="I21" t="s">
        <v>3512</v>
      </c>
      <c r="J21" t="s">
        <v>254</v>
      </c>
    </row>
    <row r="22" spans="1:13">
      <c r="A22" t="s">
        <v>148</v>
      </c>
      <c r="B22" t="s">
        <v>3512</v>
      </c>
      <c r="C22" t="s">
        <v>3559</v>
      </c>
      <c r="D22" t="s">
        <v>3512</v>
      </c>
      <c r="E22" t="s">
        <v>3558</v>
      </c>
      <c r="F22" t="s">
        <v>3557</v>
      </c>
      <c r="G22" t="s">
        <v>3512</v>
      </c>
      <c r="H22" t="s">
        <v>3503</v>
      </c>
      <c r="I22" t="s">
        <v>3512</v>
      </c>
      <c r="J22" t="s">
        <v>1589</v>
      </c>
    </row>
    <row r="23" spans="1:13">
      <c r="A23" t="s">
        <v>148</v>
      </c>
      <c r="B23" t="s">
        <v>3512</v>
      </c>
      <c r="C23" t="s">
        <v>3556</v>
      </c>
      <c r="D23" t="s">
        <v>3512</v>
      </c>
      <c r="E23" t="s">
        <v>3555</v>
      </c>
      <c r="F23" t="s">
        <v>3554</v>
      </c>
      <c r="G23" t="s">
        <v>3512</v>
      </c>
      <c r="H23" t="s">
        <v>3503</v>
      </c>
      <c r="I23" t="s">
        <v>3512</v>
      </c>
      <c r="J23" t="s">
        <v>1589</v>
      </c>
    </row>
    <row r="24" spans="1:13">
      <c r="A24" t="s">
        <v>148</v>
      </c>
      <c r="B24" t="s">
        <v>3512</v>
      </c>
      <c r="C24" s="1">
        <v>1.70236381</v>
      </c>
      <c r="D24" t="s">
        <v>3512</v>
      </c>
      <c r="E24" s="359" t="s">
        <v>3582</v>
      </c>
      <c r="F24" s="359" t="s">
        <v>3581</v>
      </c>
      <c r="G24" t="s">
        <v>3512</v>
      </c>
      <c r="H24" s="120">
        <v>563629295</v>
      </c>
      <c r="I24" t="s">
        <v>3512</v>
      </c>
      <c r="J24" t="s">
        <v>3512</v>
      </c>
      <c r="K24" t="s">
        <v>3512</v>
      </c>
      <c r="L24" t="s">
        <v>3512</v>
      </c>
    </row>
    <row r="25" spans="1:13">
      <c r="A25" t="s">
        <v>148</v>
      </c>
      <c r="B25" t="s">
        <v>3512</v>
      </c>
      <c r="C25" s="1">
        <v>1.40911915</v>
      </c>
      <c r="E25" s="64" t="s">
        <v>3585</v>
      </c>
      <c r="F25" s="65" t="s">
        <v>3584</v>
      </c>
      <c r="H25" s="5">
        <v>586588090</v>
      </c>
    </row>
    <row r="26" spans="1:13">
      <c r="A26" t="s">
        <v>148</v>
      </c>
      <c r="B26" t="s">
        <v>3512</v>
      </c>
      <c r="C26" s="1">
        <v>1.70923256</v>
      </c>
      <c r="E26" s="359" t="s">
        <v>3587</v>
      </c>
      <c r="F26" s="73" t="s">
        <v>3586</v>
      </c>
      <c r="H26" s="120">
        <v>502159262</v>
      </c>
    </row>
    <row r="27" spans="1:13">
      <c r="A27" s="403"/>
      <c r="C27" s="1">
        <v>1.28098947</v>
      </c>
      <c r="D27" s="404"/>
      <c r="E27" s="64" t="s">
        <v>3589</v>
      </c>
      <c r="F27" s="65" t="s">
        <v>3588</v>
      </c>
      <c r="H27" s="3">
        <v>559436686</v>
      </c>
      <c r="I27" s="65" t="s">
        <v>83</v>
      </c>
      <c r="J27" s="73"/>
      <c r="L27" s="405"/>
      <c r="M27" s="406"/>
    </row>
    <row r="28" spans="1:13">
      <c r="A28" s="403"/>
      <c r="C28" s="64"/>
      <c r="D28" s="404"/>
      <c r="E28" s="3">
        <v>199</v>
      </c>
      <c r="F28" s="3">
        <v>250</v>
      </c>
      <c r="I28" s="1" t="s">
        <v>83</v>
      </c>
      <c r="J28" s="73"/>
      <c r="L28" s="405"/>
      <c r="M28" s="406"/>
    </row>
    <row r="29" spans="1:13">
      <c r="A29" s="403"/>
      <c r="C29" s="359"/>
      <c r="D29" s="404"/>
      <c r="E29" s="3">
        <v>199</v>
      </c>
      <c r="F29" s="3">
        <v>250</v>
      </c>
      <c r="I29" s="360" t="s">
        <v>83</v>
      </c>
      <c r="J29" s="73"/>
      <c r="L29" s="405"/>
      <c r="M29" s="406"/>
    </row>
    <row r="30" spans="1:13">
      <c r="A30" s="403"/>
      <c r="C30" s="64"/>
      <c r="D30" s="404"/>
      <c r="E30" s="3">
        <v>199</v>
      </c>
      <c r="F30" s="3">
        <v>250</v>
      </c>
      <c r="I30" s="1" t="s">
        <v>83</v>
      </c>
      <c r="J30" s="402"/>
      <c r="L30" s="405"/>
      <c r="M30" s="406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N23"/>
  <sheetViews>
    <sheetView topLeftCell="A7" workbookViewId="0">
      <selection activeCell="A22" sqref="A2:A22"/>
    </sheetView>
  </sheetViews>
  <sheetFormatPr defaultRowHeight="14.5"/>
  <cols>
    <col min="1" max="1" width="9.1796875" bestFit="1" customWidth="1"/>
    <col min="2" max="2" width="19.1796875" bestFit="1" customWidth="1"/>
    <col min="3" max="3" width="8.54296875" bestFit="1" customWidth="1"/>
    <col min="4" max="4" width="17" bestFit="1" customWidth="1"/>
    <col min="7" max="7" width="13.7265625" bestFit="1" customWidth="1"/>
    <col min="11" max="11" width="10.453125" bestFit="1" customWidth="1"/>
    <col min="14" max="14" width="9.1796875" bestFit="1" customWidth="1"/>
  </cols>
  <sheetData>
    <row r="1" spans="1:14" ht="43.5">
      <c r="A1" s="407" t="s">
        <v>3315</v>
      </c>
      <c r="B1" s="408" t="s">
        <v>3316</v>
      </c>
      <c r="C1" s="408" t="s">
        <v>3590</v>
      </c>
      <c r="D1" s="409" t="s">
        <v>3591</v>
      </c>
      <c r="E1" s="408" t="s">
        <v>3321</v>
      </c>
      <c r="F1" s="408" t="s">
        <v>3592</v>
      </c>
      <c r="G1" s="408" t="s">
        <v>3320</v>
      </c>
      <c r="H1" s="408" t="s">
        <v>3593</v>
      </c>
      <c r="I1" s="408" t="s">
        <v>3594</v>
      </c>
      <c r="J1" s="410" t="s">
        <v>3595</v>
      </c>
      <c r="K1" s="411" t="s">
        <v>3315</v>
      </c>
    </row>
    <row r="2" spans="1:14">
      <c r="A2" s="412">
        <v>45698</v>
      </c>
      <c r="B2" s="359" t="s">
        <v>3596</v>
      </c>
      <c r="C2" s="359" t="s">
        <v>3371</v>
      </c>
      <c r="D2" s="413">
        <v>784197386324210</v>
      </c>
      <c r="E2" s="73">
        <v>199</v>
      </c>
      <c r="F2" s="73">
        <v>568515098</v>
      </c>
      <c r="G2" s="73" t="s">
        <v>3597</v>
      </c>
      <c r="H2" s="359" t="s">
        <v>3598</v>
      </c>
      <c r="I2" s="73" t="s">
        <v>3373</v>
      </c>
      <c r="J2" s="3">
        <v>1.7118362899999999</v>
      </c>
      <c r="K2" s="414">
        <v>45698</v>
      </c>
    </row>
    <row r="3" spans="1:14">
      <c r="A3" s="412">
        <v>45698</v>
      </c>
      <c r="B3" s="359" t="s">
        <v>3599</v>
      </c>
      <c r="C3" s="359" t="s">
        <v>3380</v>
      </c>
      <c r="D3" s="413">
        <v>784199151555192</v>
      </c>
      <c r="E3" s="73">
        <v>199</v>
      </c>
      <c r="F3" s="73">
        <v>561669905</v>
      </c>
      <c r="G3" s="73" t="s">
        <v>3600</v>
      </c>
      <c r="H3" s="359" t="s">
        <v>3598</v>
      </c>
      <c r="I3" s="73" t="s">
        <v>3373</v>
      </c>
      <c r="J3" s="3">
        <v>1.7136644000000001</v>
      </c>
      <c r="K3" s="414">
        <v>45698</v>
      </c>
    </row>
    <row r="4" spans="1:14">
      <c r="A4" s="412">
        <v>45705</v>
      </c>
      <c r="B4" s="359" t="s">
        <v>3601</v>
      </c>
      <c r="C4" s="359" t="s">
        <v>3371</v>
      </c>
      <c r="D4" s="413">
        <v>784197391866015</v>
      </c>
      <c r="E4" s="73">
        <v>199</v>
      </c>
      <c r="F4" s="73">
        <v>581324198</v>
      </c>
      <c r="G4" s="73" t="s">
        <v>3602</v>
      </c>
      <c r="H4" s="359" t="s">
        <v>3598</v>
      </c>
      <c r="I4" s="402" t="s">
        <v>3603</v>
      </c>
      <c r="J4" s="3">
        <v>1.7161295299999999</v>
      </c>
      <c r="K4" s="414">
        <v>45706</v>
      </c>
    </row>
    <row r="5" spans="1:14">
      <c r="A5" s="412">
        <v>45706</v>
      </c>
      <c r="B5" s="73" t="s">
        <v>3604</v>
      </c>
      <c r="C5" s="359" t="s">
        <v>3371</v>
      </c>
      <c r="D5" s="413">
        <v>784198942635313</v>
      </c>
      <c r="E5" s="73">
        <v>199</v>
      </c>
      <c r="F5" s="73">
        <v>568493703</v>
      </c>
      <c r="G5" s="73" t="s">
        <v>3605</v>
      </c>
      <c r="H5" s="73" t="s">
        <v>3598</v>
      </c>
      <c r="I5" s="73" t="s">
        <v>3373</v>
      </c>
      <c r="J5" s="3">
        <v>1.71623013</v>
      </c>
      <c r="K5" s="414">
        <v>45706</v>
      </c>
    </row>
    <row r="6" spans="1:14">
      <c r="A6" s="412">
        <v>45707</v>
      </c>
      <c r="B6" s="73" t="s">
        <v>3606</v>
      </c>
      <c r="C6" s="359" t="s">
        <v>3607</v>
      </c>
      <c r="D6" s="413">
        <v>784200372603801</v>
      </c>
      <c r="E6" s="73">
        <v>199</v>
      </c>
      <c r="F6" s="73">
        <v>545796201</v>
      </c>
      <c r="G6" s="73" t="s">
        <v>3608</v>
      </c>
      <c r="H6" s="359" t="s">
        <v>3598</v>
      </c>
      <c r="I6" s="73" t="s">
        <v>3386</v>
      </c>
      <c r="J6" s="3">
        <v>1.71654913</v>
      </c>
      <c r="K6" s="414">
        <v>45707</v>
      </c>
    </row>
    <row r="7" spans="1:14">
      <c r="A7" s="412">
        <v>45709</v>
      </c>
      <c r="B7" s="73" t="s">
        <v>3609</v>
      </c>
      <c r="C7" s="359" t="s">
        <v>3380</v>
      </c>
      <c r="D7" s="413">
        <v>784197091763678</v>
      </c>
      <c r="E7" s="73">
        <v>199</v>
      </c>
      <c r="F7" s="73">
        <v>582838698</v>
      </c>
      <c r="G7" s="73" t="s">
        <v>3610</v>
      </c>
      <c r="H7" s="359" t="s">
        <v>3598</v>
      </c>
      <c r="I7" s="73"/>
      <c r="J7" s="3">
        <v>1.71723056</v>
      </c>
      <c r="K7" s="414">
        <v>45709</v>
      </c>
    </row>
    <row r="8" spans="1:14">
      <c r="A8" s="412">
        <v>45709</v>
      </c>
      <c r="B8" s="73" t="s">
        <v>3611</v>
      </c>
      <c r="C8" s="359" t="s">
        <v>3612</v>
      </c>
      <c r="D8" s="413">
        <v>784199103198604</v>
      </c>
      <c r="E8" s="73">
        <v>199</v>
      </c>
      <c r="F8" s="73">
        <v>528970225</v>
      </c>
      <c r="G8" s="73" t="s">
        <v>3613</v>
      </c>
      <c r="H8" s="359" t="s">
        <v>3598</v>
      </c>
      <c r="I8" s="73" t="s">
        <v>3614</v>
      </c>
      <c r="J8" s="3">
        <v>1.4713989700000001</v>
      </c>
      <c r="K8" s="414">
        <v>45708</v>
      </c>
    </row>
    <row r="9" spans="1:14">
      <c r="A9" s="412">
        <v>45697</v>
      </c>
      <c r="B9" s="73" t="s">
        <v>3615</v>
      </c>
      <c r="C9" s="73" t="s">
        <v>3616</v>
      </c>
      <c r="D9" s="413">
        <v>7841980369391090</v>
      </c>
      <c r="E9" s="73">
        <v>199</v>
      </c>
      <c r="F9" s="73">
        <v>526996535</v>
      </c>
      <c r="G9" s="73" t="s">
        <v>3617</v>
      </c>
      <c r="H9" s="359" t="s">
        <v>3598</v>
      </c>
      <c r="I9" s="73" t="s">
        <v>3583</v>
      </c>
      <c r="J9" s="3">
        <v>1.71341688</v>
      </c>
      <c r="K9" s="414">
        <v>45698</v>
      </c>
    </row>
    <row r="10" spans="1:14">
      <c r="A10" s="412">
        <v>45697</v>
      </c>
      <c r="B10" s="73" t="s">
        <v>3618</v>
      </c>
      <c r="C10" s="73" t="s">
        <v>3468</v>
      </c>
      <c r="D10" s="413">
        <v>784199633753910</v>
      </c>
      <c r="E10" s="73">
        <v>199</v>
      </c>
      <c r="F10" s="73">
        <v>545380753</v>
      </c>
      <c r="G10" s="73" t="s">
        <v>3619</v>
      </c>
      <c r="H10" s="359" t="s">
        <v>3598</v>
      </c>
      <c r="I10" s="73" t="s">
        <v>3373</v>
      </c>
      <c r="J10" s="3">
        <v>1.7133496100000001</v>
      </c>
      <c r="K10" s="414">
        <v>45697</v>
      </c>
    </row>
    <row r="11" spans="1:14">
      <c r="A11" s="412">
        <v>1</v>
      </c>
      <c r="B11" s="73" t="s">
        <v>3620</v>
      </c>
      <c r="C11" s="73" t="s">
        <v>3621</v>
      </c>
      <c r="D11" s="73">
        <v>784198376218149</v>
      </c>
      <c r="E11" s="3">
        <v>199</v>
      </c>
      <c r="F11" s="359">
        <v>528355420</v>
      </c>
      <c r="G11" s="73" t="s">
        <v>3622</v>
      </c>
      <c r="H11" s="416" t="s">
        <v>3648</v>
      </c>
      <c r="I11" s="73" t="s">
        <v>1589</v>
      </c>
      <c r="J11" s="73">
        <v>1.7114297300000001</v>
      </c>
      <c r="K11" s="414">
        <v>250</v>
      </c>
      <c r="N11" s="413"/>
    </row>
    <row r="12" spans="1:14">
      <c r="A12" s="412">
        <v>2</v>
      </c>
      <c r="B12" s="73" t="s">
        <v>3000</v>
      </c>
      <c r="C12" s="73" t="s">
        <v>3623</v>
      </c>
      <c r="D12" s="73">
        <v>784199458350958</v>
      </c>
      <c r="E12" s="3">
        <v>199</v>
      </c>
      <c r="F12" s="359">
        <v>543337798</v>
      </c>
      <c r="G12" s="73" t="s">
        <v>3624</v>
      </c>
      <c r="H12" s="416" t="s">
        <v>3648</v>
      </c>
      <c r="I12" s="73" t="s">
        <v>3340</v>
      </c>
      <c r="J12" s="73">
        <v>1.4077563900000001</v>
      </c>
      <c r="K12" s="414">
        <v>0</v>
      </c>
      <c r="N12" s="413"/>
    </row>
    <row r="13" spans="1:14">
      <c r="A13" s="412">
        <v>3</v>
      </c>
      <c r="B13" s="73" t="s">
        <v>3625</v>
      </c>
      <c r="C13" s="73" t="s">
        <v>3377</v>
      </c>
      <c r="D13" s="73">
        <v>784198102710716</v>
      </c>
      <c r="E13" s="3">
        <v>199</v>
      </c>
      <c r="F13" s="359">
        <v>559199866</v>
      </c>
      <c r="G13" s="73" t="s">
        <v>3626</v>
      </c>
      <c r="H13" s="416" t="s">
        <v>3648</v>
      </c>
      <c r="I13" s="73" t="s">
        <v>1589</v>
      </c>
      <c r="J13" s="73">
        <v>1.7139944</v>
      </c>
      <c r="K13" s="414">
        <v>250</v>
      </c>
      <c r="N13" s="413"/>
    </row>
    <row r="14" spans="1:14">
      <c r="A14" s="412">
        <v>4</v>
      </c>
      <c r="B14" s="73" t="s">
        <v>3627</v>
      </c>
      <c r="C14" s="73" t="s">
        <v>3628</v>
      </c>
      <c r="D14" s="73">
        <v>784199374358754</v>
      </c>
      <c r="E14" s="3">
        <v>199</v>
      </c>
      <c r="F14" s="359">
        <v>971568652966</v>
      </c>
      <c r="G14" s="73" t="s">
        <v>3629</v>
      </c>
      <c r="H14" s="416" t="s">
        <v>3648</v>
      </c>
      <c r="I14" s="73" t="s">
        <v>1589</v>
      </c>
      <c r="J14" s="73">
        <v>1.7130975399999999</v>
      </c>
      <c r="K14" s="414">
        <v>250</v>
      </c>
      <c r="N14" s="413"/>
    </row>
    <row r="15" spans="1:14">
      <c r="A15" s="412">
        <v>5</v>
      </c>
      <c r="B15" s="73" t="s">
        <v>3630</v>
      </c>
      <c r="C15" s="73" t="s">
        <v>3342</v>
      </c>
      <c r="D15" s="73">
        <v>784198592476216</v>
      </c>
      <c r="E15" s="3">
        <v>199</v>
      </c>
      <c r="F15" s="359">
        <v>568775902</v>
      </c>
      <c r="G15" s="73" t="s">
        <v>3631</v>
      </c>
      <c r="H15" s="416" t="s">
        <v>3648</v>
      </c>
      <c r="I15" s="73" t="s">
        <v>1589</v>
      </c>
      <c r="J15" s="73">
        <v>1.70214763</v>
      </c>
      <c r="K15" s="414">
        <v>250</v>
      </c>
      <c r="N15" s="413"/>
    </row>
    <row r="16" spans="1:14">
      <c r="A16" s="412">
        <v>6</v>
      </c>
      <c r="B16" s="73" t="s">
        <v>3632</v>
      </c>
      <c r="C16" s="73" t="s">
        <v>3633</v>
      </c>
      <c r="D16" s="73">
        <v>784199644398754</v>
      </c>
      <c r="E16" s="3">
        <v>199</v>
      </c>
      <c r="F16" s="359">
        <v>971562632078</v>
      </c>
      <c r="G16" s="73" t="s">
        <v>3634</v>
      </c>
      <c r="H16" s="416" t="s">
        <v>3648</v>
      </c>
      <c r="I16" s="73" t="s">
        <v>1589</v>
      </c>
      <c r="J16" s="73">
        <v>1.7185195799999999</v>
      </c>
      <c r="K16" s="414">
        <v>250</v>
      </c>
      <c r="N16" s="413"/>
    </row>
    <row r="17" spans="1:14">
      <c r="A17" s="412">
        <v>7</v>
      </c>
      <c r="B17" s="73" t="s">
        <v>3635</v>
      </c>
      <c r="C17" s="73" t="s">
        <v>3636</v>
      </c>
      <c r="D17" s="73">
        <v>784200083232379</v>
      </c>
      <c r="E17" s="3">
        <v>199</v>
      </c>
      <c r="F17" s="359">
        <v>971525710980</v>
      </c>
      <c r="G17" s="73" t="s">
        <v>3637</v>
      </c>
      <c r="H17" s="416" t="s">
        <v>3648</v>
      </c>
      <c r="I17" s="73" t="s">
        <v>1589</v>
      </c>
      <c r="J17" s="73">
        <v>1.7188633099999999</v>
      </c>
      <c r="K17" s="414">
        <v>250</v>
      </c>
      <c r="N17" s="413"/>
    </row>
    <row r="18" spans="1:14">
      <c r="A18" s="412">
        <v>8</v>
      </c>
      <c r="B18" s="73" t="s">
        <v>3638</v>
      </c>
      <c r="C18" s="73" t="s">
        <v>3390</v>
      </c>
      <c r="D18" s="73">
        <v>784200088184351</v>
      </c>
      <c r="E18" s="3">
        <v>199</v>
      </c>
      <c r="F18" s="359">
        <v>971502887169</v>
      </c>
      <c r="G18" s="73" t="s">
        <v>3639</v>
      </c>
      <c r="H18" s="416" t="s">
        <v>3648</v>
      </c>
      <c r="I18" s="73" t="s">
        <v>1589</v>
      </c>
      <c r="J18" s="73">
        <v>1.7190701500000001</v>
      </c>
      <c r="K18" s="414">
        <v>250</v>
      </c>
      <c r="N18" s="413"/>
    </row>
    <row r="19" spans="1:14">
      <c r="A19" s="412">
        <v>9</v>
      </c>
      <c r="B19" s="73" t="s">
        <v>3640</v>
      </c>
      <c r="C19" s="73" t="s">
        <v>3342</v>
      </c>
      <c r="D19" s="73">
        <v>784198829506140</v>
      </c>
      <c r="E19" s="3">
        <v>199</v>
      </c>
      <c r="F19" s="359">
        <v>971551439750</v>
      </c>
      <c r="G19" s="73" t="s">
        <v>3641</v>
      </c>
      <c r="H19" s="416" t="s">
        <v>3648</v>
      </c>
      <c r="I19" s="73" t="s">
        <v>1589</v>
      </c>
      <c r="J19" s="73">
        <v>1.71913509</v>
      </c>
      <c r="K19" s="414">
        <v>250</v>
      </c>
      <c r="N19" s="413"/>
    </row>
    <row r="20" spans="1:14">
      <c r="A20" s="412">
        <v>10</v>
      </c>
      <c r="B20" s="73" t="s">
        <v>3642</v>
      </c>
      <c r="C20" s="73">
        <v>0</v>
      </c>
      <c r="D20" s="73">
        <v>0</v>
      </c>
      <c r="E20" s="3">
        <v>199</v>
      </c>
      <c r="F20" s="359">
        <v>971503017802</v>
      </c>
      <c r="G20" s="73" t="s">
        <v>3643</v>
      </c>
      <c r="H20" s="416" t="s">
        <v>3648</v>
      </c>
      <c r="I20" s="73" t="s">
        <v>1589</v>
      </c>
      <c r="J20" s="73">
        <v>1.7191387</v>
      </c>
      <c r="K20" s="414">
        <v>250</v>
      </c>
      <c r="N20" s="413"/>
    </row>
    <row r="21" spans="1:14">
      <c r="A21" s="412">
        <v>11</v>
      </c>
      <c r="B21" s="73" t="s">
        <v>3644</v>
      </c>
      <c r="C21" s="73" t="s">
        <v>3342</v>
      </c>
      <c r="D21" s="73">
        <v>784197779038617</v>
      </c>
      <c r="E21" s="3">
        <v>199</v>
      </c>
      <c r="F21" s="359">
        <v>971507170021</v>
      </c>
      <c r="G21" s="73" t="s">
        <v>3645</v>
      </c>
      <c r="H21" s="416" t="s">
        <v>3648</v>
      </c>
      <c r="I21" s="73" t="s">
        <v>1589</v>
      </c>
      <c r="J21" s="73">
        <v>1.1059441000000001</v>
      </c>
      <c r="K21" s="414">
        <v>250</v>
      </c>
      <c r="N21" s="413"/>
    </row>
    <row r="22" spans="1:14" ht="15" thickBot="1">
      <c r="A22" s="412">
        <v>12</v>
      </c>
      <c r="B22" s="73" t="s">
        <v>3646</v>
      </c>
      <c r="C22" s="73" t="s">
        <v>3342</v>
      </c>
      <c r="D22" s="73">
        <v>784199072641477</v>
      </c>
      <c r="E22" s="3">
        <v>199</v>
      </c>
      <c r="F22" s="359">
        <v>971556361143</v>
      </c>
      <c r="G22" s="73" t="s">
        <v>3647</v>
      </c>
      <c r="H22" s="416" t="s">
        <v>3648</v>
      </c>
      <c r="I22" s="73" t="s">
        <v>1589</v>
      </c>
      <c r="J22" s="73">
        <v>1.71942331</v>
      </c>
      <c r="K22" s="414">
        <v>250</v>
      </c>
      <c r="N22" s="413"/>
    </row>
    <row r="23" spans="1:14" ht="15" thickBot="1">
      <c r="A23" s="705"/>
      <c r="B23" s="706"/>
      <c r="C23" s="706"/>
      <c r="D23" s="706"/>
      <c r="E23" s="706"/>
      <c r="F23" s="706"/>
      <c r="G23" s="706"/>
      <c r="H23" s="706"/>
      <c r="I23" s="706"/>
      <c r="J23" s="707"/>
      <c r="K23" s="415"/>
    </row>
  </sheetData>
  <mergeCells count="1">
    <mergeCell ref="A23:J2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N34"/>
  <sheetViews>
    <sheetView topLeftCell="A19" workbookViewId="0">
      <selection activeCell="D2" sqref="D2:D26"/>
    </sheetView>
  </sheetViews>
  <sheetFormatPr defaultRowHeight="14.5"/>
  <cols>
    <col min="3" max="3" width="9.453125" bestFit="1" customWidth="1"/>
    <col min="4" max="4" width="23.7265625" bestFit="1" customWidth="1"/>
    <col min="5" max="5" width="14" bestFit="1" customWidth="1"/>
    <col min="6" max="6" width="13.7265625" bestFit="1" customWidth="1"/>
    <col min="8" max="8" width="10.54296875" customWidth="1"/>
    <col min="9" max="9" width="11.26953125" customWidth="1"/>
    <col min="10" max="11" width="10.26953125" bestFit="1" customWidth="1"/>
    <col min="12" max="12" width="11.54296875" customWidth="1"/>
    <col min="13" max="13" width="14.81640625" bestFit="1" customWidth="1"/>
  </cols>
  <sheetData>
    <row r="1" spans="1:14">
      <c r="A1" s="269" t="s">
        <v>3668</v>
      </c>
      <c r="B1" s="269" t="s">
        <v>1918</v>
      </c>
      <c r="C1" s="269" t="s">
        <v>3315</v>
      </c>
      <c r="D1" s="269" t="s">
        <v>1743</v>
      </c>
      <c r="E1" s="269" t="s">
        <v>2635</v>
      </c>
      <c r="F1" s="431" t="s">
        <v>3669</v>
      </c>
      <c r="G1" s="270" t="s">
        <v>2729</v>
      </c>
      <c r="H1" s="269" t="s">
        <v>1748</v>
      </c>
      <c r="I1" s="417" t="s">
        <v>253</v>
      </c>
      <c r="J1" s="417" t="s">
        <v>3322</v>
      </c>
      <c r="K1" s="417" t="s">
        <v>2069</v>
      </c>
      <c r="L1" s="418" t="s">
        <v>3323</v>
      </c>
      <c r="M1" s="419" t="s">
        <v>3149</v>
      </c>
    </row>
    <row r="2" spans="1:14">
      <c r="A2" s="420">
        <v>1</v>
      </c>
      <c r="B2" s="421"/>
      <c r="C2" s="422">
        <v>45719</v>
      </c>
      <c r="D2" s="432" t="s">
        <v>3649</v>
      </c>
      <c r="E2" s="440">
        <v>971521137756</v>
      </c>
      <c r="F2" s="432" t="s">
        <v>3650</v>
      </c>
      <c r="G2" s="432">
        <v>199</v>
      </c>
      <c r="H2" s="432" t="s">
        <v>2056</v>
      </c>
      <c r="I2" s="432"/>
      <c r="J2" s="432">
        <v>1.72030017</v>
      </c>
      <c r="K2" s="432"/>
      <c r="L2" s="432" t="s">
        <v>1589</v>
      </c>
      <c r="M2" s="433">
        <v>45720</v>
      </c>
      <c r="N2" s="421"/>
    </row>
    <row r="3" spans="1:14">
      <c r="A3" s="420">
        <v>2</v>
      </c>
      <c r="B3" s="421"/>
      <c r="C3" s="422">
        <v>45722</v>
      </c>
      <c r="D3" s="432" t="s">
        <v>3651</v>
      </c>
      <c r="E3" s="440">
        <v>971507170021</v>
      </c>
      <c r="F3" s="432" t="s">
        <v>3652</v>
      </c>
      <c r="G3" s="432">
        <v>199</v>
      </c>
      <c r="H3" s="432" t="s">
        <v>2056</v>
      </c>
      <c r="I3" s="432"/>
      <c r="J3" s="432">
        <v>1.72086136</v>
      </c>
      <c r="K3" s="432"/>
      <c r="L3" s="432" t="s">
        <v>1589</v>
      </c>
      <c r="M3" s="433">
        <v>45722</v>
      </c>
      <c r="N3" s="423"/>
    </row>
    <row r="4" spans="1:14">
      <c r="A4" s="420">
        <v>3</v>
      </c>
      <c r="B4" s="421"/>
      <c r="C4" s="422">
        <v>45724</v>
      </c>
      <c r="D4" s="432" t="s">
        <v>3653</v>
      </c>
      <c r="E4" s="440">
        <v>971588085642</v>
      </c>
      <c r="F4" s="432" t="s">
        <v>3654</v>
      </c>
      <c r="G4" s="432">
        <v>199</v>
      </c>
      <c r="H4" s="432" t="s">
        <v>2056</v>
      </c>
      <c r="I4" s="434"/>
      <c r="J4" s="432">
        <v>1.7214349799999999</v>
      </c>
      <c r="K4" s="432"/>
      <c r="L4" s="434" t="s">
        <v>1589</v>
      </c>
      <c r="M4" s="433">
        <v>45724</v>
      </c>
      <c r="N4" s="423"/>
    </row>
    <row r="5" spans="1:14">
      <c r="A5" s="420">
        <v>4</v>
      </c>
      <c r="B5" s="421"/>
      <c r="C5" s="422">
        <v>45724</v>
      </c>
      <c r="D5" s="435" t="s">
        <v>3655</v>
      </c>
      <c r="E5" s="440">
        <v>971505299574</v>
      </c>
      <c r="F5" s="435" t="s">
        <v>3656</v>
      </c>
      <c r="G5" s="435">
        <v>199</v>
      </c>
      <c r="H5" s="435" t="s">
        <v>331</v>
      </c>
      <c r="I5" s="436"/>
      <c r="J5" s="435"/>
      <c r="K5" s="435"/>
      <c r="L5" s="435" t="s">
        <v>331</v>
      </c>
      <c r="M5" s="433"/>
      <c r="N5" s="423"/>
    </row>
    <row r="6" spans="1:14" ht="15" thickBot="1">
      <c r="A6" s="420">
        <v>5</v>
      </c>
      <c r="B6" s="421"/>
      <c r="C6" s="422">
        <v>45727</v>
      </c>
      <c r="D6" s="432" t="s">
        <v>3657</v>
      </c>
      <c r="E6" s="440">
        <v>971552838738</v>
      </c>
      <c r="F6" s="432" t="s">
        <v>3658</v>
      </c>
      <c r="G6" s="432">
        <v>299</v>
      </c>
      <c r="H6" s="432" t="s">
        <v>2056</v>
      </c>
      <c r="I6" s="434"/>
      <c r="J6" s="432">
        <v>1.7222054499999999</v>
      </c>
      <c r="K6" s="432"/>
      <c r="L6" s="432" t="s">
        <v>1589</v>
      </c>
      <c r="M6" s="433">
        <v>45730</v>
      </c>
      <c r="N6" s="423"/>
    </row>
    <row r="7" spans="1:14" ht="18" thickBot="1">
      <c r="A7" s="420">
        <v>6</v>
      </c>
      <c r="B7" s="437"/>
      <c r="C7" s="422">
        <v>45728</v>
      </c>
      <c r="D7" t="s">
        <v>3670</v>
      </c>
      <c r="E7" s="440">
        <v>971508933387</v>
      </c>
      <c r="G7" t="s">
        <v>3671</v>
      </c>
      <c r="H7" t="s">
        <v>15</v>
      </c>
      <c r="L7" s="438"/>
    </row>
    <row r="8" spans="1:14" ht="18" thickBot="1">
      <c r="A8" s="420">
        <v>7</v>
      </c>
      <c r="B8" s="439"/>
      <c r="C8" s="422">
        <v>45729</v>
      </c>
      <c r="D8" t="s">
        <v>3672</v>
      </c>
      <c r="E8" s="440">
        <v>971563036306</v>
      </c>
      <c r="G8" t="s">
        <v>3671</v>
      </c>
      <c r="H8" t="s">
        <v>15</v>
      </c>
      <c r="L8" s="438"/>
    </row>
    <row r="9" spans="1:14" ht="18" thickBot="1">
      <c r="A9" s="420">
        <v>8</v>
      </c>
      <c r="B9" s="439"/>
      <c r="C9" s="422">
        <v>45730</v>
      </c>
      <c r="D9" t="s">
        <v>3673</v>
      </c>
      <c r="E9" s="440">
        <v>971502173962</v>
      </c>
      <c r="G9" t="s">
        <v>3671</v>
      </c>
      <c r="H9" t="s">
        <v>15</v>
      </c>
      <c r="L9" s="438"/>
    </row>
    <row r="10" spans="1:14" ht="18" thickBot="1">
      <c r="A10" s="420">
        <v>9</v>
      </c>
      <c r="B10" s="439"/>
      <c r="C10" s="422">
        <v>45731</v>
      </c>
      <c r="D10" t="s">
        <v>3674</v>
      </c>
      <c r="E10" s="440">
        <v>971561278072</v>
      </c>
      <c r="G10" t="s">
        <v>3671</v>
      </c>
      <c r="H10" t="s">
        <v>15</v>
      </c>
      <c r="L10" s="438"/>
    </row>
    <row r="11" spans="1:14" ht="18" thickBot="1">
      <c r="A11" s="420">
        <v>10</v>
      </c>
      <c r="B11" s="439"/>
      <c r="C11" s="422">
        <v>45732</v>
      </c>
      <c r="D11" t="s">
        <v>3675</v>
      </c>
      <c r="E11" s="440">
        <v>971507682153</v>
      </c>
      <c r="G11" t="s">
        <v>3671</v>
      </c>
      <c r="H11" t="s">
        <v>15</v>
      </c>
      <c r="L11" s="438"/>
    </row>
    <row r="12" spans="1:14" ht="18" thickBot="1">
      <c r="A12" s="420">
        <v>11</v>
      </c>
      <c r="B12" s="439"/>
      <c r="C12" s="422">
        <v>45733</v>
      </c>
      <c r="D12" t="s">
        <v>3676</v>
      </c>
      <c r="E12" s="440">
        <v>971554419723</v>
      </c>
      <c r="G12" t="s">
        <v>3671</v>
      </c>
      <c r="H12" t="s">
        <v>15</v>
      </c>
      <c r="L12" s="438"/>
    </row>
    <row r="13" spans="1:14" ht="18" thickBot="1">
      <c r="A13" s="420">
        <v>12</v>
      </c>
      <c r="B13" s="439"/>
      <c r="C13" s="422">
        <v>45734</v>
      </c>
      <c r="D13" t="s">
        <v>3677</v>
      </c>
      <c r="E13" s="440">
        <v>971557250238</v>
      </c>
      <c r="G13" t="s">
        <v>3671</v>
      </c>
      <c r="H13" t="s">
        <v>15</v>
      </c>
      <c r="L13" s="438"/>
    </row>
    <row r="14" spans="1:14" ht="18" thickBot="1">
      <c r="A14" s="420">
        <v>13</v>
      </c>
      <c r="B14" s="439"/>
      <c r="C14" s="422">
        <v>45735</v>
      </c>
      <c r="D14" t="s">
        <v>3678</v>
      </c>
      <c r="E14" s="440">
        <v>971508706524</v>
      </c>
      <c r="G14" t="s">
        <v>3671</v>
      </c>
      <c r="H14" t="s">
        <v>15</v>
      </c>
      <c r="L14" s="438"/>
    </row>
    <row r="15" spans="1:14" ht="18" thickBot="1">
      <c r="A15" s="420">
        <v>14</v>
      </c>
      <c r="B15" s="439"/>
      <c r="C15" s="422">
        <v>45736</v>
      </c>
      <c r="D15" t="s">
        <v>3657</v>
      </c>
      <c r="E15" s="440">
        <v>971552838738</v>
      </c>
      <c r="G15" t="s">
        <v>3671</v>
      </c>
      <c r="H15" t="s">
        <v>15</v>
      </c>
      <c r="L15" s="438"/>
    </row>
    <row r="16" spans="1:14" ht="18" thickBot="1">
      <c r="A16" s="420">
        <v>15</v>
      </c>
      <c r="B16" s="439"/>
      <c r="C16" s="422">
        <v>45737</v>
      </c>
      <c r="D16" t="s">
        <v>3679</v>
      </c>
      <c r="E16" s="440">
        <v>971586355608</v>
      </c>
      <c r="G16" t="s">
        <v>3671</v>
      </c>
      <c r="H16" t="s">
        <v>15</v>
      </c>
      <c r="L16" s="438"/>
    </row>
    <row r="17" spans="1:12" ht="18" thickBot="1">
      <c r="A17" s="420">
        <v>16</v>
      </c>
      <c r="B17" s="439"/>
      <c r="C17" s="422">
        <v>45738</v>
      </c>
      <c r="D17" t="s">
        <v>3680</v>
      </c>
      <c r="G17" t="s">
        <v>3681</v>
      </c>
      <c r="H17" t="s">
        <v>15</v>
      </c>
      <c r="L17" s="438"/>
    </row>
    <row r="18" spans="1:12" ht="18" thickBot="1">
      <c r="A18" s="420">
        <v>17</v>
      </c>
      <c r="B18" s="439"/>
      <c r="C18" s="422">
        <v>45739</v>
      </c>
      <c r="D18" s="441" t="s">
        <v>3667</v>
      </c>
      <c r="E18" s="430">
        <v>971581156313</v>
      </c>
      <c r="G18" s="446" t="s">
        <v>3659</v>
      </c>
      <c r="H18" t="s">
        <v>15</v>
      </c>
      <c r="I18" s="447"/>
      <c r="J18" s="429"/>
    </row>
    <row r="19" spans="1:12" ht="15.5">
      <c r="A19" s="420">
        <v>18</v>
      </c>
      <c r="C19" s="422">
        <v>45740</v>
      </c>
      <c r="D19" s="442" t="s">
        <v>3666</v>
      </c>
      <c r="E19" s="426">
        <v>971563491982</v>
      </c>
      <c r="G19" s="448" t="s">
        <v>3664</v>
      </c>
      <c r="H19" t="s">
        <v>15</v>
      </c>
      <c r="I19" s="449"/>
      <c r="J19" s="450"/>
    </row>
    <row r="20" spans="1:12">
      <c r="A20" s="420">
        <v>19</v>
      </c>
      <c r="C20" s="422">
        <v>45741</v>
      </c>
      <c r="D20" s="443" t="s">
        <v>3665</v>
      </c>
      <c r="E20" s="428">
        <v>971567301857</v>
      </c>
      <c r="G20" s="451" t="s">
        <v>3664</v>
      </c>
      <c r="H20" t="s">
        <v>15</v>
      </c>
      <c r="I20" s="452"/>
      <c r="J20" s="453"/>
    </row>
    <row r="21" spans="1:12" ht="15.5">
      <c r="A21" s="420">
        <v>20</v>
      </c>
      <c r="C21" s="422">
        <v>45742</v>
      </c>
      <c r="D21" s="444" t="s">
        <v>3663</v>
      </c>
      <c r="E21" s="427">
        <v>971545576589</v>
      </c>
      <c r="G21" s="454" t="s">
        <v>3659</v>
      </c>
      <c r="H21" t="s">
        <v>15</v>
      </c>
      <c r="I21" s="455"/>
      <c r="J21" s="456"/>
    </row>
    <row r="22" spans="1:12">
      <c r="A22" s="420">
        <v>21</v>
      </c>
      <c r="C22" s="422">
        <v>45743</v>
      </c>
      <c r="D22" s="445" t="s">
        <v>3662</v>
      </c>
      <c r="E22" s="426">
        <v>971567369404</v>
      </c>
      <c r="G22" s="448" t="s">
        <v>3661</v>
      </c>
      <c r="H22" t="s">
        <v>15</v>
      </c>
      <c r="I22" s="449"/>
      <c r="J22" s="450"/>
    </row>
    <row r="23" spans="1:12">
      <c r="A23" s="420">
        <v>22</v>
      </c>
      <c r="C23" s="422">
        <v>45744</v>
      </c>
      <c r="D23" s="424" t="s">
        <v>3660</v>
      </c>
      <c r="E23" s="425">
        <v>971524094600</v>
      </c>
      <c r="G23" s="457" t="s">
        <v>3659</v>
      </c>
      <c r="H23" t="s">
        <v>15</v>
      </c>
      <c r="I23" s="458"/>
      <c r="J23" s="459"/>
    </row>
    <row r="24" spans="1:12" ht="15.5">
      <c r="A24" s="420">
        <v>23</v>
      </c>
      <c r="C24" s="422">
        <v>45745</v>
      </c>
      <c r="D24" s="462" t="s">
        <v>3688</v>
      </c>
      <c r="E24" s="460">
        <v>557438823</v>
      </c>
      <c r="F24" s="460" t="s">
        <v>3689</v>
      </c>
      <c r="G24" s="460">
        <v>199</v>
      </c>
      <c r="I24" s="460"/>
      <c r="J24" s="460">
        <v>1.7223951399999999</v>
      </c>
    </row>
    <row r="25" spans="1:12" ht="15.5">
      <c r="A25" s="420">
        <v>24</v>
      </c>
      <c r="C25" s="422">
        <v>45746</v>
      </c>
      <c r="D25" s="462" t="s">
        <v>3690</v>
      </c>
      <c r="E25" s="460">
        <v>564640272</v>
      </c>
      <c r="F25" s="460" t="s">
        <v>3691</v>
      </c>
      <c r="G25" s="460">
        <v>199</v>
      </c>
      <c r="I25" s="460"/>
      <c r="J25" s="460">
        <v>1.72266633</v>
      </c>
    </row>
    <row r="26" spans="1:12" ht="15.5">
      <c r="A26" s="420">
        <v>25</v>
      </c>
      <c r="C26" s="422">
        <v>45747</v>
      </c>
      <c r="D26" s="462" t="s">
        <v>3692</v>
      </c>
      <c r="E26" s="460">
        <v>508843483</v>
      </c>
      <c r="F26" s="460" t="s">
        <v>3693</v>
      </c>
      <c r="G26" s="460">
        <v>199</v>
      </c>
      <c r="I26" s="460"/>
      <c r="J26" s="460">
        <v>1.72266287</v>
      </c>
    </row>
    <row r="27" spans="1:12">
      <c r="A27" s="420">
        <v>26</v>
      </c>
    </row>
    <row r="28" spans="1:12">
      <c r="A28" s="420">
        <v>27</v>
      </c>
    </row>
    <row r="29" spans="1:12">
      <c r="A29" s="420">
        <v>28</v>
      </c>
    </row>
    <row r="30" spans="1:12">
      <c r="A30" s="420">
        <v>29</v>
      </c>
    </row>
    <row r="31" spans="1:12">
      <c r="A31" s="420">
        <v>30</v>
      </c>
    </row>
    <row r="32" spans="1:12">
      <c r="A32" s="420">
        <v>31</v>
      </c>
    </row>
    <row r="33" spans="1:1">
      <c r="A33" s="420">
        <v>32</v>
      </c>
    </row>
    <row r="34" spans="1:1">
      <c r="A34" s="420">
        <v>33</v>
      </c>
    </row>
  </sheetData>
  <conditionalFormatting sqref="B1">
    <cfRule type="duplicateValues" dxfId="340" priority="267"/>
  </conditionalFormatting>
  <conditionalFormatting sqref="B1:C1 E1:F1">
    <cfRule type="duplicateValues" dxfId="339" priority="263"/>
    <cfRule type="duplicateValues" dxfId="338" priority="264"/>
  </conditionalFormatting>
  <conditionalFormatting sqref="C1 E1:F1">
    <cfRule type="duplicateValues" dxfId="337" priority="13"/>
  </conditionalFormatting>
  <conditionalFormatting sqref="D1">
    <cfRule type="duplicateValues" dxfId="336" priority="12"/>
  </conditionalFormatting>
  <conditionalFormatting sqref="D24:D26">
    <cfRule type="duplicateValues" dxfId="335" priority="3"/>
    <cfRule type="duplicateValues" dxfId="334" priority="6"/>
    <cfRule type="duplicateValues" dxfId="333" priority="8"/>
    <cfRule type="duplicateValues" dxfId="332" priority="9"/>
  </conditionalFormatting>
  <conditionalFormatting sqref="F24:F26">
    <cfRule type="duplicateValues" dxfId="331" priority="5"/>
    <cfRule type="duplicateValues" dxfId="330" priority="7"/>
  </conditionalFormatting>
  <conditionalFormatting sqref="J1">
    <cfRule type="duplicateValues" dxfId="329" priority="16"/>
  </conditionalFormatting>
  <conditionalFormatting sqref="J5:J6">
    <cfRule type="duplicateValues" dxfId="328" priority="23"/>
  </conditionalFormatting>
  <conditionalFormatting sqref="J24:J26">
    <cfRule type="duplicateValues" dxfId="327" priority="1"/>
    <cfRule type="duplicateValues" dxfId="326" priority="2"/>
    <cfRule type="duplicateValues" dxfId="325" priority="4"/>
  </conditionalFormatting>
  <conditionalFormatting sqref="K2:K4">
    <cfRule type="duplicateValues" dxfId="324" priority="24"/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30"/>
  <sheetViews>
    <sheetView workbookViewId="0">
      <selection activeCell="E8" sqref="E8"/>
    </sheetView>
  </sheetViews>
  <sheetFormatPr defaultRowHeight="14.5"/>
  <cols>
    <col min="3" max="3" width="10" bestFit="1" customWidth="1"/>
    <col min="4" max="4" width="23.7265625" bestFit="1" customWidth="1"/>
    <col min="5" max="5" width="21.54296875" style="148" bestFit="1" customWidth="1"/>
    <col min="6" max="6" width="17.81640625" bestFit="1" customWidth="1"/>
    <col min="7" max="7" width="15.26953125" style="148" bestFit="1" customWidth="1"/>
    <col min="8" max="8" width="11.7265625" bestFit="1" customWidth="1"/>
  </cols>
  <sheetData>
    <row r="1" spans="1:15">
      <c r="A1" s="269" t="s">
        <v>3668</v>
      </c>
      <c r="B1" s="269" t="s">
        <v>1918</v>
      </c>
      <c r="C1" s="269" t="s">
        <v>3315</v>
      </c>
      <c r="D1" s="269" t="s">
        <v>1743</v>
      </c>
      <c r="E1" s="486" t="s">
        <v>2635</v>
      </c>
      <c r="F1" s="431" t="s">
        <v>3669</v>
      </c>
      <c r="G1" s="484" t="s">
        <v>2729</v>
      </c>
      <c r="H1" s="417" t="s">
        <v>3322</v>
      </c>
      <c r="I1" s="417" t="s">
        <v>2069</v>
      </c>
      <c r="J1" s="418" t="s">
        <v>3323</v>
      </c>
      <c r="K1" s="419" t="s">
        <v>3149</v>
      </c>
    </row>
    <row r="2" spans="1:15">
      <c r="D2" s="465" t="s">
        <v>3682</v>
      </c>
      <c r="E2" s="464">
        <v>971527900115</v>
      </c>
      <c r="F2" s="148"/>
      <c r="G2" s="470" t="s">
        <v>3683</v>
      </c>
      <c r="I2" t="s">
        <v>15</v>
      </c>
    </row>
    <row r="3" spans="1:15">
      <c r="D3" s="469" t="s">
        <v>3687</v>
      </c>
      <c r="E3" s="471">
        <v>971559531451</v>
      </c>
      <c r="F3" s="472"/>
      <c r="G3" s="489" t="s">
        <v>3683</v>
      </c>
      <c r="I3" t="s">
        <v>15</v>
      </c>
    </row>
    <row r="4" spans="1:15">
      <c r="D4" s="466" t="s">
        <v>3684</v>
      </c>
      <c r="E4" s="473">
        <v>971582382849</v>
      </c>
      <c r="F4" s="474"/>
      <c r="G4" s="490" t="s">
        <v>3683</v>
      </c>
      <c r="I4" t="s">
        <v>15</v>
      </c>
    </row>
    <row r="5" spans="1:15">
      <c r="D5" s="467" t="s">
        <v>3685</v>
      </c>
      <c r="E5" s="475">
        <v>971521300395</v>
      </c>
      <c r="F5" s="476"/>
      <c r="G5" s="491" t="s">
        <v>3683</v>
      </c>
      <c r="I5" t="s">
        <v>15</v>
      </c>
    </row>
    <row r="6" spans="1:15" ht="14.5" customHeight="1">
      <c r="D6" s="468" t="s">
        <v>3686</v>
      </c>
      <c r="E6" s="477">
        <v>971527354872</v>
      </c>
      <c r="F6" s="478"/>
      <c r="G6" s="483" t="s">
        <v>3712</v>
      </c>
      <c r="H6" s="487"/>
      <c r="I6" t="s">
        <v>15</v>
      </c>
      <c r="J6" s="488"/>
    </row>
    <row r="7" spans="1:15" ht="15.5">
      <c r="C7" s="422">
        <v>45748</v>
      </c>
      <c r="D7" s="463" t="s">
        <v>3694</v>
      </c>
      <c r="E7" s="485">
        <v>509158919</v>
      </c>
      <c r="F7" s="461" t="s">
        <v>3695</v>
      </c>
      <c r="G7" s="483" t="s">
        <v>3712</v>
      </c>
      <c r="H7" s="460">
        <v>1.7228792399999999</v>
      </c>
      <c r="I7" t="s">
        <v>15</v>
      </c>
      <c r="J7" s="479"/>
    </row>
    <row r="8" spans="1:15" ht="15.5">
      <c r="C8" s="422">
        <v>45749</v>
      </c>
      <c r="D8" s="462" t="s">
        <v>3696</v>
      </c>
      <c r="E8" s="485">
        <v>556973088</v>
      </c>
      <c r="F8" s="460" t="s">
        <v>3697</v>
      </c>
      <c r="G8" s="483" t="s">
        <v>3712</v>
      </c>
      <c r="H8" s="460">
        <v>1.7231993000000001</v>
      </c>
      <c r="I8" t="s">
        <v>15</v>
      </c>
      <c r="J8" s="480"/>
    </row>
    <row r="9" spans="1:15" ht="15.5">
      <c r="C9" s="422">
        <v>45750</v>
      </c>
      <c r="D9" s="462" t="s">
        <v>3698</v>
      </c>
      <c r="E9" s="485">
        <v>566969508</v>
      </c>
      <c r="F9" s="460" t="s">
        <v>3699</v>
      </c>
      <c r="G9" s="483" t="s">
        <v>3712</v>
      </c>
      <c r="H9" s="460">
        <v>1.7231783899999999</v>
      </c>
      <c r="I9" t="s">
        <v>15</v>
      </c>
      <c r="J9" s="481"/>
    </row>
    <row r="10" spans="1:15" ht="15.5">
      <c r="C10" s="422">
        <v>45751</v>
      </c>
      <c r="D10" s="462" t="s">
        <v>3700</v>
      </c>
      <c r="E10" s="485">
        <v>561241215</v>
      </c>
      <c r="F10" s="460" t="s">
        <v>3701</v>
      </c>
      <c r="G10" s="483" t="s">
        <v>3712</v>
      </c>
      <c r="H10" s="460">
        <v>1.7233853400000001</v>
      </c>
      <c r="I10" t="s">
        <v>15</v>
      </c>
      <c r="J10" s="482"/>
    </row>
    <row r="11" spans="1:15" ht="15.5">
      <c r="C11" s="422">
        <v>45752</v>
      </c>
      <c r="D11" s="462" t="s">
        <v>3702</v>
      </c>
      <c r="E11" s="485">
        <v>542493646</v>
      </c>
      <c r="F11" s="460" t="s">
        <v>3703</v>
      </c>
      <c r="G11" s="483" t="s">
        <v>3712</v>
      </c>
      <c r="H11" s="460">
        <v>1.7233283800000001</v>
      </c>
      <c r="I11" t="s">
        <v>15</v>
      </c>
    </row>
    <row r="12" spans="1:15" ht="15.5">
      <c r="C12" s="422">
        <v>45753</v>
      </c>
      <c r="D12" s="463" t="s">
        <v>3704</v>
      </c>
      <c r="E12" s="485" t="s">
        <v>3705</v>
      </c>
      <c r="F12" s="460" t="s">
        <v>3706</v>
      </c>
      <c r="G12" s="485">
        <v>229</v>
      </c>
      <c r="H12" s="460">
        <v>1.7243590799999999</v>
      </c>
      <c r="I12" t="s">
        <v>15</v>
      </c>
    </row>
    <row r="13" spans="1:15" ht="15.5">
      <c r="C13" s="422">
        <v>45754</v>
      </c>
      <c r="D13" s="463" t="s">
        <v>3707</v>
      </c>
      <c r="E13" s="485" t="s">
        <v>3708</v>
      </c>
      <c r="F13" s="461" t="s">
        <v>3709</v>
      </c>
      <c r="G13" s="485">
        <v>229</v>
      </c>
      <c r="H13" s="460">
        <v>1.7242553300000001</v>
      </c>
      <c r="I13" t="s">
        <v>15</v>
      </c>
    </row>
    <row r="14" spans="1:15" ht="15.5">
      <c r="C14" s="422">
        <v>45755</v>
      </c>
      <c r="D14" s="462" t="s">
        <v>3710</v>
      </c>
      <c r="E14" s="485">
        <v>588851502</v>
      </c>
      <c r="F14" s="460" t="s">
        <v>3711</v>
      </c>
      <c r="G14" s="485">
        <v>229</v>
      </c>
      <c r="H14" s="460">
        <v>1.4696898899999999</v>
      </c>
      <c r="I14" t="s">
        <v>15</v>
      </c>
    </row>
    <row r="15" spans="1:15">
      <c r="C15" s="492">
        <v>45756</v>
      </c>
      <c r="D15" s="493" t="s">
        <v>3713</v>
      </c>
      <c r="E15" s="494" t="s">
        <v>3714</v>
      </c>
      <c r="F15" s="495">
        <v>784198814765792</v>
      </c>
      <c r="G15" s="494">
        <v>229</v>
      </c>
      <c r="H15" s="494">
        <v>551439750</v>
      </c>
      <c r="I15" s="494" t="s">
        <v>3715</v>
      </c>
      <c r="J15" s="494" t="s">
        <v>3598</v>
      </c>
      <c r="K15" s="494" t="s">
        <v>3386</v>
      </c>
      <c r="L15" s="494">
        <v>1.72916925</v>
      </c>
      <c r="M15" t="s">
        <v>3716</v>
      </c>
      <c r="N15" s="496" t="e">
        <v>#N/A</v>
      </c>
      <c r="O15" s="497">
        <v>45758</v>
      </c>
    </row>
    <row r="16" spans="1:15">
      <c r="C16" s="498">
        <v>45757</v>
      </c>
      <c r="D16" s="499" t="s">
        <v>3717</v>
      </c>
      <c r="E16" s="73" t="s">
        <v>3718</v>
      </c>
      <c r="F16" s="500">
        <v>784197681704413</v>
      </c>
      <c r="G16" s="73">
        <v>229</v>
      </c>
      <c r="H16" s="73">
        <v>502173962</v>
      </c>
      <c r="I16" s="73" t="s">
        <v>3719</v>
      </c>
      <c r="J16" s="73" t="s">
        <v>3598</v>
      </c>
      <c r="K16" s="73" t="s">
        <v>3386</v>
      </c>
      <c r="L16" s="73">
        <v>1.6986729199999999</v>
      </c>
      <c r="M16" s="501" t="s">
        <v>3716</v>
      </c>
      <c r="N16" t="e">
        <v>#N/A</v>
      </c>
      <c r="O16" t="e">
        <v>#N/A</v>
      </c>
    </row>
    <row r="17" spans="3:15">
      <c r="C17" s="498">
        <v>45760</v>
      </c>
      <c r="D17" s="73" t="s">
        <v>3720</v>
      </c>
      <c r="E17" s="73" t="s">
        <v>3468</v>
      </c>
      <c r="F17" s="500">
        <v>784199713246512</v>
      </c>
      <c r="G17" s="73">
        <v>229</v>
      </c>
      <c r="H17" s="73">
        <v>547848550</v>
      </c>
      <c r="I17" s="73" t="s">
        <v>3721</v>
      </c>
      <c r="J17" s="73" t="s">
        <v>3598</v>
      </c>
      <c r="K17" s="73" t="s">
        <v>3386</v>
      </c>
      <c r="L17" s="73">
        <v>1.73036134</v>
      </c>
      <c r="M17" s="501" t="s">
        <v>3716</v>
      </c>
      <c r="N17" t="e">
        <v>#N/A</v>
      </c>
      <c r="O17" t="e">
        <v>#N/A</v>
      </c>
    </row>
    <row r="18" spans="3:15">
      <c r="C18" s="498">
        <v>45763</v>
      </c>
      <c r="D18" s="73" t="s">
        <v>3722</v>
      </c>
      <c r="E18" s="73" t="s">
        <v>3718</v>
      </c>
      <c r="F18" s="500">
        <v>784197894174289</v>
      </c>
      <c r="G18" s="73">
        <v>229</v>
      </c>
      <c r="H18" s="73">
        <v>504425386</v>
      </c>
      <c r="I18" s="73" t="s">
        <v>3723</v>
      </c>
      <c r="J18" s="73" t="s">
        <v>3598</v>
      </c>
      <c r="K18" s="73"/>
      <c r="L18" s="73">
        <v>1.7312135399999999</v>
      </c>
      <c r="M18" t="s">
        <v>3716</v>
      </c>
      <c r="N18" t="e">
        <v>#N/A</v>
      </c>
      <c r="O18" t="e">
        <v>#N/A</v>
      </c>
    </row>
    <row r="19" spans="3:15">
      <c r="C19" s="498">
        <v>45764</v>
      </c>
      <c r="D19" s="73" t="s">
        <v>3724</v>
      </c>
      <c r="E19" s="73" t="s">
        <v>3380</v>
      </c>
      <c r="F19" s="500">
        <v>784199419633476</v>
      </c>
      <c r="G19" s="73">
        <v>229</v>
      </c>
      <c r="H19" s="73">
        <v>556973088</v>
      </c>
      <c r="I19" s="73" t="s">
        <v>3725</v>
      </c>
      <c r="J19" s="73" t="s">
        <v>3598</v>
      </c>
      <c r="K19" s="73" t="s">
        <v>3386</v>
      </c>
      <c r="L19" s="73">
        <v>1.7316213</v>
      </c>
      <c r="M19" s="501" t="s">
        <v>3716</v>
      </c>
      <c r="N19" t="e">
        <v>#N/A</v>
      </c>
      <c r="O19" t="e">
        <v>#N/A</v>
      </c>
    </row>
    <row r="20" spans="3:15">
      <c r="C20" s="498">
        <v>45770</v>
      </c>
      <c r="D20" s="73" t="s">
        <v>3726</v>
      </c>
      <c r="E20" s="73" t="s">
        <v>3380</v>
      </c>
      <c r="F20" s="500">
        <v>784199329904066</v>
      </c>
      <c r="G20" s="73">
        <v>229</v>
      </c>
      <c r="H20" s="73">
        <v>551439750</v>
      </c>
      <c r="I20" s="73" t="s">
        <v>3727</v>
      </c>
      <c r="J20" s="73" t="s">
        <v>643</v>
      </c>
      <c r="K20" s="73" t="s">
        <v>3386</v>
      </c>
      <c r="L20" s="73">
        <v>1.73322043</v>
      </c>
      <c r="M20" s="502" t="s">
        <v>3716</v>
      </c>
      <c r="N20" t="e">
        <v>#N/A</v>
      </c>
      <c r="O20" t="e">
        <v>#N/A</v>
      </c>
    </row>
    <row r="21" spans="3:15">
      <c r="C21" s="498">
        <v>45770</v>
      </c>
      <c r="D21" s="73" t="s">
        <v>3728</v>
      </c>
      <c r="E21" s="73" t="s">
        <v>3380</v>
      </c>
      <c r="F21" s="500">
        <v>784198269620633</v>
      </c>
      <c r="G21" s="73">
        <v>229</v>
      </c>
      <c r="H21" s="73">
        <v>502173962</v>
      </c>
      <c r="I21" s="73" t="s">
        <v>3729</v>
      </c>
      <c r="J21" s="73" t="s">
        <v>643</v>
      </c>
      <c r="K21" s="73" t="s">
        <v>3386</v>
      </c>
      <c r="L21" s="73">
        <v>1.7331711400000001</v>
      </c>
      <c r="M21" s="502" t="s">
        <v>3716</v>
      </c>
      <c r="N21" t="e">
        <v>#N/A</v>
      </c>
      <c r="O21" t="e">
        <v>#N/A</v>
      </c>
    </row>
    <row r="22" spans="3:15">
      <c r="C22" s="492">
        <v>45770</v>
      </c>
      <c r="D22" s="494" t="s">
        <v>3730</v>
      </c>
      <c r="E22" s="494" t="s">
        <v>3371</v>
      </c>
      <c r="F22" s="495">
        <v>784200266229473</v>
      </c>
      <c r="G22" s="494">
        <v>229</v>
      </c>
      <c r="H22" s="494">
        <v>547141484</v>
      </c>
      <c r="I22" s="494" t="s">
        <v>3731</v>
      </c>
      <c r="J22" s="494" t="s">
        <v>3598</v>
      </c>
      <c r="K22" s="494" t="s">
        <v>3386</v>
      </c>
      <c r="L22" s="494">
        <v>1.7331833800000001</v>
      </c>
      <c r="M22" s="496" t="s">
        <v>3716</v>
      </c>
      <c r="N22" s="496" t="s">
        <v>3732</v>
      </c>
      <c r="O22" s="497">
        <v>45771</v>
      </c>
    </row>
    <row r="23" spans="3:15">
      <c r="C23" s="498">
        <v>45772</v>
      </c>
      <c r="D23" s="499" t="s">
        <v>3733</v>
      </c>
      <c r="E23" s="73" t="s">
        <v>3371</v>
      </c>
      <c r="F23" s="500">
        <v>784200360690984</v>
      </c>
      <c r="G23" s="73">
        <v>229</v>
      </c>
      <c r="H23" s="73">
        <v>568021062</v>
      </c>
      <c r="I23" s="73" t="s">
        <v>3734</v>
      </c>
      <c r="J23" s="73" t="s">
        <v>3598</v>
      </c>
      <c r="K23" s="73" t="s">
        <v>3386</v>
      </c>
      <c r="L23" s="73">
        <v>1.7338363000000001</v>
      </c>
      <c r="M23" s="502" t="s">
        <v>3716</v>
      </c>
      <c r="N23" t="e">
        <v>#N/A</v>
      </c>
      <c r="O23" t="e">
        <v>#N/A</v>
      </c>
    </row>
    <row r="24" spans="3:15">
      <c r="C24" s="492">
        <v>45772</v>
      </c>
      <c r="D24" s="493" t="s">
        <v>3735</v>
      </c>
      <c r="E24" s="494" t="s">
        <v>3736</v>
      </c>
      <c r="F24" s="495">
        <v>784200232809150</v>
      </c>
      <c r="G24" s="494">
        <v>229</v>
      </c>
      <c r="H24" s="494">
        <v>564250125</v>
      </c>
      <c r="I24" s="494" t="s">
        <v>3737</v>
      </c>
      <c r="J24" s="494" t="s">
        <v>3598</v>
      </c>
      <c r="K24" s="494" t="s">
        <v>3583</v>
      </c>
      <c r="L24" s="494">
        <v>1.64527091</v>
      </c>
      <c r="M24" s="496"/>
      <c r="N24" s="496" t="e">
        <v>#N/A</v>
      </c>
      <c r="O24" s="497">
        <v>45775</v>
      </c>
    </row>
    <row r="25" spans="3:15">
      <c r="C25" s="498">
        <v>45773</v>
      </c>
      <c r="D25" s="73" t="s">
        <v>3738</v>
      </c>
      <c r="E25" s="73" t="s">
        <v>3390</v>
      </c>
      <c r="F25" s="500">
        <v>784200072032517</v>
      </c>
      <c r="G25" s="73">
        <v>229</v>
      </c>
      <c r="H25" s="73">
        <v>564977828</v>
      </c>
      <c r="I25" s="73" t="s">
        <v>3739</v>
      </c>
      <c r="J25" s="73" t="s">
        <v>778</v>
      </c>
      <c r="K25" s="73"/>
      <c r="L25" s="73">
        <v>1.73408841</v>
      </c>
      <c r="M25" s="502" t="s">
        <v>3716</v>
      </c>
      <c r="N25" t="e">
        <v>#N/A</v>
      </c>
      <c r="O25" t="e">
        <v>#N/A</v>
      </c>
    </row>
    <row r="26" spans="3:15">
      <c r="C26" s="498">
        <v>45773</v>
      </c>
      <c r="D26" s="73" t="s">
        <v>3740</v>
      </c>
      <c r="E26" s="73" t="s">
        <v>3741</v>
      </c>
      <c r="F26" s="500">
        <v>784199331049322</v>
      </c>
      <c r="G26" s="73">
        <v>229</v>
      </c>
      <c r="H26" s="73">
        <v>507036840</v>
      </c>
      <c r="I26" s="73" t="s">
        <v>3742</v>
      </c>
      <c r="J26" s="73" t="s">
        <v>778</v>
      </c>
      <c r="K26" s="73"/>
      <c r="L26" s="73">
        <v>1.36387831</v>
      </c>
      <c r="M26" t="s">
        <v>3716</v>
      </c>
      <c r="N26" t="e">
        <v>#N/A</v>
      </c>
      <c r="O26" t="e">
        <v>#N/A</v>
      </c>
    </row>
    <row r="27" spans="3:15">
      <c r="C27" s="498">
        <v>45774</v>
      </c>
      <c r="D27" s="73" t="s">
        <v>3743</v>
      </c>
      <c r="E27" s="73" t="s">
        <v>3612</v>
      </c>
      <c r="F27" s="500">
        <v>784196575042732</v>
      </c>
      <c r="G27" s="73">
        <v>229</v>
      </c>
      <c r="H27" s="73">
        <v>556365589</v>
      </c>
      <c r="I27" s="73" t="s">
        <v>3744</v>
      </c>
      <c r="J27" s="73" t="s">
        <v>3598</v>
      </c>
      <c r="K27" s="73"/>
      <c r="L27" s="73">
        <v>1.73427193</v>
      </c>
      <c r="M27" t="s">
        <v>3716</v>
      </c>
      <c r="N27" t="e">
        <v>#N/A</v>
      </c>
      <c r="O27" t="e">
        <v>#N/A</v>
      </c>
    </row>
    <row r="28" spans="3:15">
      <c r="C28" s="498">
        <v>45774</v>
      </c>
      <c r="D28" s="73" t="s">
        <v>3745</v>
      </c>
      <c r="E28" s="73" t="s">
        <v>3718</v>
      </c>
      <c r="F28" s="500">
        <v>784194637543086</v>
      </c>
      <c r="G28" s="73">
        <v>229</v>
      </c>
      <c r="H28" s="73">
        <v>551260106</v>
      </c>
      <c r="I28" s="73" t="s">
        <v>3746</v>
      </c>
      <c r="J28" s="73" t="s">
        <v>3598</v>
      </c>
      <c r="K28" s="73" t="s">
        <v>3747</v>
      </c>
      <c r="L28" s="73">
        <v>1.5493735799999999</v>
      </c>
      <c r="M28" s="501" t="s">
        <v>3716</v>
      </c>
      <c r="N28" t="e">
        <v>#N/A</v>
      </c>
      <c r="O28" t="e">
        <v>#N/A</v>
      </c>
    </row>
    <row r="29" spans="3:15">
      <c r="C29" s="498">
        <v>45775</v>
      </c>
      <c r="D29" s="73" t="s">
        <v>3748</v>
      </c>
      <c r="E29" s="73" t="s">
        <v>3612</v>
      </c>
      <c r="F29" s="500">
        <v>784200279828626</v>
      </c>
      <c r="G29" s="73">
        <v>229</v>
      </c>
      <c r="H29" s="73">
        <v>505388682</v>
      </c>
      <c r="I29" s="73" t="s">
        <v>3749</v>
      </c>
      <c r="J29" s="73" t="s">
        <v>3598</v>
      </c>
      <c r="K29" s="73" t="s">
        <v>3747</v>
      </c>
      <c r="L29" s="73">
        <v>1.66331736</v>
      </c>
      <c r="M29" s="501" t="s">
        <v>3716</v>
      </c>
      <c r="N29" t="e">
        <v>#N/A</v>
      </c>
      <c r="O29" t="e">
        <v>#N/A</v>
      </c>
    </row>
    <row r="30" spans="3:15">
      <c r="E30"/>
      <c r="G30"/>
    </row>
  </sheetData>
  <phoneticPr fontId="26" type="noConversion"/>
  <conditionalFormatting sqref="B1">
    <cfRule type="duplicateValues" dxfId="323" priority="15"/>
  </conditionalFormatting>
  <conditionalFormatting sqref="B1:C1 E1:F1">
    <cfRule type="duplicateValues" dxfId="322" priority="13"/>
    <cfRule type="duplicateValues" dxfId="321" priority="14"/>
  </conditionalFormatting>
  <conditionalFormatting sqref="C1 E1:F1">
    <cfRule type="duplicateValues" dxfId="320" priority="11"/>
  </conditionalFormatting>
  <conditionalFormatting sqref="D1">
    <cfRule type="duplicateValues" dxfId="319" priority="10"/>
  </conditionalFormatting>
  <conditionalFormatting sqref="D7:D14">
    <cfRule type="duplicateValues" dxfId="318" priority="18"/>
    <cfRule type="duplicateValues" dxfId="317" priority="21"/>
    <cfRule type="duplicateValues" dxfId="316" priority="23"/>
    <cfRule type="duplicateValues" dxfId="315" priority="24"/>
  </conditionalFormatting>
  <conditionalFormatting sqref="D15:D29">
    <cfRule type="duplicateValues" dxfId="314" priority="8"/>
  </conditionalFormatting>
  <conditionalFormatting sqref="F7:F14">
    <cfRule type="duplicateValues" dxfId="313" priority="20"/>
    <cfRule type="duplicateValues" dxfId="312" priority="22"/>
  </conditionalFormatting>
  <conditionalFormatting sqref="H1">
    <cfRule type="duplicateValues" dxfId="311" priority="12"/>
  </conditionalFormatting>
  <conditionalFormatting sqref="H7:H14">
    <cfRule type="duplicateValues" dxfId="310" priority="16"/>
    <cfRule type="duplicateValues" dxfId="309" priority="17"/>
    <cfRule type="duplicateValues" dxfId="308" priority="19"/>
  </conditionalFormatting>
  <conditionalFormatting sqref="H15:H29">
    <cfRule type="duplicateValues" dxfId="307" priority="9"/>
  </conditionalFormatting>
  <conditionalFormatting sqref="H23:H24">
    <cfRule type="duplicateValues" dxfId="306" priority="1"/>
    <cfRule type="duplicateValues" dxfId="305" priority="2"/>
    <cfRule type="duplicateValues" dxfId="304" priority="3"/>
    <cfRule type="duplicateValues" dxfId="303" priority="4"/>
    <cfRule type="duplicateValues" dxfId="302" priority="5"/>
  </conditionalFormatting>
  <conditionalFormatting sqref="I15:I29">
    <cfRule type="duplicateValues" dxfId="301" priority="6"/>
  </conditionalFormatting>
  <conditionalFormatting sqref="L15:L29 M16:M17 M19:M21 M23 M25 M28:M29">
    <cfRule type="duplicateValues" dxfId="300" priority="7"/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M26"/>
  <sheetViews>
    <sheetView topLeftCell="A13" workbookViewId="0">
      <selection activeCell="A26" sqref="A26:M26"/>
    </sheetView>
  </sheetViews>
  <sheetFormatPr defaultRowHeight="14.5"/>
  <cols>
    <col min="1" max="1" width="9.7265625" bestFit="1" customWidth="1"/>
    <col min="2" max="2" width="25" bestFit="1" customWidth="1"/>
    <col min="3" max="3" width="24.08984375" bestFit="1" customWidth="1"/>
    <col min="4" max="4" width="19.54296875" bestFit="1" customWidth="1"/>
    <col min="5" max="5" width="13.7265625" bestFit="1" customWidth="1"/>
    <col min="6" max="6" width="9.81640625" bestFit="1" customWidth="1"/>
    <col min="7" max="7" width="13.7265625" bestFit="1" customWidth="1"/>
    <col min="9" max="9" width="10.36328125" bestFit="1" customWidth="1"/>
    <col min="10" max="10" width="16.26953125" bestFit="1" customWidth="1"/>
    <col min="11" max="11" width="16" bestFit="1" customWidth="1"/>
    <col min="13" max="13" width="10.453125" bestFit="1" customWidth="1"/>
  </cols>
  <sheetData>
    <row r="1" spans="1:13" ht="29">
      <c r="A1" s="524" t="s">
        <v>3315</v>
      </c>
      <c r="B1" s="504" t="s">
        <v>3316</v>
      </c>
      <c r="C1" s="504" t="s">
        <v>3590</v>
      </c>
      <c r="D1" s="506" t="s">
        <v>3591</v>
      </c>
      <c r="E1" s="507" t="s">
        <v>3321</v>
      </c>
      <c r="F1" s="507" t="s">
        <v>3592</v>
      </c>
      <c r="G1" s="504" t="s">
        <v>3320</v>
      </c>
      <c r="H1" s="504" t="s">
        <v>3593</v>
      </c>
      <c r="I1" s="508" t="s">
        <v>3750</v>
      </c>
      <c r="J1" s="508" t="s">
        <v>3751</v>
      </c>
      <c r="K1" s="503" t="s">
        <v>3315</v>
      </c>
      <c r="L1" s="525" t="s">
        <v>3149</v>
      </c>
      <c r="M1" s="526" t="s">
        <v>3824</v>
      </c>
    </row>
    <row r="2" spans="1:13">
      <c r="A2" s="527">
        <v>45777</v>
      </c>
      <c r="B2" s="528" t="s">
        <v>3752</v>
      </c>
      <c r="C2" s="528"/>
      <c r="D2" s="529"/>
      <c r="E2" s="530">
        <v>229</v>
      </c>
      <c r="F2" s="530">
        <v>544800947</v>
      </c>
      <c r="G2" s="528" t="s">
        <v>3753</v>
      </c>
      <c r="H2" s="528" t="s">
        <v>3598</v>
      </c>
      <c r="I2" s="148"/>
      <c r="J2">
        <v>1.73517459</v>
      </c>
      <c r="K2" s="531" t="e">
        <v>#N/A</v>
      </c>
      <c r="L2" s="532"/>
      <c r="M2" s="533"/>
    </row>
    <row r="3" spans="1:13">
      <c r="A3" s="403">
        <v>45778</v>
      </c>
      <c r="B3" s="1" t="s">
        <v>3754</v>
      </c>
      <c r="C3" s="1" t="s">
        <v>3371</v>
      </c>
      <c r="D3" s="509">
        <v>784199231082613</v>
      </c>
      <c r="E3" s="3">
        <v>229</v>
      </c>
      <c r="F3" s="3">
        <v>568046066</v>
      </c>
      <c r="G3" s="73" t="s">
        <v>3755</v>
      </c>
      <c r="H3" s="1" t="s">
        <v>3598</v>
      </c>
      <c r="I3" s="153"/>
      <c r="J3" s="148">
        <v>1.73546727</v>
      </c>
      <c r="K3" s="531">
        <v>45778</v>
      </c>
      <c r="L3" s="532"/>
      <c r="M3" s="533"/>
    </row>
    <row r="4" spans="1:13">
      <c r="A4" s="403">
        <v>45778</v>
      </c>
      <c r="B4" s="1" t="s">
        <v>3756</v>
      </c>
      <c r="C4" s="1" t="s">
        <v>3380</v>
      </c>
      <c r="D4" s="509">
        <v>784197815764812</v>
      </c>
      <c r="E4" s="3">
        <v>229</v>
      </c>
      <c r="F4" s="3">
        <v>559881554</v>
      </c>
      <c r="G4" s="73" t="s">
        <v>3757</v>
      </c>
      <c r="H4" s="1" t="s">
        <v>3598</v>
      </c>
      <c r="I4" s="153"/>
      <c r="J4" s="148">
        <v>1.7352571999999999</v>
      </c>
      <c r="K4" s="531">
        <v>45778</v>
      </c>
      <c r="L4" s="532"/>
      <c r="M4" s="533"/>
    </row>
    <row r="5" spans="1:13">
      <c r="A5" s="534">
        <v>45779</v>
      </c>
      <c r="B5" s="1" t="s">
        <v>3758</v>
      </c>
      <c r="C5" s="1" t="s">
        <v>3380</v>
      </c>
      <c r="D5" s="509">
        <v>784199285752608</v>
      </c>
      <c r="E5" s="3">
        <v>229</v>
      </c>
      <c r="F5" s="3">
        <v>509595618</v>
      </c>
      <c r="G5" s="73" t="s">
        <v>3759</v>
      </c>
      <c r="H5" s="1" t="s">
        <v>3598</v>
      </c>
      <c r="I5" s="153"/>
      <c r="J5" s="148">
        <v>1.7357585600000001</v>
      </c>
      <c r="K5" s="531">
        <v>45779</v>
      </c>
      <c r="L5" s="532"/>
      <c r="M5" s="533"/>
    </row>
    <row r="6" spans="1:13">
      <c r="A6" s="403">
        <v>45785</v>
      </c>
      <c r="B6" s="1" t="s">
        <v>3760</v>
      </c>
      <c r="C6" s="1" t="s">
        <v>3761</v>
      </c>
      <c r="D6" s="509">
        <v>784199290020264</v>
      </c>
      <c r="E6" s="3">
        <v>229</v>
      </c>
      <c r="F6" s="3">
        <v>586888270</v>
      </c>
      <c r="G6" s="73" t="s">
        <v>3762</v>
      </c>
      <c r="H6" s="1" t="s">
        <v>3598</v>
      </c>
      <c r="I6" s="153"/>
      <c r="J6">
        <v>1.73722412</v>
      </c>
      <c r="K6" s="531" t="e">
        <v>#N/A</v>
      </c>
      <c r="L6" s="532"/>
      <c r="M6" s="533">
        <v>45790</v>
      </c>
    </row>
    <row r="7" spans="1:13">
      <c r="A7" s="403">
        <v>45785</v>
      </c>
      <c r="B7" s="1" t="s">
        <v>3825</v>
      </c>
      <c r="C7" s="1" t="s">
        <v>3826</v>
      </c>
      <c r="D7" s="509">
        <v>784199488797509</v>
      </c>
      <c r="E7" s="3">
        <v>229</v>
      </c>
      <c r="F7" s="3">
        <v>585206320</v>
      </c>
      <c r="G7" s="73" t="s">
        <v>3827</v>
      </c>
      <c r="H7" s="1" t="s">
        <v>3598</v>
      </c>
      <c r="I7" s="153" t="s">
        <v>3386</v>
      </c>
      <c r="J7">
        <v>1.73725288</v>
      </c>
      <c r="K7" s="531" t="e">
        <v>#N/A</v>
      </c>
      <c r="L7" s="532"/>
      <c r="M7" s="533"/>
    </row>
    <row r="8" spans="1:13">
      <c r="A8" s="403">
        <v>45786</v>
      </c>
      <c r="B8" s="1" t="s">
        <v>3828</v>
      </c>
      <c r="C8" s="1" t="s">
        <v>3380</v>
      </c>
      <c r="D8" s="509">
        <v>784199462759368</v>
      </c>
      <c r="E8" s="3">
        <v>229</v>
      </c>
      <c r="F8" s="3">
        <v>567403950</v>
      </c>
      <c r="G8" s="73" t="s">
        <v>3829</v>
      </c>
      <c r="H8" s="1" t="s">
        <v>643</v>
      </c>
      <c r="I8" s="153" t="s">
        <v>3386</v>
      </c>
      <c r="J8" s="148">
        <v>1.6543059499999999</v>
      </c>
      <c r="K8" s="531">
        <v>45786</v>
      </c>
      <c r="L8" s="532"/>
      <c r="M8" s="533"/>
    </row>
    <row r="9" spans="1:13">
      <c r="A9" s="403">
        <v>45794</v>
      </c>
      <c r="B9" s="359" t="s">
        <v>3830</v>
      </c>
      <c r="C9" s="359" t="s">
        <v>3831</v>
      </c>
      <c r="D9" s="509">
        <v>784198342818709</v>
      </c>
      <c r="E9" s="3">
        <v>229</v>
      </c>
      <c r="F9" s="3">
        <v>551439750</v>
      </c>
      <c r="G9" s="73" t="s">
        <v>3832</v>
      </c>
      <c r="H9" s="359" t="s">
        <v>643</v>
      </c>
      <c r="I9" s="153" t="s">
        <v>3386</v>
      </c>
      <c r="J9" s="148">
        <v>1.73936168</v>
      </c>
      <c r="K9" s="531">
        <v>45794</v>
      </c>
      <c r="L9" s="532"/>
      <c r="M9" s="533"/>
    </row>
    <row r="10" spans="1:13">
      <c r="A10" s="403">
        <v>45795</v>
      </c>
      <c r="B10" s="359" t="s">
        <v>3763</v>
      </c>
      <c r="C10" s="359" t="s">
        <v>3380</v>
      </c>
      <c r="D10" s="509">
        <v>784200196984346</v>
      </c>
      <c r="E10" s="3">
        <v>229</v>
      </c>
      <c r="F10" s="3">
        <v>542376722</v>
      </c>
      <c r="G10" s="73" t="s">
        <v>3764</v>
      </c>
      <c r="H10" s="359" t="s">
        <v>3598</v>
      </c>
      <c r="I10" s="153"/>
      <c r="J10" s="148">
        <v>1.7395254600000001</v>
      </c>
      <c r="K10" s="531">
        <v>45795</v>
      </c>
      <c r="L10" s="532"/>
      <c r="M10" s="533"/>
    </row>
    <row r="11" spans="1:13">
      <c r="A11" s="403">
        <v>45797</v>
      </c>
      <c r="B11" s="1" t="s">
        <v>3833</v>
      </c>
      <c r="C11" s="1" t="s">
        <v>3342</v>
      </c>
      <c r="D11" s="509">
        <v>784197905737389</v>
      </c>
      <c r="E11" s="3">
        <v>229</v>
      </c>
      <c r="F11" s="3">
        <v>504708542</v>
      </c>
      <c r="G11" s="73" t="s">
        <v>3834</v>
      </c>
      <c r="H11" s="1" t="s">
        <v>3598</v>
      </c>
      <c r="I11" s="153" t="s">
        <v>3386</v>
      </c>
      <c r="J11" s="148">
        <v>1.4393012199999999</v>
      </c>
      <c r="K11" s="531">
        <v>45797</v>
      </c>
      <c r="L11" s="532"/>
      <c r="M11" s="533"/>
    </row>
    <row r="12" spans="1:13">
      <c r="A12" s="403">
        <v>45800</v>
      </c>
      <c r="B12" s="1" t="s">
        <v>3765</v>
      </c>
      <c r="C12" s="1" t="s">
        <v>3338</v>
      </c>
      <c r="D12" s="509">
        <v>784199518567773</v>
      </c>
      <c r="E12" s="3">
        <v>299</v>
      </c>
      <c r="F12" s="3">
        <v>551330199</v>
      </c>
      <c r="G12" s="73" t="s">
        <v>3766</v>
      </c>
      <c r="H12" s="1" t="s">
        <v>3598</v>
      </c>
      <c r="I12" s="153"/>
      <c r="J12" s="148">
        <v>1.5879978299999999</v>
      </c>
      <c r="K12" s="531">
        <v>45801</v>
      </c>
      <c r="L12" s="532"/>
      <c r="M12" s="533">
        <v>45806</v>
      </c>
    </row>
    <row r="13" spans="1:13">
      <c r="A13" s="403">
        <v>45800</v>
      </c>
      <c r="B13" s="1" t="s">
        <v>3835</v>
      </c>
      <c r="C13" s="1" t="s">
        <v>3338</v>
      </c>
      <c r="D13" s="509">
        <v>784199484950482</v>
      </c>
      <c r="E13" s="3">
        <v>229</v>
      </c>
      <c r="F13" s="3">
        <v>552838738</v>
      </c>
      <c r="G13" s="73" t="s">
        <v>3836</v>
      </c>
      <c r="H13" s="1" t="s">
        <v>3598</v>
      </c>
      <c r="I13" s="153" t="s">
        <v>3386</v>
      </c>
      <c r="J13" s="148">
        <v>1.7407037999999999</v>
      </c>
      <c r="K13" s="531">
        <v>45801</v>
      </c>
      <c r="L13" s="532"/>
      <c r="M13" s="533"/>
    </row>
    <row r="14" spans="1:13">
      <c r="A14" s="403">
        <v>45803</v>
      </c>
      <c r="B14" s="1" t="s">
        <v>3767</v>
      </c>
      <c r="C14" s="1" t="s">
        <v>3380</v>
      </c>
      <c r="D14" s="509">
        <v>784199850978901</v>
      </c>
      <c r="E14" s="3">
        <v>229</v>
      </c>
      <c r="F14" s="3">
        <v>509243214</v>
      </c>
      <c r="G14" s="73" t="s">
        <v>3768</v>
      </c>
      <c r="H14" s="1" t="s">
        <v>643</v>
      </c>
      <c r="I14" s="153"/>
      <c r="J14" s="148">
        <v>1.741023</v>
      </c>
      <c r="K14" s="531">
        <v>45803</v>
      </c>
      <c r="L14" s="532"/>
      <c r="M14" s="533"/>
    </row>
    <row r="15" spans="1:13">
      <c r="A15" s="403">
        <v>45803</v>
      </c>
      <c r="B15" s="1" t="s">
        <v>3767</v>
      </c>
      <c r="C15" s="1" t="s">
        <v>3380</v>
      </c>
      <c r="D15" s="509">
        <v>784199850978901</v>
      </c>
      <c r="E15" s="3">
        <v>229</v>
      </c>
      <c r="F15" s="3">
        <v>509243214</v>
      </c>
      <c r="G15" s="73" t="s">
        <v>3769</v>
      </c>
      <c r="H15" s="1" t="s">
        <v>643</v>
      </c>
      <c r="I15" s="153"/>
      <c r="J15" s="148">
        <v>1.741023</v>
      </c>
      <c r="K15" s="531">
        <v>45803</v>
      </c>
      <c r="L15" s="532"/>
      <c r="M15" s="533"/>
    </row>
    <row r="16" spans="1:13">
      <c r="A16" s="403">
        <v>45804</v>
      </c>
      <c r="B16" s="1" t="s">
        <v>3770</v>
      </c>
      <c r="C16" s="1" t="s">
        <v>3380</v>
      </c>
      <c r="D16" s="509">
        <v>784199920798453</v>
      </c>
      <c r="E16" s="3">
        <v>229</v>
      </c>
      <c r="F16" s="3">
        <v>507398953</v>
      </c>
      <c r="G16" s="73" t="s">
        <v>3771</v>
      </c>
      <c r="H16" s="1" t="s">
        <v>3598</v>
      </c>
      <c r="I16" s="153"/>
      <c r="J16" s="148">
        <v>1.7415394500000001</v>
      </c>
      <c r="K16" s="531">
        <v>45805</v>
      </c>
      <c r="L16" s="532"/>
      <c r="M16" s="533"/>
    </row>
    <row r="17" spans="1:13">
      <c r="A17" s="403">
        <v>45808</v>
      </c>
      <c r="B17" s="1" t="s">
        <v>3837</v>
      </c>
      <c r="C17" s="1" t="s">
        <v>3838</v>
      </c>
      <c r="D17" s="358">
        <v>784198565314717</v>
      </c>
      <c r="E17" s="3">
        <v>229</v>
      </c>
      <c r="F17" s="3">
        <v>504777473</v>
      </c>
      <c r="G17" s="1" t="s">
        <v>3839</v>
      </c>
      <c r="H17" s="1" t="s">
        <v>3598</v>
      </c>
      <c r="I17" s="153"/>
      <c r="J17" s="148">
        <v>1.1600600400000001</v>
      </c>
      <c r="K17" s="531">
        <v>45808</v>
      </c>
      <c r="L17" s="532"/>
      <c r="M17" s="533"/>
    </row>
    <row r="18" spans="1:13" ht="30.5" customHeight="1">
      <c r="A18" s="510" t="s">
        <v>3779</v>
      </c>
      <c r="B18" s="511" t="s">
        <v>3780</v>
      </c>
      <c r="C18" s="512" t="s">
        <v>3781</v>
      </c>
      <c r="D18" s="513" t="s">
        <v>3782</v>
      </c>
      <c r="E18" s="514" t="s">
        <v>3783</v>
      </c>
      <c r="F18" s="515" t="s">
        <v>3784</v>
      </c>
      <c r="G18" s="515" t="s">
        <v>3785</v>
      </c>
      <c r="H18" s="516" t="s">
        <v>3786</v>
      </c>
      <c r="I18" s="517" t="s">
        <v>3787</v>
      </c>
      <c r="J18" s="511" t="s">
        <v>3788</v>
      </c>
      <c r="K18" s="518" t="s">
        <v>3789</v>
      </c>
    </row>
    <row r="19" spans="1:13">
      <c r="A19" s="1">
        <v>1</v>
      </c>
      <c r="B19" s="519">
        <v>45779</v>
      </c>
      <c r="C19" s="521" t="s">
        <v>3840</v>
      </c>
      <c r="D19" s="521" t="s">
        <v>3841</v>
      </c>
      <c r="E19" s="3" t="s">
        <v>3842</v>
      </c>
      <c r="F19" s="3">
        <v>229</v>
      </c>
      <c r="G19" s="1" t="s">
        <v>148</v>
      </c>
      <c r="H19">
        <v>1.7357654300000001</v>
      </c>
      <c r="I19" s="20" t="s">
        <v>2056</v>
      </c>
      <c r="J19" s="20">
        <v>45779</v>
      </c>
      <c r="K19" s="73" t="s">
        <v>1589</v>
      </c>
    </row>
    <row r="20" spans="1:13">
      <c r="A20" s="1">
        <v>2</v>
      </c>
      <c r="B20" s="519">
        <v>45780</v>
      </c>
      <c r="C20" s="521" t="s">
        <v>3843</v>
      </c>
      <c r="D20" s="521" t="s">
        <v>3844</v>
      </c>
      <c r="E20" s="3" t="s">
        <v>3845</v>
      </c>
      <c r="F20" s="3">
        <v>229</v>
      </c>
      <c r="G20" s="1" t="s">
        <v>148</v>
      </c>
      <c r="H20" s="3"/>
      <c r="I20" s="20" t="s">
        <v>331</v>
      </c>
      <c r="J20" s="536"/>
      <c r="K20" s="73" t="s">
        <v>1563</v>
      </c>
    </row>
    <row r="21" spans="1:13">
      <c r="A21" s="1">
        <v>3</v>
      </c>
      <c r="B21" s="519">
        <v>45780</v>
      </c>
      <c r="C21" s="521" t="s">
        <v>3846</v>
      </c>
      <c r="D21" s="521" t="s">
        <v>3847</v>
      </c>
      <c r="E21" s="3" t="s">
        <v>3848</v>
      </c>
      <c r="F21" s="3">
        <v>229</v>
      </c>
      <c r="G21" s="1" t="s">
        <v>148</v>
      </c>
      <c r="H21">
        <v>1.73603759</v>
      </c>
      <c r="I21" s="20" t="s">
        <v>2056</v>
      </c>
      <c r="J21" s="20">
        <v>45780</v>
      </c>
      <c r="K21" s="73" t="s">
        <v>1589</v>
      </c>
    </row>
    <row r="22" spans="1:13">
      <c r="A22" s="1">
        <v>4</v>
      </c>
      <c r="B22" s="519">
        <v>45784</v>
      </c>
      <c r="C22" s="521" t="s">
        <v>3849</v>
      </c>
      <c r="D22" s="521" t="s">
        <v>3850</v>
      </c>
      <c r="E22" s="3" t="s">
        <v>3851</v>
      </c>
      <c r="F22" s="3">
        <v>229</v>
      </c>
      <c r="G22" s="1" t="s">
        <v>148</v>
      </c>
      <c r="H22" s="3"/>
      <c r="I22" s="20" t="s">
        <v>331</v>
      </c>
      <c r="J22" s="3"/>
      <c r="K22" s="73" t="s">
        <v>1563</v>
      </c>
    </row>
    <row r="23" spans="1:13">
      <c r="A23" s="1">
        <v>5</v>
      </c>
      <c r="B23" s="519">
        <v>45784</v>
      </c>
      <c r="C23" s="3" t="s">
        <v>3852</v>
      </c>
      <c r="D23" s="521" t="s">
        <v>3853</v>
      </c>
      <c r="E23" s="3" t="s">
        <v>3854</v>
      </c>
      <c r="F23" s="3">
        <v>229</v>
      </c>
      <c r="G23" s="1" t="s">
        <v>148</v>
      </c>
      <c r="H23" s="522"/>
      <c r="I23" s="3" t="s">
        <v>331</v>
      </c>
      <c r="J23" s="3"/>
      <c r="K23" s="537" t="s">
        <v>1563</v>
      </c>
    </row>
    <row r="24" spans="1:13">
      <c r="A24" s="1">
        <v>6</v>
      </c>
      <c r="B24" s="519">
        <v>45785</v>
      </c>
      <c r="C24" s="3" t="s">
        <v>3855</v>
      </c>
      <c r="D24" s="521" t="s">
        <v>3856</v>
      </c>
      <c r="E24" s="3" t="s">
        <v>3857</v>
      </c>
      <c r="F24" s="3">
        <v>229</v>
      </c>
      <c r="G24" s="1" t="s">
        <v>148</v>
      </c>
      <c r="H24" s="522"/>
      <c r="I24" s="3" t="s">
        <v>331</v>
      </c>
      <c r="J24" s="3"/>
      <c r="K24" s="537" t="s">
        <v>1563</v>
      </c>
    </row>
    <row r="25" spans="1:13">
      <c r="A25" s="1">
        <v>7</v>
      </c>
      <c r="B25" s="519">
        <v>45787</v>
      </c>
      <c r="C25" s="3" t="s">
        <v>3858</v>
      </c>
      <c r="D25" s="521" t="s">
        <v>3859</v>
      </c>
      <c r="E25" s="3" t="s">
        <v>3860</v>
      </c>
      <c r="F25" s="3">
        <v>229</v>
      </c>
      <c r="G25" s="1" t="s">
        <v>148</v>
      </c>
      <c r="H25" s="522"/>
      <c r="I25" s="3" t="s">
        <v>2056</v>
      </c>
      <c r="J25" s="20">
        <v>45787</v>
      </c>
      <c r="K25" s="73" t="s">
        <v>1589</v>
      </c>
    </row>
    <row r="26" spans="1:13" ht="42.5">
      <c r="A26" s="548">
        <v>45801</v>
      </c>
      <c r="B26" s="549" t="s">
        <v>3598</v>
      </c>
      <c r="C26" s="550"/>
      <c r="D26" s="549" t="s">
        <v>3877</v>
      </c>
      <c r="E26" s="551">
        <v>526520129</v>
      </c>
      <c r="F26" s="552">
        <v>429</v>
      </c>
      <c r="G26" s="549" t="s">
        <v>3878</v>
      </c>
      <c r="H26" s="549" t="s">
        <v>3878</v>
      </c>
      <c r="I26" s="552" t="e">
        <v>#N/A</v>
      </c>
      <c r="J26" s="550"/>
      <c r="K26" s="553" t="s">
        <v>3879</v>
      </c>
      <c r="L26" s="553" t="s">
        <v>3880</v>
      </c>
      <c r="M26" s="551">
        <v>1.7410853900000001</v>
      </c>
    </row>
  </sheetData>
  <conditionalFormatting sqref="B1">
    <cfRule type="duplicateValues" dxfId="299" priority="35"/>
    <cfRule type="duplicateValues" dxfId="298" priority="21"/>
    <cfRule type="duplicateValues" dxfId="297" priority="19"/>
    <cfRule type="duplicateValues" dxfId="296" priority="15"/>
    <cfRule type="duplicateValues" dxfId="295" priority="16"/>
    <cfRule type="duplicateValues" dxfId="294" priority="17"/>
    <cfRule type="duplicateValues" dxfId="293" priority="22"/>
    <cfRule type="duplicateValues" dxfId="292" priority="23"/>
    <cfRule type="duplicateValues" dxfId="291" priority="24"/>
    <cfRule type="duplicateValues" dxfId="290" priority="29"/>
    <cfRule type="duplicateValues" dxfId="289" priority="34"/>
  </conditionalFormatting>
  <conditionalFormatting sqref="B2">
    <cfRule type="duplicateValues" dxfId="288" priority="3"/>
    <cfRule type="duplicateValues" dxfId="287" priority="4"/>
    <cfRule type="duplicateValues" dxfId="286" priority="5"/>
  </conditionalFormatting>
  <conditionalFormatting sqref="B3:B17 B1">
    <cfRule type="duplicateValues" dxfId="285" priority="8"/>
    <cfRule type="duplicateValues" dxfId="284" priority="9"/>
    <cfRule type="duplicateValues" dxfId="283" priority="11"/>
    <cfRule type="duplicateValues" dxfId="282" priority="13"/>
  </conditionalFormatting>
  <conditionalFormatting sqref="F1">
    <cfRule type="duplicateValues" dxfId="281" priority="14"/>
    <cfRule type="duplicateValues" dxfId="280" priority="25"/>
    <cfRule type="duplicateValues" dxfId="279" priority="26"/>
  </conditionalFormatting>
  <conditionalFormatting sqref="F2">
    <cfRule type="duplicateValues" dxfId="278" priority="2"/>
  </conditionalFormatting>
  <conditionalFormatting sqref="F1:G1 B1 D1">
    <cfRule type="duplicateValues" dxfId="277" priority="20"/>
  </conditionalFormatting>
  <conditionalFormatting sqref="F3:G17 F1:G1">
    <cfRule type="duplicateValues" dxfId="276" priority="12"/>
  </conditionalFormatting>
  <conditionalFormatting sqref="G1">
    <cfRule type="duplicateValues" dxfId="275" priority="28"/>
    <cfRule type="duplicateValues" dxfId="274" priority="18"/>
    <cfRule type="duplicateValues" dxfId="273" priority="30"/>
    <cfRule type="duplicateValues" dxfId="272" priority="31"/>
    <cfRule type="duplicateValues" dxfId="271" priority="32"/>
    <cfRule type="duplicateValues" dxfId="270" priority="27"/>
  </conditionalFormatting>
  <conditionalFormatting sqref="G2">
    <cfRule type="duplicateValues" dxfId="269" priority="1"/>
  </conditionalFormatting>
  <conditionalFormatting sqref="G3:G17 G1">
    <cfRule type="duplicateValues" dxfId="268" priority="10"/>
    <cfRule type="duplicateValues" dxfId="267" priority="7"/>
  </conditionalFormatting>
  <conditionalFormatting sqref="J8:J17 J3:J5 J1">
    <cfRule type="duplicateValues" dxfId="266" priority="6"/>
  </conditionalFormatting>
  <conditionalFormatting sqref="K1">
    <cfRule type="duplicateValues" dxfId="265" priority="33"/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M28"/>
  <sheetViews>
    <sheetView topLeftCell="A9" workbookViewId="0">
      <selection activeCell="J18" sqref="J18"/>
    </sheetView>
  </sheetViews>
  <sheetFormatPr defaultRowHeight="14.5"/>
  <cols>
    <col min="3" max="3" width="24.6328125" bestFit="1" customWidth="1"/>
    <col min="6" max="6" width="9.81640625" bestFit="1" customWidth="1"/>
    <col min="7" max="7" width="13.7265625" bestFit="1" customWidth="1"/>
    <col min="11" max="11" width="10.453125" bestFit="1" customWidth="1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4.5" customHeight="1">
      <c r="A5" s="510" t="s">
        <v>3779</v>
      </c>
      <c r="B5" s="511" t="s">
        <v>3780</v>
      </c>
      <c r="C5" s="512" t="s">
        <v>3781</v>
      </c>
      <c r="D5" s="513" t="s">
        <v>3782</v>
      </c>
      <c r="E5" s="514" t="s">
        <v>3783</v>
      </c>
      <c r="F5" s="515" t="s">
        <v>3784</v>
      </c>
      <c r="G5" s="515" t="s">
        <v>3785</v>
      </c>
      <c r="H5" s="516" t="s">
        <v>3786</v>
      </c>
      <c r="I5" s="517" t="s">
        <v>3787</v>
      </c>
      <c r="J5" s="511" t="s">
        <v>3788</v>
      </c>
      <c r="K5" s="518" t="s">
        <v>3789</v>
      </c>
    </row>
    <row r="6" spans="1:12">
      <c r="A6" s="1">
        <v>1</v>
      </c>
      <c r="B6" s="519">
        <v>45809</v>
      </c>
      <c r="C6" s="520" t="s">
        <v>3790</v>
      </c>
      <c r="D6" s="521" t="s">
        <v>3791</v>
      </c>
      <c r="E6" s="3" t="s">
        <v>3792</v>
      </c>
      <c r="F6" s="3">
        <v>299</v>
      </c>
      <c r="G6" s="1" t="s">
        <v>148</v>
      </c>
      <c r="H6" s="3">
        <v>1.7424147400000001</v>
      </c>
      <c r="I6" s="20" t="s">
        <v>2056</v>
      </c>
      <c r="J6" s="519">
        <v>45809</v>
      </c>
      <c r="K6" s="1" t="s">
        <v>1589</v>
      </c>
    </row>
    <row r="7" spans="1:12">
      <c r="A7" s="1">
        <v>2</v>
      </c>
      <c r="B7" s="519">
        <v>45809</v>
      </c>
      <c r="C7" s="520" t="s">
        <v>3793</v>
      </c>
      <c r="D7" s="521" t="s">
        <v>3794</v>
      </c>
      <c r="E7" s="3" t="s">
        <v>3795</v>
      </c>
      <c r="F7" s="3">
        <v>229</v>
      </c>
      <c r="G7" s="1" t="s">
        <v>148</v>
      </c>
      <c r="H7" s="3">
        <v>1.7424977399999999</v>
      </c>
      <c r="I7" s="20" t="s">
        <v>2056</v>
      </c>
      <c r="J7" s="519">
        <v>45809</v>
      </c>
      <c r="K7" s="1" t="s">
        <v>1589</v>
      </c>
    </row>
    <row r="8" spans="1:12">
      <c r="A8" s="1">
        <v>3</v>
      </c>
      <c r="B8" s="519">
        <v>45809</v>
      </c>
      <c r="C8" s="520" t="s">
        <v>3796</v>
      </c>
      <c r="D8" s="521" t="s">
        <v>3797</v>
      </c>
      <c r="E8" s="3" t="s">
        <v>3798</v>
      </c>
      <c r="F8" s="3">
        <v>299</v>
      </c>
      <c r="G8" s="1" t="s">
        <v>148</v>
      </c>
      <c r="H8" s="3">
        <v>1.7424997</v>
      </c>
      <c r="I8" s="20" t="s">
        <v>2056</v>
      </c>
      <c r="J8" s="519">
        <v>45810</v>
      </c>
      <c r="K8" s="1" t="s">
        <v>1589</v>
      </c>
    </row>
    <row r="9" spans="1:12">
      <c r="A9" s="1">
        <v>4</v>
      </c>
      <c r="B9" s="519">
        <v>45810</v>
      </c>
      <c r="C9" s="520" t="s">
        <v>3799</v>
      </c>
      <c r="D9" s="521" t="s">
        <v>3800</v>
      </c>
      <c r="E9" s="3" t="s">
        <v>3801</v>
      </c>
      <c r="F9" s="3">
        <v>229</v>
      </c>
      <c r="G9" s="1" t="s">
        <v>148</v>
      </c>
      <c r="H9" s="3">
        <v>1.74272626</v>
      </c>
      <c r="I9" s="3" t="s">
        <v>2056</v>
      </c>
      <c r="J9" s="519">
        <v>45810</v>
      </c>
      <c r="K9" s="1" t="s">
        <v>1589</v>
      </c>
    </row>
    <row r="10" spans="1:12">
      <c r="A10" s="1">
        <v>5</v>
      </c>
      <c r="B10" s="519">
        <v>45810</v>
      </c>
      <c r="C10" s="520" t="s">
        <v>3802</v>
      </c>
      <c r="D10" s="521" t="s">
        <v>3803</v>
      </c>
      <c r="E10" s="3" t="s">
        <v>3804</v>
      </c>
      <c r="F10" s="3">
        <v>229</v>
      </c>
      <c r="G10" s="1" t="s">
        <v>148</v>
      </c>
      <c r="H10" s="3"/>
      <c r="I10" s="20" t="s">
        <v>331</v>
      </c>
      <c r="J10" s="3"/>
      <c r="K10" s="1" t="s">
        <v>1563</v>
      </c>
    </row>
    <row r="11" spans="1:12">
      <c r="A11" s="1">
        <v>6</v>
      </c>
      <c r="B11" s="519">
        <v>45810</v>
      </c>
      <c r="C11" s="520" t="s">
        <v>3805</v>
      </c>
      <c r="D11" s="521" t="s">
        <v>3806</v>
      </c>
      <c r="E11" s="3" t="s">
        <v>3807</v>
      </c>
      <c r="F11" s="3">
        <v>229</v>
      </c>
      <c r="G11" s="1" t="s">
        <v>148</v>
      </c>
      <c r="H11" s="3"/>
      <c r="I11" s="20" t="s">
        <v>331</v>
      </c>
      <c r="J11" s="3"/>
      <c r="K11" s="1" t="s">
        <v>1563</v>
      </c>
    </row>
    <row r="12" spans="1:12">
      <c r="A12" s="1">
        <v>7</v>
      </c>
      <c r="B12" s="519">
        <v>45811</v>
      </c>
      <c r="C12" s="520" t="s">
        <v>3796</v>
      </c>
      <c r="D12" s="521" t="s">
        <v>3797</v>
      </c>
      <c r="E12" s="3" t="s">
        <v>3808</v>
      </c>
      <c r="F12" s="3">
        <v>299</v>
      </c>
      <c r="G12" s="1" t="s">
        <v>148</v>
      </c>
      <c r="H12" s="3">
        <v>1.7424997</v>
      </c>
      <c r="I12" s="20" t="s">
        <v>2056</v>
      </c>
      <c r="J12" s="519">
        <v>45811</v>
      </c>
      <c r="K12" s="1" t="s">
        <v>1589</v>
      </c>
    </row>
    <row r="13" spans="1:12">
      <c r="A13" s="1">
        <v>8</v>
      </c>
      <c r="B13" s="519">
        <v>45811</v>
      </c>
      <c r="C13" s="520" t="s">
        <v>3809</v>
      </c>
      <c r="D13" s="521" t="s">
        <v>3810</v>
      </c>
      <c r="E13" s="3" t="s">
        <v>3811</v>
      </c>
      <c r="F13" s="3">
        <v>229</v>
      </c>
      <c r="G13" s="1" t="s">
        <v>148</v>
      </c>
      <c r="H13" s="3">
        <v>1.10749915</v>
      </c>
      <c r="I13" s="20" t="s">
        <v>2056</v>
      </c>
      <c r="J13" s="519">
        <v>45811</v>
      </c>
      <c r="K13" s="1" t="s">
        <v>1589</v>
      </c>
    </row>
    <row r="14" spans="1:12">
      <c r="A14" s="1">
        <v>9</v>
      </c>
      <c r="B14" s="519">
        <v>45812</v>
      </c>
      <c r="C14" s="520" t="s">
        <v>3812</v>
      </c>
      <c r="D14" s="521" t="s">
        <v>3813</v>
      </c>
      <c r="E14" s="3" t="s">
        <v>3814</v>
      </c>
      <c r="F14" s="3">
        <v>229</v>
      </c>
      <c r="G14" s="1" t="s">
        <v>148</v>
      </c>
      <c r="H14" s="3"/>
      <c r="I14" s="3" t="s">
        <v>2056</v>
      </c>
      <c r="J14" s="519">
        <v>45813</v>
      </c>
      <c r="K14" s="1" t="s">
        <v>1589</v>
      </c>
    </row>
    <row r="15" spans="1:12">
      <c r="A15" s="1">
        <v>10</v>
      </c>
      <c r="B15" s="519">
        <v>45812</v>
      </c>
      <c r="C15" s="520" t="s">
        <v>3815</v>
      </c>
      <c r="D15" s="521" t="s">
        <v>3816</v>
      </c>
      <c r="E15" s="3" t="s">
        <v>3817</v>
      </c>
      <c r="F15" s="3">
        <v>229</v>
      </c>
      <c r="G15" s="1" t="s">
        <v>148</v>
      </c>
      <c r="H15" s="3"/>
      <c r="I15" s="20" t="s">
        <v>2056</v>
      </c>
      <c r="J15" s="519">
        <v>45812</v>
      </c>
      <c r="K15" s="1" t="s">
        <v>1589</v>
      </c>
    </row>
    <row r="16" spans="1:12">
      <c r="A16" s="1">
        <v>11</v>
      </c>
      <c r="B16" s="519">
        <v>45817</v>
      </c>
      <c r="C16" s="73" t="s">
        <v>3818</v>
      </c>
      <c r="D16" s="521" t="s">
        <v>3819</v>
      </c>
      <c r="E16" s="3" t="s">
        <v>3820</v>
      </c>
      <c r="F16" s="3">
        <v>229</v>
      </c>
      <c r="G16" s="1" t="s">
        <v>148</v>
      </c>
      <c r="H16" s="522"/>
      <c r="I16" s="3" t="s">
        <v>2056</v>
      </c>
      <c r="J16" s="519">
        <v>45817</v>
      </c>
      <c r="K16" s="1" t="s">
        <v>1589</v>
      </c>
    </row>
    <row r="17" spans="1:13">
      <c r="A17" s="1">
        <v>12</v>
      </c>
      <c r="B17" s="519">
        <v>45818</v>
      </c>
      <c r="C17" s="73" t="s">
        <v>3821</v>
      </c>
      <c r="D17" s="521" t="s">
        <v>3822</v>
      </c>
      <c r="E17" s="3" t="s">
        <v>3823</v>
      </c>
      <c r="F17" s="3">
        <v>229</v>
      </c>
      <c r="G17" s="1" t="s">
        <v>148</v>
      </c>
      <c r="H17" s="523"/>
      <c r="I17" s="3" t="s">
        <v>2056</v>
      </c>
      <c r="J17" s="519">
        <v>45819</v>
      </c>
      <c r="K17" s="73" t="s">
        <v>1589</v>
      </c>
    </row>
    <row r="18" spans="1:13" ht="21.5" customHeight="1">
      <c r="A18" s="505" t="s">
        <v>3315</v>
      </c>
      <c r="B18" s="504" t="s">
        <v>3316</v>
      </c>
      <c r="C18" s="504" t="s">
        <v>3590</v>
      </c>
      <c r="D18" s="535" t="s">
        <v>3591</v>
      </c>
      <c r="E18" s="504" t="s">
        <v>3321</v>
      </c>
      <c r="F18" s="504" t="s">
        <v>3592</v>
      </c>
      <c r="G18" s="504" t="s">
        <v>3320</v>
      </c>
      <c r="H18" s="504" t="s">
        <v>3593</v>
      </c>
      <c r="I18" s="504" t="s">
        <v>3750</v>
      </c>
      <c r="J18" s="504" t="s">
        <v>3595</v>
      </c>
      <c r="K18" s="503" t="s">
        <v>3315</v>
      </c>
      <c r="L18" s="538" t="s">
        <v>3149</v>
      </c>
      <c r="M18" s="539" t="e">
        <v>#N/A</v>
      </c>
    </row>
    <row r="19" spans="1:13">
      <c r="A19" s="498">
        <v>45809</v>
      </c>
      <c r="B19" s="73" t="s">
        <v>3772</v>
      </c>
      <c r="C19" s="73" t="s">
        <v>3714</v>
      </c>
      <c r="D19" s="413">
        <v>784197563251350</v>
      </c>
      <c r="E19" s="73">
        <v>229</v>
      </c>
      <c r="F19" s="73">
        <v>566217579</v>
      </c>
      <c r="G19" s="73" t="s">
        <v>3773</v>
      </c>
      <c r="H19" s="73" t="s">
        <v>3598</v>
      </c>
      <c r="I19" s="73" t="s">
        <v>3774</v>
      </c>
      <c r="J19" s="73">
        <v>1.7426164</v>
      </c>
      <c r="K19" s="540">
        <v>45811</v>
      </c>
      <c r="L19" s="541" t="e">
        <v>#N/A</v>
      </c>
      <c r="M19" s="542" t="e">
        <v>#N/A</v>
      </c>
    </row>
    <row r="20" spans="1:13">
      <c r="A20" s="498">
        <v>45817</v>
      </c>
      <c r="B20" s="73" t="s">
        <v>3775</v>
      </c>
      <c r="C20" s="73" t="s">
        <v>3718</v>
      </c>
      <c r="D20" s="413">
        <v>784198184874711</v>
      </c>
      <c r="E20" s="73">
        <v>229</v>
      </c>
      <c r="F20" s="73">
        <v>554683001</v>
      </c>
      <c r="G20" s="73" t="s">
        <v>3776</v>
      </c>
      <c r="H20" s="73" t="s">
        <v>3598</v>
      </c>
      <c r="I20" s="73"/>
      <c r="J20" s="73">
        <v>1.7440892800000001</v>
      </c>
      <c r="K20" s="540">
        <v>45817</v>
      </c>
      <c r="L20" s="541" t="e">
        <v>#N/A</v>
      </c>
      <c r="M20" s="542" t="e">
        <v>#N/A</v>
      </c>
    </row>
    <row r="21" spans="1:13">
      <c r="A21" s="498">
        <v>45819</v>
      </c>
      <c r="B21" s="359" t="s">
        <v>3777</v>
      </c>
      <c r="C21" s="73" t="s">
        <v>3380</v>
      </c>
      <c r="D21" s="413">
        <v>784199190704876</v>
      </c>
      <c r="E21" s="73">
        <v>229</v>
      </c>
      <c r="F21" s="359">
        <v>521173045</v>
      </c>
      <c r="G21" s="359" t="s">
        <v>3778</v>
      </c>
      <c r="H21" s="359" t="s">
        <v>3598</v>
      </c>
      <c r="I21" s="73" t="s">
        <v>3774</v>
      </c>
      <c r="J21" s="73">
        <v>1.43221815</v>
      </c>
      <c r="K21" s="540">
        <v>45819</v>
      </c>
      <c r="L21" s="541" t="e">
        <v>#N/A</v>
      </c>
      <c r="M21" s="542" t="e">
        <v>#N/A</v>
      </c>
    </row>
    <row r="22" spans="1:13">
      <c r="A22" s="498">
        <v>45822</v>
      </c>
      <c r="B22" s="73" t="s">
        <v>3861</v>
      </c>
      <c r="C22" s="73" t="s">
        <v>3380</v>
      </c>
      <c r="D22" s="413">
        <v>784199354547111</v>
      </c>
      <c r="E22" s="73">
        <v>229</v>
      </c>
      <c r="F22" s="73">
        <v>554408892</v>
      </c>
      <c r="G22" s="73" t="s">
        <v>3862</v>
      </c>
      <c r="H22" s="73" t="s">
        <v>3598</v>
      </c>
      <c r="I22" s="73"/>
      <c r="J22" s="73">
        <v>1.7454374399999999</v>
      </c>
      <c r="K22" s="540">
        <v>45824</v>
      </c>
      <c r="L22" s="541" t="e">
        <v>#N/A</v>
      </c>
      <c r="M22" s="542" t="e">
        <v>#N/A</v>
      </c>
    </row>
    <row r="23" spans="1:13">
      <c r="A23" s="498">
        <v>45823</v>
      </c>
      <c r="B23" s="359" t="s">
        <v>3863</v>
      </c>
      <c r="C23" s="359" t="s">
        <v>3338</v>
      </c>
      <c r="D23" s="413">
        <v>784199781919073</v>
      </c>
      <c r="E23" s="73">
        <v>229</v>
      </c>
      <c r="F23" s="73">
        <v>528037242</v>
      </c>
      <c r="G23" s="359" t="s">
        <v>3864</v>
      </c>
      <c r="H23" s="359" t="s">
        <v>3598</v>
      </c>
      <c r="I23" s="73" t="s">
        <v>3774</v>
      </c>
      <c r="J23" s="73">
        <v>1.7453089100000001</v>
      </c>
      <c r="K23" s="540">
        <v>45824</v>
      </c>
      <c r="L23" s="541" t="e">
        <v>#N/A</v>
      </c>
      <c r="M23" s="542" t="e">
        <v>#N/A</v>
      </c>
    </row>
    <row r="24" spans="1:13">
      <c r="A24" s="498">
        <v>45827</v>
      </c>
      <c r="B24" s="73" t="s">
        <v>3865</v>
      </c>
      <c r="C24" s="73" t="s">
        <v>3866</v>
      </c>
      <c r="D24" s="413">
        <v>784200246581712</v>
      </c>
      <c r="E24" s="73">
        <v>229</v>
      </c>
      <c r="F24" s="73">
        <v>509602177</v>
      </c>
      <c r="G24" s="73" t="s">
        <v>3867</v>
      </c>
      <c r="H24" s="73" t="s">
        <v>3598</v>
      </c>
      <c r="I24" s="73" t="s">
        <v>3774</v>
      </c>
      <c r="J24" s="73">
        <v>1.74604778</v>
      </c>
      <c r="K24" s="540">
        <v>45827</v>
      </c>
      <c r="L24" s="541" t="e">
        <v>#N/A</v>
      </c>
      <c r="M24" s="542" t="e">
        <v>#N/A</v>
      </c>
    </row>
    <row r="25" spans="1:13">
      <c r="A25" s="498">
        <v>45829</v>
      </c>
      <c r="B25" s="359" t="s">
        <v>3868</v>
      </c>
      <c r="C25" s="359" t="s">
        <v>3380</v>
      </c>
      <c r="D25" s="413">
        <v>784197726197599</v>
      </c>
      <c r="E25" s="73">
        <v>229</v>
      </c>
      <c r="F25" s="73">
        <v>525191675</v>
      </c>
      <c r="G25" s="359" t="s">
        <v>3869</v>
      </c>
      <c r="H25" s="359" t="s">
        <v>3598</v>
      </c>
      <c r="I25" s="73" t="s">
        <v>3774</v>
      </c>
      <c r="J25" s="73">
        <v>1.7464161899999999</v>
      </c>
      <c r="K25" s="540">
        <v>45829</v>
      </c>
      <c r="L25" s="541" t="e">
        <v>#N/A</v>
      </c>
      <c r="M25" s="542" t="e">
        <v>#N/A</v>
      </c>
    </row>
    <row r="26" spans="1:13">
      <c r="A26" s="492">
        <v>45831</v>
      </c>
      <c r="B26" s="543" t="s">
        <v>3870</v>
      </c>
      <c r="C26" s="543" t="s">
        <v>3380</v>
      </c>
      <c r="D26" s="544">
        <v>78419884177296</v>
      </c>
      <c r="E26" s="494">
        <v>229</v>
      </c>
      <c r="F26" s="494">
        <v>509759298</v>
      </c>
      <c r="G26" s="543" t="s">
        <v>3871</v>
      </c>
      <c r="H26" s="543" t="s">
        <v>3598</v>
      </c>
      <c r="I26" s="494" t="s">
        <v>3774</v>
      </c>
      <c r="J26" s="494">
        <v>1.7468170300000001</v>
      </c>
      <c r="K26" s="545">
        <v>45831</v>
      </c>
      <c r="L26" s="546" t="s">
        <v>3732</v>
      </c>
      <c r="M26" s="547" t="e">
        <v>#N/A</v>
      </c>
    </row>
    <row r="27" spans="1:13">
      <c r="A27" s="498">
        <v>45832</v>
      </c>
      <c r="B27" s="359" t="s">
        <v>3872</v>
      </c>
      <c r="C27" s="359" t="s">
        <v>3380</v>
      </c>
      <c r="D27" s="413">
        <v>784199129054856</v>
      </c>
      <c r="E27" s="73">
        <v>229</v>
      </c>
      <c r="F27" s="73">
        <v>528142487</v>
      </c>
      <c r="G27" s="359" t="s">
        <v>3873</v>
      </c>
      <c r="H27" s="359" t="s">
        <v>3598</v>
      </c>
      <c r="I27" s="73" t="s">
        <v>3774</v>
      </c>
      <c r="J27" s="73">
        <v>1.7469659</v>
      </c>
      <c r="K27" s="540">
        <v>45832</v>
      </c>
      <c r="L27" s="541" t="e">
        <v>#N/A</v>
      </c>
      <c r="M27" s="542" t="e">
        <v>#N/A</v>
      </c>
    </row>
    <row r="28" spans="1:13">
      <c r="A28" s="492">
        <v>45834</v>
      </c>
      <c r="B28" s="543" t="s">
        <v>3874</v>
      </c>
      <c r="C28" s="543" t="s">
        <v>3875</v>
      </c>
      <c r="D28" s="544">
        <v>784199010716480</v>
      </c>
      <c r="E28" s="494">
        <v>299</v>
      </c>
      <c r="F28" s="494">
        <v>564305523</v>
      </c>
      <c r="G28" s="543" t="s">
        <v>3876</v>
      </c>
      <c r="H28" s="543" t="s">
        <v>3598</v>
      </c>
      <c r="I28" s="494" t="s">
        <v>3774</v>
      </c>
      <c r="J28" s="494">
        <v>1.7472747099999999</v>
      </c>
      <c r="K28" s="545">
        <v>45838</v>
      </c>
      <c r="L28" s="546" t="e">
        <v>#N/A</v>
      </c>
      <c r="M28" s="547">
        <v>45840</v>
      </c>
    </row>
  </sheetData>
  <conditionalFormatting sqref="B18">
    <cfRule type="duplicateValues" dxfId="264" priority="15"/>
    <cfRule type="duplicateValues" dxfId="263" priority="11"/>
    <cfRule type="duplicateValues" dxfId="262" priority="14"/>
    <cfRule type="duplicateValues" dxfId="261" priority="16"/>
    <cfRule type="duplicateValues" dxfId="260" priority="17"/>
    <cfRule type="duplicateValues" dxfId="259" priority="27"/>
    <cfRule type="duplicateValues" dxfId="258" priority="22"/>
    <cfRule type="duplicateValues" dxfId="257" priority="28"/>
  </conditionalFormatting>
  <conditionalFormatting sqref="B18:B28">
    <cfRule type="duplicateValues" dxfId="256" priority="3"/>
    <cfRule type="duplicateValues" dxfId="255" priority="4"/>
    <cfRule type="duplicateValues" dxfId="254" priority="8"/>
  </conditionalFormatting>
  <conditionalFormatting sqref="C1">
    <cfRule type="duplicateValues" dxfId="253" priority="43"/>
    <cfRule type="duplicateValues" dxfId="252" priority="42"/>
    <cfRule type="duplicateValues" dxfId="251" priority="39"/>
    <cfRule type="duplicateValues" dxfId="250" priority="44"/>
    <cfRule type="duplicateValues" dxfId="249" priority="45"/>
    <cfRule type="duplicateValues" dxfId="248" priority="50"/>
    <cfRule type="duplicateValues" dxfId="247" priority="55"/>
    <cfRule type="duplicateValues" dxfId="246" priority="56"/>
  </conditionalFormatting>
  <conditionalFormatting sqref="C1:C4">
    <cfRule type="duplicateValues" dxfId="245" priority="36"/>
  </conditionalFormatting>
  <conditionalFormatting sqref="F5">
    <cfRule type="duplicateValues" dxfId="244" priority="32"/>
    <cfRule type="duplicateValues" dxfId="243" priority="31"/>
  </conditionalFormatting>
  <conditionalFormatting sqref="F18">
    <cfRule type="duplicateValues" dxfId="242" priority="29"/>
    <cfRule type="duplicateValues" dxfId="241" priority="18"/>
    <cfRule type="duplicateValues" dxfId="240" priority="19"/>
  </conditionalFormatting>
  <conditionalFormatting sqref="F18:F28">
    <cfRule type="duplicateValues" dxfId="239" priority="10"/>
  </conditionalFormatting>
  <conditionalFormatting sqref="F18:G18 B18 D18">
    <cfRule type="duplicateValues" dxfId="238" priority="13"/>
  </conditionalFormatting>
  <conditionalFormatting sqref="F18:G18">
    <cfRule type="duplicateValues" dxfId="237" priority="30"/>
  </conditionalFormatting>
  <conditionalFormatting sqref="G1">
    <cfRule type="duplicateValues" dxfId="236" priority="46"/>
    <cfRule type="duplicateValues" dxfId="235" priority="47"/>
    <cfRule type="duplicateValues" dxfId="234" priority="57"/>
  </conditionalFormatting>
  <conditionalFormatting sqref="G1:G4">
    <cfRule type="duplicateValues" dxfId="233" priority="38"/>
  </conditionalFormatting>
  <conditionalFormatting sqref="G18">
    <cfRule type="duplicateValues" dxfId="232" priority="21"/>
    <cfRule type="duplicateValues" dxfId="231" priority="24"/>
    <cfRule type="duplicateValues" dxfId="230" priority="25"/>
    <cfRule type="duplicateValues" dxfId="229" priority="23"/>
    <cfRule type="duplicateValues" dxfId="228" priority="12"/>
    <cfRule type="duplicateValues" dxfId="227" priority="20"/>
  </conditionalFormatting>
  <conditionalFormatting sqref="G18:G28">
    <cfRule type="duplicateValues" dxfId="226" priority="6"/>
    <cfRule type="duplicateValues" dxfId="225" priority="5"/>
    <cfRule type="duplicateValues" dxfId="224" priority="2"/>
    <cfRule type="duplicateValues" dxfId="223" priority="1"/>
    <cfRule type="duplicateValues" dxfId="222" priority="9"/>
    <cfRule type="duplicateValues" dxfId="221" priority="7"/>
  </conditionalFormatting>
  <conditionalFormatting sqref="G1:H1 C1 E1">
    <cfRule type="duplicateValues" dxfId="220" priority="41"/>
  </conditionalFormatting>
  <conditionalFormatting sqref="G1:H1">
    <cfRule type="duplicateValues" dxfId="219" priority="58"/>
  </conditionalFormatting>
  <conditionalFormatting sqref="H1">
    <cfRule type="duplicateValues" dxfId="218" priority="40"/>
    <cfRule type="duplicateValues" dxfId="217" priority="48"/>
    <cfRule type="duplicateValues" dxfId="216" priority="49"/>
    <cfRule type="duplicateValues" dxfId="215" priority="52"/>
    <cfRule type="duplicateValues" dxfId="214" priority="53"/>
    <cfRule type="duplicateValues" dxfId="213" priority="51"/>
  </conditionalFormatting>
  <conditionalFormatting sqref="H1:H4">
    <cfRule type="duplicateValues" dxfId="212" priority="33"/>
    <cfRule type="duplicateValues" dxfId="211" priority="34"/>
    <cfRule type="duplicateValues" dxfId="210" priority="35"/>
    <cfRule type="duplicateValues" dxfId="209" priority="37"/>
  </conditionalFormatting>
  <conditionalFormatting sqref="K18">
    <cfRule type="duplicateValues" dxfId="208" priority="26"/>
  </conditionalFormatting>
  <conditionalFormatting sqref="L1">
    <cfRule type="duplicateValues" dxfId="207" priority="54"/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K29"/>
  <sheetViews>
    <sheetView topLeftCell="A19" workbookViewId="0">
      <selection activeCell="D28" sqref="D28"/>
    </sheetView>
  </sheetViews>
  <sheetFormatPr defaultRowHeight="14.5"/>
  <cols>
    <col min="1" max="1" width="8.26953125" bestFit="1" customWidth="1"/>
    <col min="2" max="2" width="21.90625" bestFit="1" customWidth="1"/>
    <col min="3" max="3" width="10.08984375" bestFit="1" customWidth="1"/>
    <col min="4" max="4" width="21.90625" bestFit="1" customWidth="1"/>
    <col min="6" max="6" width="10.1796875" bestFit="1" customWidth="1"/>
    <col min="7" max="7" width="12.1796875" bestFit="1" customWidth="1"/>
  </cols>
  <sheetData>
    <row r="1" spans="1:9">
      <c r="A1" s="554" t="s">
        <v>3881</v>
      </c>
      <c r="B1" s="554" t="s">
        <v>2634</v>
      </c>
      <c r="C1" s="554" t="s">
        <v>1668</v>
      </c>
      <c r="D1" s="554" t="s">
        <v>2637</v>
      </c>
      <c r="E1" s="117" t="s">
        <v>2636</v>
      </c>
      <c r="F1" s="117" t="s">
        <v>3882</v>
      </c>
      <c r="G1" s="554" t="s">
        <v>3883</v>
      </c>
      <c r="H1" s="554" t="s">
        <v>1882</v>
      </c>
      <c r="I1" s="554" t="s">
        <v>3884</v>
      </c>
    </row>
    <row r="2" spans="1:9">
      <c r="A2">
        <v>127</v>
      </c>
      <c r="B2" t="s">
        <v>148</v>
      </c>
      <c r="C2">
        <v>45664</v>
      </c>
      <c r="D2" t="s">
        <v>3885</v>
      </c>
      <c r="E2" s="5" t="s">
        <v>3886</v>
      </c>
      <c r="F2" s="5">
        <v>545215261</v>
      </c>
      <c r="G2">
        <v>1.74820351</v>
      </c>
      <c r="H2">
        <v>229</v>
      </c>
      <c r="I2" s="555" t="s">
        <v>3887</v>
      </c>
    </row>
    <row r="3" spans="1:9">
      <c r="A3">
        <v>154</v>
      </c>
      <c r="B3" t="s">
        <v>148</v>
      </c>
      <c r="C3">
        <v>45695</v>
      </c>
      <c r="D3" t="s">
        <v>3888</v>
      </c>
      <c r="E3" s="5" t="s">
        <v>3889</v>
      </c>
      <c r="F3" s="5">
        <v>551439750</v>
      </c>
      <c r="G3">
        <v>1.7480027</v>
      </c>
      <c r="H3">
        <v>299</v>
      </c>
      <c r="I3" s="556" t="s">
        <v>255</v>
      </c>
    </row>
    <row r="4" spans="1:9">
      <c r="A4">
        <v>163</v>
      </c>
      <c r="B4" t="s">
        <v>148</v>
      </c>
      <c r="C4">
        <v>45695</v>
      </c>
      <c r="D4" t="s">
        <v>3890</v>
      </c>
      <c r="E4" s="5" t="s">
        <v>3891</v>
      </c>
      <c r="F4" s="5">
        <v>554879818</v>
      </c>
      <c r="G4">
        <v>1.7483277500000001</v>
      </c>
      <c r="H4">
        <v>229</v>
      </c>
      <c r="I4" s="555" t="s">
        <v>3887</v>
      </c>
    </row>
    <row r="5" spans="1:9">
      <c r="A5">
        <v>167</v>
      </c>
      <c r="B5" t="s">
        <v>148</v>
      </c>
      <c r="C5">
        <v>45695</v>
      </c>
      <c r="D5" t="s">
        <v>3892</v>
      </c>
      <c r="E5" s="5" t="s">
        <v>3893</v>
      </c>
      <c r="F5" s="5">
        <v>524139838</v>
      </c>
      <c r="G5">
        <v>1.7483331099999999</v>
      </c>
      <c r="H5">
        <v>229</v>
      </c>
      <c r="I5" s="555" t="s">
        <v>3887</v>
      </c>
    </row>
    <row r="6" spans="1:9">
      <c r="A6">
        <v>186</v>
      </c>
      <c r="B6" t="s">
        <v>148</v>
      </c>
      <c r="C6">
        <v>45695</v>
      </c>
      <c r="D6" t="s">
        <v>3894</v>
      </c>
      <c r="E6" s="5" t="s">
        <v>3895</v>
      </c>
      <c r="F6" s="5">
        <v>508034621</v>
      </c>
      <c r="G6">
        <v>1.74838154</v>
      </c>
      <c r="H6">
        <v>229</v>
      </c>
      <c r="I6" s="555" t="s">
        <v>3887</v>
      </c>
    </row>
    <row r="7" spans="1:9">
      <c r="A7">
        <v>193</v>
      </c>
      <c r="B7" t="s">
        <v>148</v>
      </c>
      <c r="C7">
        <v>45695</v>
      </c>
      <c r="D7" t="s">
        <v>3896</v>
      </c>
      <c r="E7" s="5" t="s">
        <v>3897</v>
      </c>
      <c r="F7" s="5">
        <v>588835042</v>
      </c>
      <c r="G7">
        <v>1.7483959200000001</v>
      </c>
      <c r="H7">
        <v>229</v>
      </c>
      <c r="I7" s="555" t="s">
        <v>3887</v>
      </c>
    </row>
    <row r="8" spans="1:9">
      <c r="A8">
        <v>216</v>
      </c>
      <c r="B8" t="s">
        <v>148</v>
      </c>
      <c r="C8">
        <v>45723</v>
      </c>
      <c r="D8" t="s">
        <v>3898</v>
      </c>
      <c r="E8" s="5" t="s">
        <v>3899</v>
      </c>
      <c r="F8" s="5">
        <v>566736274</v>
      </c>
      <c r="G8">
        <v>1.7484858700000001</v>
      </c>
      <c r="H8">
        <v>229</v>
      </c>
      <c r="I8" s="555" t="s">
        <v>3887</v>
      </c>
    </row>
    <row r="9" spans="1:9">
      <c r="A9">
        <v>237</v>
      </c>
      <c r="B9" t="s">
        <v>148</v>
      </c>
      <c r="C9">
        <v>45723</v>
      </c>
      <c r="D9" t="s">
        <v>3900</v>
      </c>
      <c r="E9" s="5" t="s">
        <v>3901</v>
      </c>
      <c r="F9" s="5">
        <v>553677718</v>
      </c>
      <c r="G9">
        <v>1.7485091399999999</v>
      </c>
      <c r="H9">
        <v>229</v>
      </c>
      <c r="I9" s="555" t="s">
        <v>3887</v>
      </c>
    </row>
    <row r="10" spans="1:9">
      <c r="A10">
        <v>284</v>
      </c>
      <c r="B10" t="s">
        <v>148</v>
      </c>
      <c r="C10">
        <v>45754</v>
      </c>
      <c r="D10" t="s">
        <v>3902</v>
      </c>
      <c r="E10" s="5" t="s">
        <v>3903</v>
      </c>
      <c r="F10" s="5">
        <v>502628492</v>
      </c>
      <c r="G10">
        <v>1.7486695299999999</v>
      </c>
      <c r="H10">
        <v>229</v>
      </c>
      <c r="I10" s="556" t="s">
        <v>255</v>
      </c>
    </row>
    <row r="11" spans="1:9">
      <c r="A11">
        <v>294</v>
      </c>
      <c r="B11" t="s">
        <v>148</v>
      </c>
      <c r="C11">
        <v>45754</v>
      </c>
      <c r="D11" t="s">
        <v>3904</v>
      </c>
      <c r="E11" s="5" t="s">
        <v>3905</v>
      </c>
      <c r="F11" s="5">
        <v>509602177</v>
      </c>
      <c r="G11">
        <v>1.5769130099999999</v>
      </c>
      <c r="H11">
        <v>229</v>
      </c>
      <c r="I11" s="555" t="s">
        <v>3887</v>
      </c>
    </row>
    <row r="12" spans="1:9">
      <c r="A12">
        <v>446</v>
      </c>
      <c r="B12" t="s">
        <v>148</v>
      </c>
      <c r="C12">
        <v>45845</v>
      </c>
      <c r="D12" t="s">
        <v>3906</v>
      </c>
      <c r="E12" s="5" t="s">
        <v>3907</v>
      </c>
      <c r="F12" s="5">
        <v>509602177</v>
      </c>
      <c r="G12">
        <v>1.74922807</v>
      </c>
      <c r="H12">
        <v>229</v>
      </c>
      <c r="I12" s="556" t="s">
        <v>255</v>
      </c>
    </row>
    <row r="13" spans="1:9">
      <c r="A13">
        <v>497</v>
      </c>
      <c r="B13" t="s">
        <v>148</v>
      </c>
      <c r="C13">
        <v>45876</v>
      </c>
      <c r="D13" t="s">
        <v>3908</v>
      </c>
      <c r="E13" s="5" t="s">
        <v>3909</v>
      </c>
      <c r="F13" s="5">
        <v>568775902</v>
      </c>
      <c r="G13">
        <v>1.7493999099999999</v>
      </c>
      <c r="H13">
        <v>229</v>
      </c>
      <c r="I13" s="555" t="s">
        <v>3887</v>
      </c>
    </row>
    <row r="14" spans="1:9">
      <c r="A14">
        <v>571</v>
      </c>
      <c r="B14" t="s">
        <v>148</v>
      </c>
      <c r="C14">
        <v>45907</v>
      </c>
      <c r="D14" t="s">
        <v>3910</v>
      </c>
      <c r="E14" s="5" t="s">
        <v>3911</v>
      </c>
      <c r="F14" s="5">
        <v>501325328</v>
      </c>
      <c r="G14">
        <v>1.7495938099999999</v>
      </c>
      <c r="H14">
        <v>229</v>
      </c>
      <c r="I14" s="555" t="s">
        <v>3887</v>
      </c>
    </row>
    <row r="15" spans="1:9">
      <c r="A15">
        <v>683</v>
      </c>
      <c r="B15" t="s">
        <v>148</v>
      </c>
      <c r="C15">
        <v>45968</v>
      </c>
      <c r="D15" t="s">
        <v>3912</v>
      </c>
      <c r="E15" s="5" t="s">
        <v>3913</v>
      </c>
      <c r="F15" s="5">
        <v>545932979</v>
      </c>
      <c r="G15">
        <v>1.1436814099999999</v>
      </c>
      <c r="H15">
        <v>229</v>
      </c>
      <c r="I15" s="556" t="s">
        <v>255</v>
      </c>
    </row>
    <row r="16" spans="1:9">
      <c r="A16">
        <v>739</v>
      </c>
      <c r="B16" t="s">
        <v>148</v>
      </c>
      <c r="C16" t="s">
        <v>3914</v>
      </c>
      <c r="D16" t="s">
        <v>3915</v>
      </c>
      <c r="E16" s="5" t="s">
        <v>3916</v>
      </c>
      <c r="F16" s="5">
        <v>543014480</v>
      </c>
      <c r="G16">
        <v>1.7503068399999999</v>
      </c>
      <c r="H16">
        <v>229</v>
      </c>
      <c r="I16" s="556" t="s">
        <v>255</v>
      </c>
    </row>
    <row r="17" spans="1:11">
      <c r="A17">
        <v>754</v>
      </c>
      <c r="B17" t="s">
        <v>148</v>
      </c>
      <c r="C17" t="s">
        <v>3914</v>
      </c>
      <c r="D17" t="s">
        <v>3917</v>
      </c>
      <c r="E17" s="5" t="s">
        <v>3918</v>
      </c>
      <c r="F17" s="5">
        <v>507674442</v>
      </c>
      <c r="G17">
        <v>1.17085884</v>
      </c>
      <c r="H17">
        <v>229</v>
      </c>
      <c r="I17" s="555" t="s">
        <v>3887</v>
      </c>
    </row>
    <row r="18" spans="1:11">
      <c r="A18">
        <v>844</v>
      </c>
      <c r="B18" t="s">
        <v>148</v>
      </c>
      <c r="C18" t="s">
        <v>3919</v>
      </c>
      <c r="D18" t="s">
        <v>3920</v>
      </c>
      <c r="E18" s="5" t="s">
        <v>3921</v>
      </c>
      <c r="F18" s="5">
        <v>547249391</v>
      </c>
      <c r="G18">
        <v>1.5662117</v>
      </c>
      <c r="H18">
        <v>229</v>
      </c>
      <c r="I18" s="555" t="s">
        <v>3887</v>
      </c>
    </row>
    <row r="19" spans="1:11">
      <c r="A19">
        <v>868</v>
      </c>
      <c r="B19" t="s">
        <v>148</v>
      </c>
      <c r="C19" t="s">
        <v>3922</v>
      </c>
      <c r="D19" t="s">
        <v>3923</v>
      </c>
      <c r="E19" s="5" t="s">
        <v>3924</v>
      </c>
      <c r="F19" s="5">
        <v>507997551</v>
      </c>
      <c r="G19">
        <v>1.7508914799999999</v>
      </c>
      <c r="H19">
        <v>229</v>
      </c>
      <c r="I19" s="555" t="s">
        <v>3887</v>
      </c>
    </row>
    <row r="20" spans="1:11">
      <c r="A20">
        <v>892</v>
      </c>
      <c r="B20" t="s">
        <v>148</v>
      </c>
      <c r="C20" t="s">
        <v>3922</v>
      </c>
      <c r="D20" t="s">
        <v>3925</v>
      </c>
      <c r="E20" s="5" t="s">
        <v>3926</v>
      </c>
      <c r="F20" s="5">
        <v>564669342</v>
      </c>
      <c r="G20">
        <v>1.75095106</v>
      </c>
      <c r="H20">
        <v>229</v>
      </c>
      <c r="I20" s="555" t="s">
        <v>3887</v>
      </c>
    </row>
    <row r="21" spans="1:11">
      <c r="A21">
        <v>936</v>
      </c>
      <c r="B21" t="s">
        <v>148</v>
      </c>
      <c r="C21" t="s">
        <v>3927</v>
      </c>
      <c r="D21" t="s">
        <v>503</v>
      </c>
      <c r="E21" s="5" t="s">
        <v>3928</v>
      </c>
      <c r="F21" s="5">
        <v>552770980</v>
      </c>
      <c r="G21">
        <v>1.27952372</v>
      </c>
      <c r="H21">
        <v>229</v>
      </c>
      <c r="I21" s="555" t="s">
        <v>3887</v>
      </c>
    </row>
    <row r="22" spans="1:11">
      <c r="A22">
        <v>1016</v>
      </c>
      <c r="B22" t="s">
        <v>148</v>
      </c>
      <c r="C22" t="s">
        <v>3929</v>
      </c>
      <c r="D22" t="s">
        <v>3930</v>
      </c>
      <c r="E22" s="5" t="s">
        <v>3931</v>
      </c>
      <c r="F22" s="5">
        <v>562273169</v>
      </c>
      <c r="G22">
        <v>1.1360353299999999</v>
      </c>
      <c r="H22">
        <v>229</v>
      </c>
      <c r="I22" s="555" t="s">
        <v>3887</v>
      </c>
    </row>
    <row r="23" spans="1:11">
      <c r="A23">
        <v>1031</v>
      </c>
      <c r="B23" t="s">
        <v>148</v>
      </c>
      <c r="C23" t="s">
        <v>3932</v>
      </c>
      <c r="D23" t="s">
        <v>3933</v>
      </c>
      <c r="E23" s="5" t="s">
        <v>3934</v>
      </c>
      <c r="F23" s="5">
        <v>526792100</v>
      </c>
      <c r="G23">
        <v>1.4811978299999999</v>
      </c>
      <c r="H23">
        <v>229</v>
      </c>
      <c r="I23" s="555" t="s">
        <v>3887</v>
      </c>
    </row>
    <row r="24" spans="1:11">
      <c r="A24">
        <v>1188</v>
      </c>
      <c r="B24" t="s">
        <v>148</v>
      </c>
      <c r="C24" t="s">
        <v>3935</v>
      </c>
      <c r="D24" t="s">
        <v>3936</v>
      </c>
      <c r="E24" s="5" t="s">
        <v>3937</v>
      </c>
      <c r="F24" s="5">
        <v>525280871</v>
      </c>
      <c r="G24">
        <v>1.75233163</v>
      </c>
      <c r="H24">
        <v>229</v>
      </c>
      <c r="I24" s="555" t="s">
        <v>3887</v>
      </c>
    </row>
    <row r="25" spans="1:11">
      <c r="A25">
        <v>1260</v>
      </c>
      <c r="B25" t="s">
        <v>148</v>
      </c>
      <c r="C25" t="s">
        <v>3938</v>
      </c>
      <c r="D25" t="s">
        <v>3939</v>
      </c>
      <c r="E25" s="5" t="s">
        <v>3940</v>
      </c>
      <c r="F25" s="5">
        <v>507806348</v>
      </c>
      <c r="G25">
        <v>1.7527058</v>
      </c>
      <c r="H25">
        <v>229</v>
      </c>
      <c r="I25" s="557" t="s">
        <v>3941</v>
      </c>
    </row>
    <row r="26" spans="1:11">
      <c r="A26">
        <v>1404</v>
      </c>
      <c r="B26" t="s">
        <v>148</v>
      </c>
      <c r="C26" t="s">
        <v>3942</v>
      </c>
      <c r="D26" t="s">
        <v>3943</v>
      </c>
      <c r="E26" s="5" t="s">
        <v>3944</v>
      </c>
      <c r="F26" s="5">
        <v>524015883</v>
      </c>
      <c r="G26">
        <v>1.75330334</v>
      </c>
      <c r="H26">
        <v>229</v>
      </c>
      <c r="I26" s="555" t="s">
        <v>3887</v>
      </c>
    </row>
    <row r="27" spans="1:11">
      <c r="A27">
        <v>1544</v>
      </c>
      <c r="B27" t="s">
        <v>148</v>
      </c>
      <c r="C27" t="s">
        <v>3945</v>
      </c>
      <c r="D27" t="s">
        <v>3946</v>
      </c>
      <c r="E27" s="5" t="s">
        <v>3947</v>
      </c>
      <c r="F27" s="5">
        <v>506744421</v>
      </c>
      <c r="G27">
        <v>1.50127028</v>
      </c>
      <c r="H27">
        <v>229</v>
      </c>
      <c r="I27" s="555" t="s">
        <v>3887</v>
      </c>
    </row>
    <row r="28" spans="1:11">
      <c r="A28" s="498">
        <v>45860</v>
      </c>
      <c r="C28" s="73"/>
      <c r="D28" s="73" t="s">
        <v>3948</v>
      </c>
      <c r="E28" s="73" t="s">
        <v>3949</v>
      </c>
      <c r="F28" s="73">
        <v>564220461</v>
      </c>
      <c r="G28" s="3">
        <v>1.75219502</v>
      </c>
      <c r="H28" s="73"/>
      <c r="I28" s="73"/>
      <c r="K28" s="3"/>
    </row>
    <row r="29" spans="1:11">
      <c r="A29" s="498">
        <v>45861</v>
      </c>
      <c r="C29" s="73"/>
      <c r="D29" s="73" t="s">
        <v>3950</v>
      </c>
      <c r="E29" s="73" t="s">
        <v>3951</v>
      </c>
      <c r="F29" s="73">
        <v>544040490</v>
      </c>
      <c r="G29" s="3">
        <v>1.7522506799999999</v>
      </c>
      <c r="H29" s="73"/>
      <c r="I29" s="73"/>
      <c r="K29" s="3"/>
    </row>
  </sheetData>
  <conditionalFormatting sqref="G1:G27">
    <cfRule type="duplicateValues" dxfId="206" priority="1"/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filterMode="1">
    <tabColor rgb="FFFFC000"/>
  </sheetPr>
  <dimension ref="A1:U32"/>
  <sheetViews>
    <sheetView topLeftCell="L8" zoomScale="70" workbookViewId="0">
      <selection activeCell="R20" sqref="R20"/>
    </sheetView>
  </sheetViews>
  <sheetFormatPr defaultRowHeight="14.5"/>
  <cols>
    <col min="1" max="1" width="6.1796875" bestFit="1" customWidth="1"/>
    <col min="2" max="2" width="8.36328125" bestFit="1" customWidth="1"/>
    <col min="3" max="3" width="10.6328125" bestFit="1" customWidth="1"/>
    <col min="4" max="4" width="22.81640625" bestFit="1" customWidth="1"/>
    <col min="5" max="5" width="16.26953125" bestFit="1" customWidth="1"/>
    <col min="6" max="6" width="13.08984375" bestFit="1" customWidth="1"/>
    <col min="7" max="7" width="5.6328125" bestFit="1" customWidth="1"/>
    <col min="8" max="8" width="14.81640625" bestFit="1" customWidth="1"/>
    <col min="9" max="9" width="5.90625" bestFit="1" customWidth="1"/>
    <col min="10" max="10" width="9.6328125" bestFit="1" customWidth="1"/>
    <col min="13" max="13" width="13.36328125" bestFit="1" customWidth="1"/>
    <col min="14" max="14" width="16.90625" bestFit="1" customWidth="1"/>
    <col min="15" max="15" width="13.7265625" bestFit="1" customWidth="1"/>
    <col min="16" max="16" width="37.08984375" bestFit="1" customWidth="1"/>
    <col min="17" max="17" width="15.7265625" bestFit="1" customWidth="1"/>
    <col min="19" max="19" width="15.7265625" bestFit="1" customWidth="1"/>
    <col min="21" max="21" width="14.54296875" bestFit="1" customWidth="1"/>
  </cols>
  <sheetData>
    <row r="1" spans="1:21" ht="31">
      <c r="A1" s="558" t="s">
        <v>3881</v>
      </c>
      <c r="B1" s="558" t="s">
        <v>2634</v>
      </c>
      <c r="C1" s="558" t="s">
        <v>1668</v>
      </c>
      <c r="D1" s="559" t="s">
        <v>2637</v>
      </c>
      <c r="E1" s="560" t="s">
        <v>2636</v>
      </c>
      <c r="F1" s="558" t="s">
        <v>3883</v>
      </c>
      <c r="G1" s="561" t="s">
        <v>1882</v>
      </c>
      <c r="H1" s="561" t="s">
        <v>3952</v>
      </c>
      <c r="I1" s="561"/>
      <c r="J1" s="561" t="s">
        <v>3884</v>
      </c>
      <c r="L1" s="5">
        <v>34</v>
      </c>
      <c r="M1" s="147" t="s">
        <v>148</v>
      </c>
      <c r="N1" s="563" t="s">
        <v>3938</v>
      </c>
      <c r="O1" s="99" t="s">
        <v>3940</v>
      </c>
      <c r="P1" s="577" t="s">
        <v>3939</v>
      </c>
      <c r="Q1" s="5">
        <v>507806348</v>
      </c>
      <c r="R1" s="5">
        <v>229</v>
      </c>
      <c r="S1" s="99">
        <v>1.7527058</v>
      </c>
      <c r="T1" s="5" t="s">
        <v>255</v>
      </c>
      <c r="U1" s="147" t="s">
        <v>255</v>
      </c>
    </row>
    <row r="2" spans="1:21" ht="21.5" customHeight="1">
      <c r="A2" s="562">
        <v>193</v>
      </c>
      <c r="B2" s="147" t="s">
        <v>148</v>
      </c>
      <c r="C2" s="563">
        <v>45665</v>
      </c>
      <c r="D2" s="564" t="s">
        <v>3953</v>
      </c>
      <c r="E2" s="565" t="s">
        <v>3954</v>
      </c>
      <c r="F2" s="566">
        <v>1.1759062499999999</v>
      </c>
      <c r="G2" s="567">
        <v>229</v>
      </c>
      <c r="H2" s="567" t="e">
        <v>#N/A</v>
      </c>
      <c r="I2" s="567" t="e">
        <v>#N/A</v>
      </c>
      <c r="J2" s="567" t="s">
        <v>3887</v>
      </c>
      <c r="L2" s="5">
        <v>193</v>
      </c>
      <c r="M2" s="147" t="s">
        <v>148</v>
      </c>
      <c r="N2" s="563">
        <v>45665</v>
      </c>
      <c r="O2" s="99" t="s">
        <v>3954</v>
      </c>
      <c r="P2" s="579" t="s">
        <v>3953</v>
      </c>
      <c r="Q2" s="5">
        <v>559915455</v>
      </c>
      <c r="R2" s="5">
        <v>229</v>
      </c>
      <c r="S2" s="99">
        <v>1.1759062499999999</v>
      </c>
      <c r="T2" s="3" t="s">
        <v>3887</v>
      </c>
      <c r="U2" s="5" t="s">
        <v>1585</v>
      </c>
    </row>
    <row r="3" spans="1:21" ht="20" customHeight="1">
      <c r="A3" s="562">
        <v>196</v>
      </c>
      <c r="B3" s="147" t="s">
        <v>148</v>
      </c>
      <c r="C3" s="563">
        <v>45665</v>
      </c>
      <c r="D3" s="564" t="s">
        <v>2101</v>
      </c>
      <c r="E3" s="565" t="s">
        <v>3955</v>
      </c>
      <c r="F3" s="566">
        <v>1.4938161000000001</v>
      </c>
      <c r="G3" s="567">
        <v>229</v>
      </c>
      <c r="H3" s="567" t="e">
        <v>#N/A</v>
      </c>
      <c r="I3" s="567" t="e">
        <v>#N/A</v>
      </c>
      <c r="J3" s="567" t="s">
        <v>3887</v>
      </c>
      <c r="L3" s="5">
        <v>196</v>
      </c>
      <c r="M3" s="147" t="s">
        <v>148</v>
      </c>
      <c r="N3" s="563">
        <v>45665</v>
      </c>
      <c r="O3" s="99" t="s">
        <v>3955</v>
      </c>
      <c r="P3" s="579" t="s">
        <v>2101</v>
      </c>
      <c r="Q3" s="5">
        <v>504741080</v>
      </c>
      <c r="R3" s="5">
        <v>229</v>
      </c>
      <c r="S3" s="99">
        <v>1.4938161000000001</v>
      </c>
      <c r="T3" s="3" t="s">
        <v>3887</v>
      </c>
      <c r="U3" s="5" t="s">
        <v>1585</v>
      </c>
    </row>
    <row r="4" spans="1:21" ht="20" hidden="1" customHeight="1">
      <c r="A4" s="562">
        <v>411</v>
      </c>
      <c r="B4" s="147" t="s">
        <v>148</v>
      </c>
      <c r="C4" s="563">
        <v>45816</v>
      </c>
      <c r="D4" s="3" t="s">
        <v>3956</v>
      </c>
      <c r="E4" s="565" t="s">
        <v>3957</v>
      </c>
      <c r="F4" s="566">
        <v>1.1384713500000001</v>
      </c>
      <c r="G4" s="567">
        <v>229</v>
      </c>
      <c r="H4" s="567" t="e">
        <v>#N/A</v>
      </c>
      <c r="I4" s="567" t="e">
        <v>#N/A</v>
      </c>
      <c r="J4" s="567" t="s">
        <v>3887</v>
      </c>
      <c r="L4" s="5">
        <v>325</v>
      </c>
      <c r="M4" s="147" t="s">
        <v>148</v>
      </c>
      <c r="N4" s="563">
        <v>45755</v>
      </c>
      <c r="O4" s="99" t="s">
        <v>4111</v>
      </c>
      <c r="P4" s="577" t="s">
        <v>4112</v>
      </c>
      <c r="Q4" s="5">
        <v>567626618</v>
      </c>
      <c r="R4" s="5">
        <v>229</v>
      </c>
      <c r="S4" s="99">
        <v>1.7547182100000001</v>
      </c>
      <c r="T4" s="3" t="s">
        <v>255</v>
      </c>
      <c r="U4" s="5" t="s">
        <v>255</v>
      </c>
    </row>
    <row r="5" spans="1:21" ht="20" customHeight="1">
      <c r="A5" s="562">
        <v>440</v>
      </c>
      <c r="B5" s="147" t="s">
        <v>148</v>
      </c>
      <c r="C5" s="563">
        <v>45816</v>
      </c>
      <c r="D5" s="3" t="s">
        <v>3958</v>
      </c>
      <c r="E5" s="565" t="s">
        <v>3959</v>
      </c>
      <c r="F5" s="566">
        <v>1.15506391</v>
      </c>
      <c r="G5" s="567">
        <v>229</v>
      </c>
      <c r="H5" s="567" t="e">
        <v>#N/A</v>
      </c>
      <c r="I5" s="567" t="e">
        <v>#N/A</v>
      </c>
      <c r="J5" s="567" t="s">
        <v>3887</v>
      </c>
      <c r="L5" s="5">
        <v>411</v>
      </c>
      <c r="M5" s="147" t="s">
        <v>148</v>
      </c>
      <c r="N5" s="563">
        <v>45816</v>
      </c>
      <c r="O5" s="99" t="s">
        <v>3957</v>
      </c>
      <c r="P5" s="579" t="s">
        <v>3956</v>
      </c>
      <c r="Q5" s="5">
        <v>501616136</v>
      </c>
      <c r="R5" s="5">
        <v>229</v>
      </c>
      <c r="S5" s="99">
        <v>1.1384713500000001</v>
      </c>
      <c r="T5" s="3" t="s">
        <v>3887</v>
      </c>
      <c r="U5" s="5" t="s">
        <v>1585</v>
      </c>
    </row>
    <row r="6" spans="1:21" ht="20" customHeight="1">
      <c r="A6" s="562">
        <v>518</v>
      </c>
      <c r="B6" s="147" t="s">
        <v>148</v>
      </c>
      <c r="C6" s="563">
        <v>45877</v>
      </c>
      <c r="D6" s="3" t="s">
        <v>3960</v>
      </c>
      <c r="E6" s="565" t="s">
        <v>3961</v>
      </c>
      <c r="F6" s="566">
        <v>1.7555485099999999</v>
      </c>
      <c r="G6" s="567">
        <v>229</v>
      </c>
      <c r="H6" s="567" t="e">
        <v>#N/A</v>
      </c>
      <c r="I6" s="567" t="e">
        <v>#N/A</v>
      </c>
      <c r="J6" s="567" t="s">
        <v>3887</v>
      </c>
      <c r="L6" s="5">
        <v>440</v>
      </c>
      <c r="M6" s="147" t="s">
        <v>148</v>
      </c>
      <c r="N6" s="563">
        <v>45816</v>
      </c>
      <c r="O6" s="99" t="s">
        <v>3959</v>
      </c>
      <c r="P6" s="579" t="s">
        <v>3958</v>
      </c>
      <c r="Q6" s="5">
        <v>553677718</v>
      </c>
      <c r="R6" s="5">
        <v>229</v>
      </c>
      <c r="S6" s="99">
        <v>1.15506391</v>
      </c>
      <c r="T6" s="3" t="s">
        <v>3887</v>
      </c>
      <c r="U6" s="5" t="s">
        <v>1585</v>
      </c>
    </row>
    <row r="7" spans="1:21" ht="20" customHeight="1">
      <c r="A7" s="562">
        <v>535</v>
      </c>
      <c r="B7" s="147" t="s">
        <v>148</v>
      </c>
      <c r="C7" s="563">
        <v>45908</v>
      </c>
      <c r="D7" s="3" t="s">
        <v>3962</v>
      </c>
      <c r="E7" s="565" t="s">
        <v>3963</v>
      </c>
      <c r="F7" s="566">
        <v>1.75571192</v>
      </c>
      <c r="G7" s="567">
        <v>229</v>
      </c>
      <c r="H7" s="567" t="s">
        <v>3964</v>
      </c>
      <c r="I7" s="567">
        <v>1</v>
      </c>
      <c r="J7" s="567" t="s">
        <v>3887</v>
      </c>
      <c r="L7" s="5">
        <v>518</v>
      </c>
      <c r="M7" s="147" t="s">
        <v>148</v>
      </c>
      <c r="N7" s="563">
        <v>45877</v>
      </c>
      <c r="O7" s="99" t="s">
        <v>3961</v>
      </c>
      <c r="P7" s="579" t="s">
        <v>3960</v>
      </c>
      <c r="Q7" s="5">
        <v>559031213</v>
      </c>
      <c r="R7" s="5">
        <v>229</v>
      </c>
      <c r="S7" s="99">
        <v>1.7555485099999999</v>
      </c>
      <c r="T7" s="3" t="s">
        <v>3887</v>
      </c>
      <c r="U7" s="5" t="s">
        <v>1585</v>
      </c>
    </row>
    <row r="8" spans="1:21" ht="20" customHeight="1">
      <c r="A8" s="562">
        <v>589</v>
      </c>
      <c r="B8" s="147" t="s">
        <v>148</v>
      </c>
      <c r="C8" s="563">
        <v>45938</v>
      </c>
      <c r="D8" s="3" t="s">
        <v>3965</v>
      </c>
      <c r="E8" s="565" t="s">
        <v>3966</v>
      </c>
      <c r="F8" s="566">
        <v>1.7559889500000001</v>
      </c>
      <c r="G8" s="567">
        <v>229</v>
      </c>
      <c r="H8" s="567" t="s">
        <v>3964</v>
      </c>
      <c r="I8" s="567">
        <v>1</v>
      </c>
      <c r="J8" s="567" t="s">
        <v>3887</v>
      </c>
      <c r="L8" s="5">
        <v>535</v>
      </c>
      <c r="M8" s="147" t="s">
        <v>148</v>
      </c>
      <c r="N8" s="563">
        <v>45908</v>
      </c>
      <c r="O8" s="99" t="s">
        <v>3963</v>
      </c>
      <c r="P8" s="579" t="s">
        <v>3962</v>
      </c>
      <c r="Q8" s="5">
        <v>529844786</v>
      </c>
      <c r="R8" s="5">
        <v>229</v>
      </c>
      <c r="S8" s="99">
        <v>1.75571192</v>
      </c>
      <c r="T8" s="3" t="s">
        <v>3887</v>
      </c>
      <c r="U8" s="5" t="s">
        <v>1585</v>
      </c>
    </row>
    <row r="9" spans="1:21" ht="20" customHeight="1">
      <c r="A9" s="562">
        <v>601</v>
      </c>
      <c r="B9" s="5" t="s">
        <v>148</v>
      </c>
      <c r="C9" s="563">
        <v>45969</v>
      </c>
      <c r="D9" s="3" t="s">
        <v>3967</v>
      </c>
      <c r="E9" s="565" t="s">
        <v>3968</v>
      </c>
      <c r="F9" s="566">
        <v>1.4228427100000001</v>
      </c>
      <c r="G9" s="567">
        <v>229</v>
      </c>
      <c r="H9" s="567" t="e">
        <v>#N/A</v>
      </c>
      <c r="I9" s="567" t="e">
        <v>#N/A</v>
      </c>
      <c r="J9" s="567" t="s">
        <v>3887</v>
      </c>
      <c r="L9" s="5">
        <v>589</v>
      </c>
      <c r="M9" s="147" t="s">
        <v>148</v>
      </c>
      <c r="N9" s="563">
        <v>45938</v>
      </c>
      <c r="O9" s="99" t="s">
        <v>3966</v>
      </c>
      <c r="P9" s="579" t="s">
        <v>3965</v>
      </c>
      <c r="Q9" s="5">
        <v>522346666</v>
      </c>
      <c r="R9" s="5">
        <v>229</v>
      </c>
      <c r="S9" s="99">
        <v>1.7559889500000001</v>
      </c>
      <c r="T9" s="3" t="s">
        <v>3887</v>
      </c>
      <c r="U9" s="5" t="s">
        <v>1585</v>
      </c>
    </row>
    <row r="10" spans="1:21" ht="20" hidden="1" customHeight="1">
      <c r="A10" s="562">
        <v>747</v>
      </c>
      <c r="B10" s="5" t="s">
        <v>148</v>
      </c>
      <c r="C10" s="563" t="s">
        <v>3969</v>
      </c>
      <c r="D10" s="3" t="s">
        <v>3970</v>
      </c>
      <c r="E10" s="565" t="s">
        <v>3971</v>
      </c>
      <c r="F10" s="566">
        <v>1.7565963200000001</v>
      </c>
      <c r="G10" s="567">
        <v>299</v>
      </c>
      <c r="H10" s="567" t="e">
        <v>#N/A</v>
      </c>
      <c r="I10" s="567" t="e">
        <v>#N/A</v>
      </c>
      <c r="J10" s="567" t="s">
        <v>3887</v>
      </c>
      <c r="L10" s="5">
        <v>590</v>
      </c>
      <c r="M10" s="147" t="s">
        <v>148</v>
      </c>
      <c r="N10" s="563">
        <v>45938</v>
      </c>
      <c r="O10" s="99" t="s">
        <v>4113</v>
      </c>
      <c r="P10" s="577" t="s">
        <v>4114</v>
      </c>
      <c r="Q10" s="5">
        <v>506012414</v>
      </c>
      <c r="R10" s="5">
        <v>229</v>
      </c>
      <c r="S10" s="99">
        <v>1.75599478</v>
      </c>
      <c r="T10" s="5" t="s">
        <v>3941</v>
      </c>
      <c r="U10" s="5" t="s">
        <v>4084</v>
      </c>
    </row>
    <row r="11" spans="1:21" ht="20" customHeight="1">
      <c r="A11" s="562">
        <v>800</v>
      </c>
      <c r="B11" s="5" t="s">
        <v>148</v>
      </c>
      <c r="C11" s="568" t="s">
        <v>3972</v>
      </c>
      <c r="D11" s="3" t="s">
        <v>3973</v>
      </c>
      <c r="E11" s="565" t="s">
        <v>3974</v>
      </c>
      <c r="F11" s="566">
        <v>1.7567810699999999</v>
      </c>
      <c r="G11" s="567">
        <v>229</v>
      </c>
      <c r="H11" s="567" t="s">
        <v>3964</v>
      </c>
      <c r="I11" s="567">
        <v>1</v>
      </c>
      <c r="J11" s="567" t="s">
        <v>3887</v>
      </c>
      <c r="L11" s="5">
        <v>601</v>
      </c>
      <c r="M11" s="5" t="s">
        <v>148</v>
      </c>
      <c r="N11" s="563">
        <v>45969</v>
      </c>
      <c r="O11" s="99" t="s">
        <v>3968</v>
      </c>
      <c r="P11" s="579" t="s">
        <v>3967</v>
      </c>
      <c r="Q11" s="5">
        <v>543481882</v>
      </c>
      <c r="R11" s="5">
        <v>229</v>
      </c>
      <c r="S11" s="99">
        <v>1.4228427100000001</v>
      </c>
      <c r="T11" s="3" t="s">
        <v>3887</v>
      </c>
      <c r="U11" s="5" t="s">
        <v>1585</v>
      </c>
    </row>
    <row r="12" spans="1:21" ht="20" customHeight="1">
      <c r="A12" s="562">
        <v>830</v>
      </c>
      <c r="B12" s="5" t="s">
        <v>148</v>
      </c>
      <c r="C12" s="568" t="s">
        <v>3972</v>
      </c>
      <c r="D12" s="3" t="s">
        <v>3975</v>
      </c>
      <c r="E12" s="565" t="s">
        <v>3976</v>
      </c>
      <c r="F12" s="566">
        <v>1.75682633</v>
      </c>
      <c r="G12" s="567">
        <v>229</v>
      </c>
      <c r="H12" s="567" t="e">
        <v>#N/A</v>
      </c>
      <c r="I12" s="567" t="e">
        <v>#N/A</v>
      </c>
      <c r="J12" s="567" t="s">
        <v>3887</v>
      </c>
      <c r="L12" s="5">
        <v>747</v>
      </c>
      <c r="M12" s="5" t="s">
        <v>148</v>
      </c>
      <c r="N12" s="563" t="s">
        <v>3969</v>
      </c>
      <c r="O12" s="99" t="s">
        <v>3971</v>
      </c>
      <c r="P12" s="579" t="s">
        <v>3970</v>
      </c>
      <c r="Q12" s="5">
        <v>543504141</v>
      </c>
      <c r="R12" s="2">
        <v>299</v>
      </c>
      <c r="S12" s="99">
        <v>1.7565963200000001</v>
      </c>
      <c r="T12" s="3" t="s">
        <v>3887</v>
      </c>
      <c r="U12" s="5" t="s">
        <v>1585</v>
      </c>
    </row>
    <row r="13" spans="1:21" ht="20" customHeight="1">
      <c r="A13" s="562">
        <v>849</v>
      </c>
      <c r="B13" s="5" t="s">
        <v>148</v>
      </c>
      <c r="C13" s="568" t="s">
        <v>3977</v>
      </c>
      <c r="D13" s="3" t="s">
        <v>3978</v>
      </c>
      <c r="E13" s="565" t="s">
        <v>3979</v>
      </c>
      <c r="F13" s="566">
        <v>1.75693561</v>
      </c>
      <c r="G13" s="567">
        <v>299</v>
      </c>
      <c r="H13" s="567" t="e">
        <v>#N/A</v>
      </c>
      <c r="I13" s="567" t="e">
        <v>#N/A</v>
      </c>
      <c r="J13" s="567" t="s">
        <v>3887</v>
      </c>
      <c r="L13" s="5">
        <v>800</v>
      </c>
      <c r="M13" s="5" t="s">
        <v>148</v>
      </c>
      <c r="N13" s="568" t="s">
        <v>3972</v>
      </c>
      <c r="O13" s="99" t="s">
        <v>3974</v>
      </c>
      <c r="P13" s="579" t="s">
        <v>3973</v>
      </c>
      <c r="Q13" s="5">
        <v>566455285</v>
      </c>
      <c r="R13" s="5">
        <v>229</v>
      </c>
      <c r="S13" s="99">
        <v>1.7567810699999999</v>
      </c>
      <c r="T13" s="3" t="s">
        <v>3887</v>
      </c>
      <c r="U13" s="5" t="s">
        <v>1585</v>
      </c>
    </row>
    <row r="14" spans="1:21" ht="20" customHeight="1">
      <c r="A14" s="562">
        <v>931</v>
      </c>
      <c r="B14" s="5" t="s">
        <v>148</v>
      </c>
      <c r="C14" s="568" t="s">
        <v>3980</v>
      </c>
      <c r="D14" s="569" t="s">
        <v>3981</v>
      </c>
      <c r="E14" s="565" t="s">
        <v>3982</v>
      </c>
      <c r="F14" s="566">
        <v>1.28489122</v>
      </c>
      <c r="G14" s="567">
        <v>229</v>
      </c>
      <c r="H14" s="567" t="e">
        <v>#N/A</v>
      </c>
      <c r="I14" s="567" t="e">
        <v>#N/A</v>
      </c>
      <c r="J14" s="567" t="s">
        <v>3887</v>
      </c>
      <c r="L14" s="5">
        <v>830</v>
      </c>
      <c r="M14" s="5" t="s">
        <v>148</v>
      </c>
      <c r="N14" s="568" t="s">
        <v>3972</v>
      </c>
      <c r="O14" s="99" t="s">
        <v>3976</v>
      </c>
      <c r="P14" s="579" t="s">
        <v>3975</v>
      </c>
      <c r="Q14" s="5">
        <v>507962503</v>
      </c>
      <c r="R14" s="5">
        <v>229</v>
      </c>
      <c r="S14" s="99">
        <v>1.75682633</v>
      </c>
      <c r="T14" s="3" t="s">
        <v>3887</v>
      </c>
      <c r="U14" s="5" t="s">
        <v>1585</v>
      </c>
    </row>
    <row r="15" spans="1:21" ht="20" customHeight="1">
      <c r="A15" s="562">
        <v>964</v>
      </c>
      <c r="B15" s="5" t="s">
        <v>148</v>
      </c>
      <c r="C15" s="563" t="s">
        <v>3983</v>
      </c>
      <c r="D15" s="569" t="s">
        <v>3984</v>
      </c>
      <c r="E15" s="565" t="s">
        <v>3985</v>
      </c>
      <c r="F15" s="566">
        <v>1.3030947799999999</v>
      </c>
      <c r="G15" s="567">
        <v>229</v>
      </c>
      <c r="H15" s="567" t="e">
        <v>#N/A</v>
      </c>
      <c r="I15" s="567" t="e">
        <v>#N/A</v>
      </c>
      <c r="J15" s="567" t="s">
        <v>3887</v>
      </c>
      <c r="L15" s="5">
        <v>849</v>
      </c>
      <c r="M15" s="5" t="s">
        <v>148</v>
      </c>
      <c r="N15" s="568" t="s">
        <v>3977</v>
      </c>
      <c r="O15" s="120" t="s">
        <v>3979</v>
      </c>
      <c r="P15" s="579" t="s">
        <v>3978</v>
      </c>
      <c r="Q15" s="3">
        <v>585198369</v>
      </c>
      <c r="R15" s="2">
        <v>299</v>
      </c>
      <c r="S15" s="99">
        <v>1.75693561</v>
      </c>
      <c r="T15" s="3" t="s">
        <v>3887</v>
      </c>
      <c r="U15" s="5" t="s">
        <v>1585</v>
      </c>
    </row>
    <row r="16" spans="1:21" ht="20" customHeight="1">
      <c r="A16" s="562">
        <v>1071</v>
      </c>
      <c r="B16" s="5" t="s">
        <v>148</v>
      </c>
      <c r="C16" s="563" t="s">
        <v>3986</v>
      </c>
      <c r="D16" s="569" t="s">
        <v>3987</v>
      </c>
      <c r="E16" s="565" t="s">
        <v>3988</v>
      </c>
      <c r="F16" s="566">
        <v>1.7577694699999999</v>
      </c>
      <c r="G16" s="567">
        <v>229</v>
      </c>
      <c r="H16" s="567" t="e">
        <v>#N/A</v>
      </c>
      <c r="I16" s="567" t="e">
        <v>#N/A</v>
      </c>
      <c r="J16" s="567" t="s">
        <v>3887</v>
      </c>
      <c r="L16" s="5">
        <v>931</v>
      </c>
      <c r="M16" s="5" t="s">
        <v>148</v>
      </c>
      <c r="N16" s="568" t="s">
        <v>3980</v>
      </c>
      <c r="O16" s="120" t="s">
        <v>3982</v>
      </c>
      <c r="P16" s="579" t="s">
        <v>3981</v>
      </c>
      <c r="Q16" s="3">
        <v>509602177</v>
      </c>
      <c r="R16" s="5">
        <v>229</v>
      </c>
      <c r="S16" s="99">
        <v>1.28489122</v>
      </c>
      <c r="T16" s="3" t="s">
        <v>3887</v>
      </c>
      <c r="U16" s="5" t="s">
        <v>1585</v>
      </c>
    </row>
    <row r="17" spans="1:21" ht="20" customHeight="1">
      <c r="A17" s="562">
        <v>1084</v>
      </c>
      <c r="B17" s="5" t="s">
        <v>148</v>
      </c>
      <c r="C17" s="563" t="s">
        <v>3989</v>
      </c>
      <c r="D17" s="580" t="s">
        <v>3990</v>
      </c>
      <c r="E17" s="565" t="s">
        <v>3991</v>
      </c>
      <c r="F17" s="566">
        <v>1.75785915</v>
      </c>
      <c r="G17" s="567">
        <v>229</v>
      </c>
      <c r="H17" s="567" t="e">
        <v>#N/A</v>
      </c>
      <c r="I17" s="567" t="e">
        <v>#N/A</v>
      </c>
      <c r="J17" s="567" t="s">
        <v>3887</v>
      </c>
      <c r="L17" s="5">
        <v>964</v>
      </c>
      <c r="M17" s="5" t="s">
        <v>148</v>
      </c>
      <c r="N17" s="568" t="s">
        <v>3983</v>
      </c>
      <c r="O17" s="120" t="s">
        <v>3985</v>
      </c>
      <c r="P17" s="579" t="s">
        <v>3984</v>
      </c>
      <c r="Q17" s="3">
        <v>551439750</v>
      </c>
      <c r="R17" s="5">
        <v>229</v>
      </c>
      <c r="S17" s="99">
        <v>1.3030947799999999</v>
      </c>
      <c r="T17" s="3" t="s">
        <v>3887</v>
      </c>
      <c r="U17" s="5" t="s">
        <v>1585</v>
      </c>
    </row>
    <row r="18" spans="1:21" ht="20" customHeight="1">
      <c r="A18" s="562">
        <v>1146</v>
      </c>
      <c r="B18" s="5" t="s">
        <v>148</v>
      </c>
      <c r="C18" s="563" t="s">
        <v>3992</v>
      </c>
      <c r="D18" s="569" t="s">
        <v>3993</v>
      </c>
      <c r="E18" s="565" t="s">
        <v>3994</v>
      </c>
      <c r="F18" s="566">
        <v>1.75809825</v>
      </c>
      <c r="G18" s="567">
        <v>349</v>
      </c>
      <c r="H18" s="567" t="e">
        <v>#N/A</v>
      </c>
      <c r="I18" s="567" t="e">
        <v>#N/A</v>
      </c>
      <c r="J18" s="567" t="s">
        <v>3887</v>
      </c>
      <c r="L18" s="5">
        <v>1069</v>
      </c>
      <c r="M18" s="5" t="s">
        <v>148</v>
      </c>
      <c r="N18" s="568" t="s">
        <v>3986</v>
      </c>
      <c r="O18" s="120" t="s">
        <v>3988</v>
      </c>
      <c r="P18" s="579" t="s">
        <v>3987</v>
      </c>
      <c r="Q18" s="3">
        <v>529212891</v>
      </c>
      <c r="R18" s="5">
        <v>229</v>
      </c>
      <c r="S18" s="99">
        <v>1.7577694699999999</v>
      </c>
      <c r="T18" s="3" t="s">
        <v>3887</v>
      </c>
      <c r="U18" s="5" t="s">
        <v>1585</v>
      </c>
    </row>
    <row r="19" spans="1:21" ht="20" hidden="1" customHeight="1">
      <c r="A19" s="562">
        <v>1251</v>
      </c>
      <c r="B19" s="569" t="s">
        <v>148</v>
      </c>
      <c r="C19" s="563" t="s">
        <v>3995</v>
      </c>
      <c r="D19" s="569" t="s">
        <v>3996</v>
      </c>
      <c r="E19" s="565" t="s">
        <v>3997</v>
      </c>
      <c r="F19" s="566">
        <v>1.7581034499999999</v>
      </c>
      <c r="G19" s="567">
        <v>229</v>
      </c>
      <c r="H19" s="567" t="e">
        <v>#N/A</v>
      </c>
      <c r="I19" s="567" t="e">
        <v>#N/A</v>
      </c>
      <c r="J19" s="567" t="s">
        <v>3887</v>
      </c>
      <c r="L19" s="5">
        <v>1127</v>
      </c>
      <c r="M19" s="5" t="s">
        <v>148</v>
      </c>
      <c r="N19" s="568" t="s">
        <v>3992</v>
      </c>
      <c r="O19" s="120" t="s">
        <v>4115</v>
      </c>
      <c r="P19" s="577" t="s">
        <v>4116</v>
      </c>
      <c r="Q19" s="3">
        <v>543487509</v>
      </c>
      <c r="R19" s="5">
        <v>299</v>
      </c>
      <c r="S19" s="99">
        <v>1.7580514899999999</v>
      </c>
      <c r="T19" s="3" t="s">
        <v>3941</v>
      </c>
      <c r="U19" s="5" t="s">
        <v>22</v>
      </c>
    </row>
    <row r="20" spans="1:21" ht="20" customHeight="1">
      <c r="A20" s="562">
        <v>1252</v>
      </c>
      <c r="B20" s="569" t="s">
        <v>148</v>
      </c>
      <c r="C20" s="563" t="s">
        <v>3995</v>
      </c>
      <c r="D20" s="569" t="s">
        <v>3998</v>
      </c>
      <c r="E20" s="565" t="s">
        <v>3999</v>
      </c>
      <c r="F20" s="566">
        <v>1.75845473</v>
      </c>
      <c r="G20" s="567">
        <v>229</v>
      </c>
      <c r="H20" s="567" t="e">
        <v>#N/A</v>
      </c>
      <c r="I20" s="567" t="e">
        <v>#N/A</v>
      </c>
      <c r="J20" s="567" t="s">
        <v>3887</v>
      </c>
      <c r="L20" s="5">
        <v>1143</v>
      </c>
      <c r="M20" s="5" t="s">
        <v>148</v>
      </c>
      <c r="N20" s="568" t="s">
        <v>3992</v>
      </c>
      <c r="O20" s="120" t="s">
        <v>3994</v>
      </c>
      <c r="P20" s="579" t="s">
        <v>3993</v>
      </c>
      <c r="Q20" s="3">
        <v>524839683</v>
      </c>
      <c r="R20" s="2">
        <v>349</v>
      </c>
      <c r="S20" s="99">
        <v>1.75809825</v>
      </c>
      <c r="T20" s="3" t="s">
        <v>3887</v>
      </c>
      <c r="U20" s="5" t="s">
        <v>1585</v>
      </c>
    </row>
    <row r="21" spans="1:21" ht="20" hidden="1" customHeight="1">
      <c r="A21" s="562">
        <v>1284</v>
      </c>
      <c r="B21" s="569" t="s">
        <v>148</v>
      </c>
      <c r="C21" s="563" t="s">
        <v>4000</v>
      </c>
      <c r="D21" s="569" t="s">
        <v>4001</v>
      </c>
      <c r="E21" s="565" t="s">
        <v>4002</v>
      </c>
      <c r="F21" s="566">
        <v>1.7585744299999999</v>
      </c>
      <c r="G21" s="567">
        <v>229</v>
      </c>
      <c r="H21" s="567" t="e">
        <v>#N/A</v>
      </c>
      <c r="I21" s="567" t="e">
        <v>#N/A</v>
      </c>
      <c r="J21" s="567" t="s">
        <v>3887</v>
      </c>
      <c r="L21" s="5">
        <v>1145</v>
      </c>
      <c r="M21" s="5" t="s">
        <v>148</v>
      </c>
      <c r="N21" s="568" t="s">
        <v>3992</v>
      </c>
      <c r="O21" s="120" t="s">
        <v>4117</v>
      </c>
      <c r="P21" s="579" t="s">
        <v>3996</v>
      </c>
      <c r="Q21" s="3">
        <v>564616608</v>
      </c>
      <c r="R21" s="5">
        <v>229</v>
      </c>
      <c r="S21" s="99">
        <v>1.7581034499999999</v>
      </c>
      <c r="T21" s="3" t="s">
        <v>3941</v>
      </c>
      <c r="U21" s="5" t="s">
        <v>22</v>
      </c>
    </row>
    <row r="22" spans="1:21" ht="20" customHeight="1">
      <c r="A22" s="562">
        <v>1285</v>
      </c>
      <c r="B22" s="569" t="s">
        <v>148</v>
      </c>
      <c r="C22" s="563" t="s">
        <v>4000</v>
      </c>
      <c r="D22" s="569" t="s">
        <v>4003</v>
      </c>
      <c r="E22" s="565" t="s">
        <v>4004</v>
      </c>
      <c r="F22" s="566">
        <v>1.6814818</v>
      </c>
      <c r="G22" s="567">
        <v>229</v>
      </c>
      <c r="H22" s="567" t="e">
        <v>#N/A</v>
      </c>
      <c r="I22" s="567" t="e">
        <v>#N/A</v>
      </c>
      <c r="J22" s="567" t="s">
        <v>3887</v>
      </c>
      <c r="L22" s="5">
        <v>1248</v>
      </c>
      <c r="M22" s="5" t="s">
        <v>148</v>
      </c>
      <c r="N22" s="568" t="s">
        <v>3995</v>
      </c>
      <c r="O22" s="120" t="s">
        <v>3997</v>
      </c>
      <c r="P22" s="579" t="s">
        <v>3996</v>
      </c>
      <c r="Q22" s="3">
        <v>564616608</v>
      </c>
      <c r="R22" s="5">
        <v>229</v>
      </c>
      <c r="S22" s="99">
        <v>1.7581034499999999</v>
      </c>
      <c r="T22" s="3" t="s">
        <v>3887</v>
      </c>
      <c r="U22" s="5" t="s">
        <v>1585</v>
      </c>
    </row>
    <row r="23" spans="1:21" ht="20" customHeight="1">
      <c r="A23" s="562">
        <v>1370</v>
      </c>
      <c r="B23" s="569" t="s">
        <v>148</v>
      </c>
      <c r="C23" s="563" t="s">
        <v>4005</v>
      </c>
      <c r="D23" s="569" t="s">
        <v>4006</v>
      </c>
      <c r="E23" s="565" t="s">
        <v>4007</v>
      </c>
      <c r="F23" s="566">
        <v>1.7589478599999999</v>
      </c>
      <c r="G23" s="567">
        <v>229</v>
      </c>
      <c r="H23" s="567" t="e">
        <v>#N/A</v>
      </c>
      <c r="I23" s="567" t="e">
        <v>#N/A</v>
      </c>
      <c r="J23" s="567" t="s">
        <v>3887</v>
      </c>
      <c r="L23" s="5">
        <v>1249</v>
      </c>
      <c r="M23" s="5" t="s">
        <v>148</v>
      </c>
      <c r="N23" s="568" t="s">
        <v>3995</v>
      </c>
      <c r="O23" s="120" t="s">
        <v>3999</v>
      </c>
      <c r="P23" s="579" t="s">
        <v>3998</v>
      </c>
      <c r="Q23" s="3">
        <v>551439750</v>
      </c>
      <c r="R23" s="5">
        <v>229</v>
      </c>
      <c r="S23" s="99">
        <v>1.75845473</v>
      </c>
      <c r="T23" s="3" t="s">
        <v>3887</v>
      </c>
      <c r="U23" s="5" t="s">
        <v>1585</v>
      </c>
    </row>
    <row r="24" spans="1:21" ht="20" customHeight="1">
      <c r="A24" s="562">
        <v>1381</v>
      </c>
      <c r="B24" s="569" t="s">
        <v>148</v>
      </c>
      <c r="C24" s="563" t="s">
        <v>4005</v>
      </c>
      <c r="D24" s="569" t="s">
        <v>4008</v>
      </c>
      <c r="E24" s="565" t="s">
        <v>4009</v>
      </c>
      <c r="F24" s="566">
        <v>1.75896787</v>
      </c>
      <c r="G24" s="567">
        <v>229</v>
      </c>
      <c r="H24" s="567" t="e">
        <v>#N/A</v>
      </c>
      <c r="I24" s="567" t="e">
        <v>#N/A</v>
      </c>
      <c r="J24" s="567" t="s">
        <v>3887</v>
      </c>
      <c r="L24" s="5">
        <v>1281</v>
      </c>
      <c r="M24" s="5" t="s">
        <v>148</v>
      </c>
      <c r="N24" s="568" t="s">
        <v>4000</v>
      </c>
      <c r="O24" s="120" t="s">
        <v>4002</v>
      </c>
      <c r="P24" s="579" t="s">
        <v>4001</v>
      </c>
      <c r="Q24" s="3">
        <v>504994206</v>
      </c>
      <c r="R24" s="5">
        <v>229</v>
      </c>
      <c r="S24" s="99">
        <v>1.7585744299999999</v>
      </c>
      <c r="T24" s="3" t="s">
        <v>3887</v>
      </c>
      <c r="U24" s="5" t="s">
        <v>1585</v>
      </c>
    </row>
    <row r="25" spans="1:21" ht="20" customHeight="1">
      <c r="A25" s="562">
        <v>1409</v>
      </c>
      <c r="B25" s="569" t="s">
        <v>148</v>
      </c>
      <c r="C25" s="563" t="s">
        <v>4010</v>
      </c>
      <c r="D25" s="569" t="s">
        <v>4011</v>
      </c>
      <c r="E25" s="565" t="s">
        <v>4012</v>
      </c>
      <c r="F25" s="566">
        <v>1.75910459</v>
      </c>
      <c r="G25" s="567">
        <v>229</v>
      </c>
      <c r="H25" s="567"/>
      <c r="I25" s="567"/>
      <c r="J25" s="567" t="s">
        <v>3941</v>
      </c>
      <c r="L25" s="5">
        <v>1282</v>
      </c>
      <c r="M25" s="5" t="s">
        <v>148</v>
      </c>
      <c r="N25" s="568" t="s">
        <v>4000</v>
      </c>
      <c r="O25" s="120" t="s">
        <v>4004</v>
      </c>
      <c r="P25" s="579" t="s">
        <v>4003</v>
      </c>
      <c r="Q25" s="3">
        <v>522003748</v>
      </c>
      <c r="R25" s="5">
        <v>229</v>
      </c>
      <c r="S25" s="99">
        <v>1.6814818</v>
      </c>
      <c r="T25" s="3" t="s">
        <v>3887</v>
      </c>
      <c r="U25" s="5" t="s">
        <v>1585</v>
      </c>
    </row>
    <row r="26" spans="1:21" ht="20" customHeight="1">
      <c r="A26" s="562">
        <v>1456</v>
      </c>
      <c r="B26" s="569" t="s">
        <v>148</v>
      </c>
      <c r="C26" s="563" t="s">
        <v>4010</v>
      </c>
      <c r="D26" s="569" t="s">
        <v>4013</v>
      </c>
      <c r="E26" s="565" t="s">
        <v>4014</v>
      </c>
      <c r="F26" s="566">
        <v>1.3181020299999999</v>
      </c>
      <c r="G26" s="567">
        <v>299</v>
      </c>
      <c r="H26" s="567" t="e">
        <v>#N/A</v>
      </c>
      <c r="I26" s="567" t="e">
        <v>#N/A</v>
      </c>
      <c r="J26" s="567" t="s">
        <v>3887</v>
      </c>
      <c r="L26" s="5">
        <v>1367</v>
      </c>
      <c r="M26" s="5" t="s">
        <v>148</v>
      </c>
      <c r="N26" s="568" t="s">
        <v>4005</v>
      </c>
      <c r="O26" s="120" t="s">
        <v>4007</v>
      </c>
      <c r="P26" s="579" t="s">
        <v>4006</v>
      </c>
      <c r="Q26" s="3">
        <v>551439750</v>
      </c>
      <c r="R26" s="5">
        <v>229</v>
      </c>
      <c r="S26" s="99">
        <v>1.7589478599999999</v>
      </c>
      <c r="T26" s="3" t="s">
        <v>3887</v>
      </c>
      <c r="U26" s="5" t="s">
        <v>1585</v>
      </c>
    </row>
    <row r="27" spans="1:21" ht="20" customHeight="1">
      <c r="A27" s="562">
        <v>1462</v>
      </c>
      <c r="B27" s="569" t="s">
        <v>148</v>
      </c>
      <c r="C27" s="563" t="s">
        <v>4010</v>
      </c>
      <c r="D27" s="569" t="s">
        <v>4015</v>
      </c>
      <c r="E27" s="565" t="s">
        <v>4016</v>
      </c>
      <c r="F27" s="566">
        <v>1.75920824</v>
      </c>
      <c r="G27" s="567">
        <v>299</v>
      </c>
      <c r="H27" s="567" t="e">
        <v>#N/A</v>
      </c>
      <c r="I27" s="567" t="e">
        <v>#N/A</v>
      </c>
      <c r="J27" s="567" t="s">
        <v>3887</v>
      </c>
      <c r="L27" s="5">
        <v>1378</v>
      </c>
      <c r="M27" s="5" t="s">
        <v>148</v>
      </c>
      <c r="N27" s="568" t="s">
        <v>4005</v>
      </c>
      <c r="O27" s="120" t="s">
        <v>4009</v>
      </c>
      <c r="P27" s="579" t="s">
        <v>4008</v>
      </c>
      <c r="Q27" s="3">
        <v>562616401</v>
      </c>
      <c r="R27" s="5">
        <v>229</v>
      </c>
      <c r="S27" s="99">
        <v>1.75896787</v>
      </c>
      <c r="T27" s="3" t="s">
        <v>3887</v>
      </c>
      <c r="U27" s="5" t="s">
        <v>1585</v>
      </c>
    </row>
    <row r="28" spans="1:21" ht="16.5" hidden="1">
      <c r="L28" s="5">
        <v>1406</v>
      </c>
      <c r="M28" s="5" t="s">
        <v>148</v>
      </c>
      <c r="N28" s="568" t="s">
        <v>4010</v>
      </c>
      <c r="O28" s="120" t="s">
        <v>4012</v>
      </c>
      <c r="P28" s="579" t="s">
        <v>4011</v>
      </c>
      <c r="Q28" s="3">
        <v>505061282</v>
      </c>
      <c r="R28" s="5">
        <v>229</v>
      </c>
      <c r="S28" s="99">
        <v>1.75910459</v>
      </c>
      <c r="T28" s="3" t="s">
        <v>3941</v>
      </c>
      <c r="U28" s="5"/>
    </row>
    <row r="29" spans="1:21" ht="16.5">
      <c r="L29" s="5">
        <v>1453</v>
      </c>
      <c r="M29" s="5" t="s">
        <v>148</v>
      </c>
      <c r="N29" s="568" t="s">
        <v>4010</v>
      </c>
      <c r="O29" s="120" t="s">
        <v>4014</v>
      </c>
      <c r="P29" s="579" t="s">
        <v>4013</v>
      </c>
      <c r="Q29" s="3">
        <v>507497953</v>
      </c>
      <c r="R29" s="5">
        <v>299</v>
      </c>
      <c r="S29" s="99">
        <v>1.3181020299999999</v>
      </c>
      <c r="T29" s="3" t="s">
        <v>3887</v>
      </c>
      <c r="U29" s="5" t="s">
        <v>1585</v>
      </c>
    </row>
    <row r="30" spans="1:21" ht="16.5">
      <c r="L30" s="5">
        <v>1459</v>
      </c>
      <c r="M30" s="5" t="s">
        <v>148</v>
      </c>
      <c r="N30" s="568" t="s">
        <v>4010</v>
      </c>
      <c r="O30" s="120" t="s">
        <v>4016</v>
      </c>
      <c r="P30" s="579" t="s">
        <v>4015</v>
      </c>
      <c r="Q30" s="3">
        <v>564140133</v>
      </c>
      <c r="R30" s="5">
        <v>299</v>
      </c>
      <c r="S30" s="99">
        <v>1.75920824</v>
      </c>
      <c r="T30" s="3" t="s">
        <v>3887</v>
      </c>
      <c r="U30" s="5" t="s">
        <v>1585</v>
      </c>
    </row>
    <row r="31" spans="1:21" ht="16.5" hidden="1">
      <c r="L31" s="5">
        <v>1521</v>
      </c>
      <c r="M31" s="5" t="s">
        <v>148</v>
      </c>
      <c r="N31" s="568" t="s">
        <v>4118</v>
      </c>
      <c r="O31" s="120" t="s">
        <v>4119</v>
      </c>
      <c r="P31" s="577" t="s">
        <v>4120</v>
      </c>
      <c r="Q31" s="3">
        <v>586633501</v>
      </c>
      <c r="R31" s="5">
        <v>229</v>
      </c>
      <c r="S31" s="99">
        <v>1.75950085</v>
      </c>
      <c r="T31" s="3" t="s">
        <v>3941</v>
      </c>
      <c r="U31" s="5"/>
    </row>
    <row r="32" spans="1:21" ht="16.5" hidden="1">
      <c r="L32" s="5">
        <v>1637</v>
      </c>
      <c r="M32" s="5" t="s">
        <v>148</v>
      </c>
      <c r="N32" s="568" t="s">
        <v>4063</v>
      </c>
      <c r="O32" s="120" t="s">
        <v>4065</v>
      </c>
      <c r="P32" s="577" t="s">
        <v>4064</v>
      </c>
      <c r="Q32" s="3">
        <v>565506508</v>
      </c>
      <c r="R32" s="5">
        <v>229</v>
      </c>
      <c r="S32" s="99">
        <v>1.75990523</v>
      </c>
      <c r="T32" s="3" t="s">
        <v>3941</v>
      </c>
      <c r="U32" s="5" t="s">
        <v>1585</v>
      </c>
    </row>
  </sheetData>
  <autoFilter ref="L1:U32" xr:uid="{00000000-0001-0000-2E00-000000000000}">
    <filterColumn colId="8">
      <filters>
        <filter val="Activated"/>
      </filters>
    </filterColumn>
  </autoFilter>
  <conditionalFormatting sqref="F1:F27">
    <cfRule type="duplicateValues" dxfId="205" priority="92"/>
  </conditionalFormatting>
  <conditionalFormatting sqref="J1">
    <cfRule type="cellIs" priority="94" operator="equal">
      <formula>"In progress"</formula>
    </cfRule>
  </conditionalFormatting>
  <conditionalFormatting sqref="J1:J27">
    <cfRule type="cellIs" dxfId="204" priority="93" operator="equal">
      <formula>"Completed"</formula>
    </cfRule>
  </conditionalFormatting>
  <conditionalFormatting sqref="J2:J27">
    <cfRule type="cellIs" dxfId="203" priority="91" operator="equal">
      <formula>"In Process"</formula>
    </cfRule>
    <cfRule type="cellIs" dxfId="202" priority="90" operator="equal">
      <formula>"Activated"</formula>
    </cfRule>
    <cfRule type="cellIs" dxfId="201" priority="89" operator="equal">
      <formula>"Cancelled"</formula>
    </cfRule>
    <cfRule type="cellIs" dxfId="200" priority="88" operator="equal">
      <formula>"In Process"</formula>
    </cfRule>
  </conditionalFormatting>
  <conditionalFormatting sqref="O1">
    <cfRule type="duplicateValues" dxfId="199" priority="81"/>
    <cfRule type="duplicateValues" dxfId="198" priority="80"/>
    <cfRule type="duplicateValues" dxfId="197" priority="79"/>
  </conditionalFormatting>
  <conditionalFormatting sqref="O6:O8">
    <cfRule type="duplicateValues" dxfId="196" priority="67"/>
    <cfRule type="duplicateValues" dxfId="195" priority="68"/>
    <cfRule type="duplicateValues" dxfId="194" priority="69"/>
  </conditionalFormatting>
  <conditionalFormatting sqref="O9:O11">
    <cfRule type="duplicateValues" dxfId="193" priority="64"/>
    <cfRule type="duplicateValues" dxfId="192" priority="65"/>
    <cfRule type="duplicateValues" dxfId="191" priority="66"/>
  </conditionalFormatting>
  <conditionalFormatting sqref="O12:O13 O2:O5">
    <cfRule type="duplicateValues" dxfId="190" priority="72"/>
    <cfRule type="duplicateValues" dxfId="189" priority="71"/>
    <cfRule type="duplicateValues" dxfId="188" priority="70"/>
  </conditionalFormatting>
  <conditionalFormatting sqref="O14:O15">
    <cfRule type="duplicateValues" dxfId="187" priority="61"/>
    <cfRule type="duplicateValues" dxfId="186" priority="62"/>
    <cfRule type="duplicateValues" dxfId="185" priority="63"/>
  </conditionalFormatting>
  <conditionalFormatting sqref="O16:O17">
    <cfRule type="duplicateValues" dxfId="184" priority="57"/>
    <cfRule type="duplicateValues" dxfId="183" priority="56"/>
    <cfRule type="duplicateValues" dxfId="182" priority="55"/>
  </conditionalFormatting>
  <conditionalFormatting sqref="O18">
    <cfRule type="duplicateValues" dxfId="181" priority="46"/>
    <cfRule type="duplicateValues" dxfId="180" priority="47"/>
    <cfRule type="duplicateValues" dxfId="179" priority="48"/>
  </conditionalFormatting>
  <conditionalFormatting sqref="O19:O21">
    <cfRule type="duplicateValues" dxfId="178" priority="41"/>
    <cfRule type="duplicateValues" dxfId="177" priority="40"/>
    <cfRule type="duplicateValues" dxfId="176" priority="42"/>
  </conditionalFormatting>
  <conditionalFormatting sqref="O22:O25">
    <cfRule type="duplicateValues" dxfId="175" priority="32"/>
    <cfRule type="duplicateValues" dxfId="174" priority="33"/>
    <cfRule type="duplicateValues" dxfId="173" priority="31"/>
  </conditionalFormatting>
  <conditionalFormatting sqref="O26:O27">
    <cfRule type="duplicateValues" dxfId="172" priority="23"/>
    <cfRule type="duplicateValues" dxfId="171" priority="24"/>
    <cfRule type="duplicateValues" dxfId="170" priority="22"/>
  </conditionalFormatting>
  <conditionalFormatting sqref="O28:O30">
    <cfRule type="duplicateValues" dxfId="169" priority="13"/>
    <cfRule type="duplicateValues" dxfId="168" priority="15"/>
    <cfRule type="duplicateValues" dxfId="167" priority="14"/>
  </conditionalFormatting>
  <conditionalFormatting sqref="O31:O32">
    <cfRule type="duplicateValues" dxfId="166" priority="7"/>
    <cfRule type="duplicateValues" dxfId="165" priority="9"/>
    <cfRule type="duplicateValues" dxfId="164" priority="8"/>
  </conditionalFormatting>
  <conditionalFormatting sqref="P1">
    <cfRule type="duplicateValues" dxfId="163" priority="85"/>
    <cfRule type="duplicateValues" dxfId="162" priority="86"/>
    <cfRule type="duplicateValues" dxfId="161" priority="87"/>
  </conditionalFormatting>
  <conditionalFormatting sqref="P2:P15">
    <cfRule type="duplicateValues" dxfId="160" priority="73"/>
    <cfRule type="duplicateValues" dxfId="159" priority="74"/>
    <cfRule type="duplicateValues" dxfId="158" priority="75"/>
  </conditionalFormatting>
  <conditionalFormatting sqref="P16:P17">
    <cfRule type="duplicateValues" dxfId="157" priority="60"/>
    <cfRule type="duplicateValues" dxfId="156" priority="59"/>
    <cfRule type="duplicateValues" dxfId="155" priority="58"/>
  </conditionalFormatting>
  <conditionalFormatting sqref="P18">
    <cfRule type="duplicateValues" dxfId="154" priority="45"/>
    <cfRule type="duplicateValues" dxfId="153" priority="44"/>
    <cfRule type="duplicateValues" dxfId="152" priority="43"/>
  </conditionalFormatting>
  <conditionalFormatting sqref="P19:P21">
    <cfRule type="duplicateValues" dxfId="151" priority="37"/>
    <cfRule type="duplicateValues" dxfId="150" priority="39"/>
    <cfRule type="duplicateValues" dxfId="149" priority="38"/>
  </conditionalFormatting>
  <conditionalFormatting sqref="P22:P25">
    <cfRule type="duplicateValues" dxfId="148" priority="30"/>
    <cfRule type="duplicateValues" dxfId="147" priority="29"/>
    <cfRule type="duplicateValues" dxfId="146" priority="28"/>
  </conditionalFormatting>
  <conditionalFormatting sqref="P26:P27">
    <cfRule type="duplicateValues" dxfId="145" priority="21"/>
    <cfRule type="duplicateValues" dxfId="144" priority="20"/>
    <cfRule type="duplicateValues" dxfId="143" priority="19"/>
  </conditionalFormatting>
  <conditionalFormatting sqref="P28:P30">
    <cfRule type="duplicateValues" dxfId="142" priority="12"/>
    <cfRule type="duplicateValues" dxfId="141" priority="11"/>
    <cfRule type="duplicateValues" dxfId="140" priority="10"/>
  </conditionalFormatting>
  <conditionalFormatting sqref="P31:P32">
    <cfRule type="duplicateValues" dxfId="139" priority="4"/>
    <cfRule type="duplicateValues" dxfId="138" priority="6"/>
    <cfRule type="duplicateValues" dxfId="137" priority="5"/>
  </conditionalFormatting>
  <conditionalFormatting sqref="S1">
    <cfRule type="duplicateValues" dxfId="136" priority="84"/>
    <cfRule type="duplicateValues" dxfId="135" priority="82"/>
    <cfRule type="duplicateValues" dxfId="134" priority="83"/>
  </conditionalFormatting>
  <conditionalFormatting sqref="S2:S15">
    <cfRule type="duplicateValues" dxfId="133" priority="78"/>
    <cfRule type="duplicateValues" dxfId="132" priority="77"/>
    <cfRule type="duplicateValues" dxfId="131" priority="76"/>
  </conditionalFormatting>
  <conditionalFormatting sqref="S16:S17">
    <cfRule type="duplicateValues" dxfId="130" priority="53"/>
    <cfRule type="duplicateValues" dxfId="129" priority="54"/>
    <cfRule type="duplicateValues" dxfId="128" priority="52"/>
  </conditionalFormatting>
  <conditionalFormatting sqref="S18">
    <cfRule type="duplicateValues" dxfId="127" priority="51"/>
    <cfRule type="duplicateValues" dxfId="126" priority="49"/>
    <cfRule type="duplicateValues" dxfId="125" priority="50"/>
  </conditionalFormatting>
  <conditionalFormatting sqref="S19:S25">
    <cfRule type="duplicateValues" dxfId="124" priority="36"/>
    <cfRule type="duplicateValues" dxfId="123" priority="34"/>
    <cfRule type="duplicateValues" dxfId="122" priority="35"/>
  </conditionalFormatting>
  <conditionalFormatting sqref="S26:S27">
    <cfRule type="duplicateValues" dxfId="121" priority="25"/>
    <cfRule type="duplicateValues" dxfId="120" priority="26"/>
    <cfRule type="duplicateValues" dxfId="119" priority="27"/>
  </conditionalFormatting>
  <conditionalFormatting sqref="S28:S30">
    <cfRule type="duplicateValues" dxfId="118" priority="18"/>
    <cfRule type="duplicateValues" dxfId="117" priority="17"/>
    <cfRule type="duplicateValues" dxfId="116" priority="16"/>
  </conditionalFormatting>
  <conditionalFormatting sqref="S31:S32">
    <cfRule type="duplicateValues" dxfId="115" priority="1"/>
    <cfRule type="duplicateValues" dxfId="114" priority="3"/>
    <cfRule type="duplicateValues" dxfId="113" priority="2"/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1CCDF-4E57-48C1-8E3A-F6415D2465E6}">
  <sheetPr filterMode="1"/>
  <dimension ref="A1:I31"/>
  <sheetViews>
    <sheetView topLeftCell="D6" zoomScale="99" workbookViewId="0">
      <selection activeCell="I2" sqref="I2:I25"/>
    </sheetView>
  </sheetViews>
  <sheetFormatPr defaultRowHeight="14.5"/>
  <cols>
    <col min="2" max="2" width="17.36328125" customWidth="1"/>
    <col min="3" max="3" width="20.1796875" customWidth="1"/>
    <col min="4" max="4" width="30.6328125" customWidth="1"/>
    <col min="5" max="5" width="17.81640625" customWidth="1"/>
    <col min="6" max="6" width="19.08984375" customWidth="1"/>
    <col min="7" max="7" width="24" customWidth="1"/>
    <col min="8" max="8" width="14.453125" customWidth="1"/>
    <col min="9" max="9" width="18.81640625" customWidth="1"/>
  </cols>
  <sheetData>
    <row r="1" spans="1:9" ht="15.5">
      <c r="A1" s="558" t="s">
        <v>3881</v>
      </c>
      <c r="B1" s="558" t="s">
        <v>2634</v>
      </c>
      <c r="C1" s="558" t="s">
        <v>1668</v>
      </c>
      <c r="D1" s="559" t="s">
        <v>2637</v>
      </c>
      <c r="E1" s="559" t="s">
        <v>4062</v>
      </c>
      <c r="F1" s="560" t="s">
        <v>2636</v>
      </c>
      <c r="G1" s="558" t="s">
        <v>3883</v>
      </c>
      <c r="H1" s="561" t="s">
        <v>1882</v>
      </c>
      <c r="I1" s="561" t="s">
        <v>3884</v>
      </c>
    </row>
    <row r="2" spans="1:9" ht="15.5">
      <c r="A2" s="562">
        <v>7</v>
      </c>
      <c r="B2" s="147" t="s">
        <v>148</v>
      </c>
      <c r="C2" s="563" t="s">
        <v>4063</v>
      </c>
      <c r="D2" s="582" t="s">
        <v>4064</v>
      </c>
      <c r="E2" s="564">
        <v>565506508</v>
      </c>
      <c r="F2" s="564" t="s">
        <v>4065</v>
      </c>
      <c r="G2" s="576">
        <v>1.75990523</v>
      </c>
      <c r="H2" s="564">
        <v>229</v>
      </c>
      <c r="I2" s="567" t="s">
        <v>3887</v>
      </c>
    </row>
    <row r="3" spans="1:9" ht="15.5" hidden="1">
      <c r="A3" s="562">
        <v>43</v>
      </c>
      <c r="B3" s="147" t="s">
        <v>148</v>
      </c>
      <c r="C3" s="563">
        <v>45901</v>
      </c>
      <c r="D3" s="581" t="s">
        <v>4066</v>
      </c>
      <c r="E3" s="564">
        <v>551439750</v>
      </c>
      <c r="F3" s="565" t="s">
        <v>4067</v>
      </c>
      <c r="G3" s="566">
        <v>1.7601002299999999</v>
      </c>
      <c r="H3" s="567">
        <v>229</v>
      </c>
      <c r="I3" s="567" t="s">
        <v>255</v>
      </c>
    </row>
    <row r="4" spans="1:9" ht="15.5" hidden="1">
      <c r="A4" s="562">
        <v>45</v>
      </c>
      <c r="B4" s="147" t="s">
        <v>148</v>
      </c>
      <c r="C4" s="563">
        <v>45901</v>
      </c>
      <c r="D4" s="581" t="s">
        <v>4068</v>
      </c>
      <c r="E4" s="564">
        <v>547760874</v>
      </c>
      <c r="F4" s="565" t="s">
        <v>4069</v>
      </c>
      <c r="G4" s="566">
        <v>1.7600862500000001</v>
      </c>
      <c r="H4" s="567">
        <v>229</v>
      </c>
      <c r="I4" s="567" t="s">
        <v>255</v>
      </c>
    </row>
    <row r="5" spans="1:9" ht="15.5" hidden="1">
      <c r="A5" s="562">
        <v>107</v>
      </c>
      <c r="B5" s="147" t="s">
        <v>148</v>
      </c>
      <c r="C5" s="568">
        <v>45902</v>
      </c>
      <c r="D5" s="581" t="s">
        <v>4066</v>
      </c>
      <c r="E5" s="564">
        <v>569334819</v>
      </c>
      <c r="F5" s="565" t="s">
        <v>4070</v>
      </c>
      <c r="G5" s="566">
        <v>1.7601002299999999</v>
      </c>
      <c r="H5" s="567">
        <v>229</v>
      </c>
      <c r="I5" s="567" t="s">
        <v>255</v>
      </c>
    </row>
    <row r="6" spans="1:9" ht="15.5">
      <c r="A6" s="562">
        <v>137</v>
      </c>
      <c r="B6" s="5" t="s">
        <v>148</v>
      </c>
      <c r="C6" s="568">
        <v>45903</v>
      </c>
      <c r="D6" s="581" t="s">
        <v>4071</v>
      </c>
      <c r="E6" s="564">
        <v>551746965</v>
      </c>
      <c r="F6" s="565" t="s">
        <v>4072</v>
      </c>
      <c r="G6" s="566">
        <v>1.7604986499999999</v>
      </c>
      <c r="H6" s="567">
        <v>229</v>
      </c>
      <c r="I6" s="567" t="s">
        <v>3887</v>
      </c>
    </row>
    <row r="7" spans="1:9" ht="15.5">
      <c r="A7" s="562">
        <v>247</v>
      </c>
      <c r="B7" s="147" t="s">
        <v>148</v>
      </c>
      <c r="C7" s="568">
        <v>45905</v>
      </c>
      <c r="D7" s="581" t="s">
        <v>4073</v>
      </c>
      <c r="E7" s="564">
        <v>528637170</v>
      </c>
      <c r="F7" s="565" t="s">
        <v>4074</v>
      </c>
      <c r="G7" s="566">
        <v>1.76094989</v>
      </c>
      <c r="H7" s="567">
        <v>229</v>
      </c>
      <c r="I7" s="567" t="s">
        <v>3887</v>
      </c>
    </row>
    <row r="8" spans="1:9" ht="15.5">
      <c r="A8" s="562">
        <v>256</v>
      </c>
      <c r="B8" s="147" t="s">
        <v>148</v>
      </c>
      <c r="C8" s="568">
        <v>45905</v>
      </c>
      <c r="D8" s="581" t="s">
        <v>4075</v>
      </c>
      <c r="E8" s="564">
        <v>553677718</v>
      </c>
      <c r="F8" s="565" t="s">
        <v>4076</v>
      </c>
      <c r="G8" s="566">
        <v>1.7601002299999999</v>
      </c>
      <c r="H8" s="567">
        <v>229</v>
      </c>
      <c r="I8" s="567" t="s">
        <v>3887</v>
      </c>
    </row>
    <row r="9" spans="1:9" ht="15.5" hidden="1">
      <c r="A9" s="562">
        <v>258</v>
      </c>
      <c r="B9" s="147" t="s">
        <v>148</v>
      </c>
      <c r="C9" s="568">
        <v>45905</v>
      </c>
      <c r="D9" s="35" t="s">
        <v>4077</v>
      </c>
      <c r="E9" s="3">
        <v>569096046</v>
      </c>
      <c r="F9" s="565" t="s">
        <v>4078</v>
      </c>
      <c r="G9" s="566">
        <v>1.7114007099999999</v>
      </c>
      <c r="H9" s="567">
        <v>229</v>
      </c>
      <c r="I9" s="567" t="s">
        <v>255</v>
      </c>
    </row>
    <row r="10" spans="1:9" ht="15.5">
      <c r="A10" s="562">
        <v>297</v>
      </c>
      <c r="B10" s="147" t="s">
        <v>148</v>
      </c>
      <c r="C10" s="568">
        <v>45906</v>
      </c>
      <c r="D10" s="35" t="s">
        <v>4079</v>
      </c>
      <c r="E10" s="3">
        <v>556377998</v>
      </c>
      <c r="F10" s="565" t="s">
        <v>4080</v>
      </c>
      <c r="G10" s="566">
        <v>1.7611961899999999</v>
      </c>
      <c r="H10" s="567">
        <v>229</v>
      </c>
      <c r="I10" s="567" t="s">
        <v>3887</v>
      </c>
    </row>
    <row r="11" spans="1:9" ht="15.5">
      <c r="A11" s="562">
        <v>327</v>
      </c>
      <c r="B11" s="147" t="s">
        <v>148</v>
      </c>
      <c r="C11" s="568">
        <v>45907</v>
      </c>
      <c r="D11" s="35" t="s">
        <v>3045</v>
      </c>
      <c r="E11" s="3">
        <v>529700134</v>
      </c>
      <c r="F11" s="565" t="s">
        <v>4081</v>
      </c>
      <c r="G11" s="566">
        <v>1.66093406</v>
      </c>
      <c r="H11" s="567">
        <v>229</v>
      </c>
      <c r="I11" s="567" t="s">
        <v>3887</v>
      </c>
    </row>
    <row r="12" spans="1:9" ht="15.5" hidden="1">
      <c r="A12" s="562">
        <v>482</v>
      </c>
      <c r="B12" s="147" t="s">
        <v>148</v>
      </c>
      <c r="C12" s="563">
        <v>45911</v>
      </c>
      <c r="D12" s="3" t="s">
        <v>4082</v>
      </c>
      <c r="E12" s="3">
        <v>507170021</v>
      </c>
      <c r="F12" s="565" t="s">
        <v>4083</v>
      </c>
      <c r="G12" s="566">
        <v>1.3732399099999999</v>
      </c>
      <c r="H12" s="567">
        <v>229</v>
      </c>
      <c r="I12" s="567" t="s">
        <v>4084</v>
      </c>
    </row>
    <row r="13" spans="1:9" ht="15.5">
      <c r="A13" s="562">
        <v>575</v>
      </c>
      <c r="B13" s="147" t="s">
        <v>148</v>
      </c>
      <c r="C13" s="563">
        <v>45913</v>
      </c>
      <c r="D13" s="35" t="s">
        <v>4085</v>
      </c>
      <c r="E13" s="3">
        <v>568281908</v>
      </c>
      <c r="F13" s="565" t="s">
        <v>4086</v>
      </c>
      <c r="G13" s="566">
        <v>1.56172092</v>
      </c>
      <c r="H13" s="567">
        <v>229</v>
      </c>
      <c r="I13" s="567" t="s">
        <v>3887</v>
      </c>
    </row>
    <row r="14" spans="1:9" ht="15.5">
      <c r="A14" s="562">
        <v>661</v>
      </c>
      <c r="B14" s="5" t="s">
        <v>148</v>
      </c>
      <c r="C14" s="563">
        <v>56872</v>
      </c>
      <c r="D14" s="35" t="s">
        <v>4087</v>
      </c>
      <c r="E14" s="3">
        <v>523287622</v>
      </c>
      <c r="F14" s="565" t="s">
        <v>4088</v>
      </c>
      <c r="G14" s="566">
        <v>1.71638544</v>
      </c>
      <c r="H14" s="567">
        <v>229</v>
      </c>
      <c r="I14" s="567" t="s">
        <v>3887</v>
      </c>
    </row>
    <row r="15" spans="1:9" ht="15.5">
      <c r="A15" s="562">
        <v>708</v>
      </c>
      <c r="B15" s="5" t="s">
        <v>148</v>
      </c>
      <c r="C15" s="563">
        <v>45916</v>
      </c>
      <c r="D15" s="35" t="s">
        <v>4089</v>
      </c>
      <c r="E15" s="3">
        <v>507170021</v>
      </c>
      <c r="F15" s="565" t="s">
        <v>4090</v>
      </c>
      <c r="G15" s="566">
        <v>1.7635598699999999</v>
      </c>
      <c r="H15" s="567">
        <v>229</v>
      </c>
      <c r="I15" s="567" t="s">
        <v>3887</v>
      </c>
    </row>
    <row r="16" spans="1:9" ht="15.5" hidden="1">
      <c r="A16" s="562">
        <v>712</v>
      </c>
      <c r="B16" s="5" t="s">
        <v>148</v>
      </c>
      <c r="C16" s="563">
        <v>45916</v>
      </c>
      <c r="D16" s="35" t="s">
        <v>4089</v>
      </c>
      <c r="E16" s="3">
        <v>528830688</v>
      </c>
      <c r="F16" s="565" t="s">
        <v>4091</v>
      </c>
      <c r="G16" s="566">
        <v>1.7635598699999999</v>
      </c>
      <c r="H16" s="567">
        <v>229</v>
      </c>
      <c r="I16" s="567" t="s">
        <v>255</v>
      </c>
    </row>
    <row r="17" spans="1:9" ht="15.5" hidden="1">
      <c r="A17" s="562">
        <v>843</v>
      </c>
      <c r="B17" s="5" t="s">
        <v>148</v>
      </c>
      <c r="C17" s="568">
        <v>45919</v>
      </c>
      <c r="D17" s="35" t="s">
        <v>4092</v>
      </c>
      <c r="E17" s="3">
        <v>502173962</v>
      </c>
      <c r="F17" s="565" t="s">
        <v>4093</v>
      </c>
      <c r="G17" s="566">
        <v>1.5725187899999999</v>
      </c>
      <c r="H17" s="567">
        <v>229</v>
      </c>
      <c r="I17" s="567" t="s">
        <v>255</v>
      </c>
    </row>
    <row r="18" spans="1:9" ht="15.5" hidden="1">
      <c r="A18" s="562">
        <v>850</v>
      </c>
      <c r="B18" s="5" t="s">
        <v>148</v>
      </c>
      <c r="C18" s="568">
        <v>45919</v>
      </c>
      <c r="D18" s="35" t="s">
        <v>4092</v>
      </c>
      <c r="E18" s="3">
        <v>554541873</v>
      </c>
      <c r="F18" s="565" t="s">
        <v>4094</v>
      </c>
      <c r="G18" s="566">
        <v>1.5725187899999999</v>
      </c>
      <c r="H18" s="567">
        <v>229</v>
      </c>
      <c r="I18" s="567" t="s">
        <v>255</v>
      </c>
    </row>
    <row r="19" spans="1:9" ht="15.5" hidden="1">
      <c r="A19" s="562">
        <v>887</v>
      </c>
      <c r="B19" s="5" t="s">
        <v>148</v>
      </c>
      <c r="C19" s="568">
        <v>45919</v>
      </c>
      <c r="D19" s="35" t="s">
        <v>2101</v>
      </c>
      <c r="E19" s="3">
        <v>525310797</v>
      </c>
      <c r="F19" s="565" t="s">
        <v>4095</v>
      </c>
      <c r="G19" s="566">
        <v>1.4351657799999999</v>
      </c>
      <c r="H19" s="567">
        <v>299</v>
      </c>
      <c r="I19" s="567" t="s">
        <v>4084</v>
      </c>
    </row>
    <row r="20" spans="1:9" ht="15.5">
      <c r="A20" s="562">
        <v>942</v>
      </c>
      <c r="B20" s="5" t="s">
        <v>148</v>
      </c>
      <c r="C20" s="568">
        <v>45921</v>
      </c>
      <c r="D20" s="580" t="s">
        <v>4096</v>
      </c>
      <c r="E20" s="569">
        <v>558512703</v>
      </c>
      <c r="F20" s="565" t="s">
        <v>4097</v>
      </c>
      <c r="G20" s="566">
        <v>1.76473492</v>
      </c>
      <c r="H20" s="567">
        <v>229</v>
      </c>
      <c r="I20" s="567" t="s">
        <v>3887</v>
      </c>
    </row>
    <row r="21" spans="1:9" ht="15.5">
      <c r="A21" s="562">
        <v>1014</v>
      </c>
      <c r="B21" s="5" t="s">
        <v>148</v>
      </c>
      <c r="C21" s="563">
        <v>45923</v>
      </c>
      <c r="D21" s="580" t="s">
        <v>4098</v>
      </c>
      <c r="E21" s="569">
        <v>522777401</v>
      </c>
      <c r="F21" s="565" t="s">
        <v>4099</v>
      </c>
      <c r="G21" s="566">
        <v>1.2287220299999999</v>
      </c>
      <c r="H21" s="567">
        <v>229</v>
      </c>
      <c r="I21" s="567" t="s">
        <v>3887</v>
      </c>
    </row>
    <row r="22" spans="1:9" ht="15.5">
      <c r="A22" s="562">
        <v>1177</v>
      </c>
      <c r="B22" s="5" t="s">
        <v>148</v>
      </c>
      <c r="C22" s="563">
        <v>45926</v>
      </c>
      <c r="D22" s="580" t="s">
        <v>4100</v>
      </c>
      <c r="E22" s="569">
        <v>509602177</v>
      </c>
      <c r="F22" s="565" t="s">
        <v>4101</v>
      </c>
      <c r="G22" s="566" t="e">
        <v>#N/A</v>
      </c>
      <c r="H22" s="567">
        <v>229</v>
      </c>
      <c r="I22" s="567" t="s">
        <v>4102</v>
      </c>
    </row>
    <row r="23" spans="1:9" ht="15.5">
      <c r="A23" s="562">
        <v>1197</v>
      </c>
      <c r="B23" s="5" t="s">
        <v>148</v>
      </c>
      <c r="C23" s="563">
        <v>45926</v>
      </c>
      <c r="D23" s="580" t="s">
        <v>4103</v>
      </c>
      <c r="E23" s="569">
        <v>581339448</v>
      </c>
      <c r="F23" s="565" t="s">
        <v>4104</v>
      </c>
      <c r="G23" s="566">
        <v>1.3618858700000001</v>
      </c>
      <c r="H23" s="567">
        <v>229</v>
      </c>
      <c r="I23" s="567" t="s">
        <v>3887</v>
      </c>
    </row>
    <row r="24" spans="1:9" ht="15.5">
      <c r="A24" s="562">
        <v>1276</v>
      </c>
      <c r="B24" s="569" t="s">
        <v>148</v>
      </c>
      <c r="C24" s="563">
        <v>45927</v>
      </c>
      <c r="D24" s="580" t="s">
        <v>4105</v>
      </c>
      <c r="E24" s="569">
        <v>547627452</v>
      </c>
      <c r="F24" s="565" t="s">
        <v>4106</v>
      </c>
      <c r="G24" s="566">
        <v>1.7663503599999999</v>
      </c>
      <c r="H24" s="567">
        <v>229</v>
      </c>
      <c r="I24" s="567" t="s">
        <v>3887</v>
      </c>
    </row>
    <row r="25" spans="1:9" ht="15.5">
      <c r="A25" s="562">
        <v>1315</v>
      </c>
      <c r="B25" s="569" t="s">
        <v>148</v>
      </c>
      <c r="C25" s="563">
        <v>45928</v>
      </c>
      <c r="D25" s="580" t="s">
        <v>4107</v>
      </c>
      <c r="E25" s="569">
        <v>582290043</v>
      </c>
      <c r="F25" s="565" t="s">
        <v>4108</v>
      </c>
      <c r="G25" s="566">
        <v>1.7665745399999999</v>
      </c>
      <c r="H25" s="567">
        <v>229</v>
      </c>
      <c r="I25" s="567" t="s">
        <v>3887</v>
      </c>
    </row>
    <row r="26" spans="1:9" ht="15.5" hidden="1">
      <c r="A26" s="562">
        <v>1376</v>
      </c>
      <c r="B26" s="569" t="s">
        <v>148</v>
      </c>
      <c r="C26" s="563">
        <v>45929</v>
      </c>
      <c r="D26" s="569" t="s">
        <v>4109</v>
      </c>
      <c r="E26" s="569">
        <v>505029134</v>
      </c>
      <c r="F26" s="565" t="s">
        <v>4110</v>
      </c>
      <c r="G26" s="566">
        <v>1.7668201800000001</v>
      </c>
      <c r="H26" s="567">
        <v>229</v>
      </c>
      <c r="I26" s="567" t="s">
        <v>4084</v>
      </c>
    </row>
    <row r="27" spans="1:9" ht="19.5" customHeight="1">
      <c r="D27" s="583" t="s">
        <v>4173</v>
      </c>
      <c r="E27" s="583">
        <v>554223047</v>
      </c>
      <c r="F27" s="584" t="s">
        <v>4174</v>
      </c>
      <c r="G27" t="s">
        <v>4175</v>
      </c>
      <c r="H27" s="585">
        <v>429</v>
      </c>
      <c r="I27" s="585" t="s">
        <v>1327</v>
      </c>
    </row>
    <row r="30" spans="1:9">
      <c r="I30">
        <v>5150</v>
      </c>
    </row>
    <row r="31" spans="1:9">
      <c r="I31">
        <v>4850</v>
      </c>
    </row>
  </sheetData>
  <autoFilter ref="A1:I27" xr:uid="{1091CCDF-4E57-48C1-8E3A-F6415D2465E6}">
    <filterColumn colId="7">
      <filters>
        <filter val="229"/>
        <filter val="429"/>
      </filters>
    </filterColumn>
    <filterColumn colId="8">
      <filters>
        <filter val="Activated"/>
        <filter val="active"/>
        <filter val="Completed"/>
      </filters>
    </filterColumn>
  </autoFilter>
  <conditionalFormatting sqref="I1">
    <cfRule type="cellIs" priority="6" operator="equal">
      <formula>"In progress"</formula>
    </cfRule>
  </conditionalFormatting>
  <conditionalFormatting sqref="I1:I27">
    <cfRule type="cellIs" dxfId="112" priority="5" operator="equal">
      <formula>"Completed"</formula>
    </cfRule>
  </conditionalFormatting>
  <conditionalFormatting sqref="I2:I27">
    <cfRule type="cellIs" dxfId="111" priority="1" operator="equal">
      <formula>"In Process"</formula>
    </cfRule>
    <cfRule type="cellIs" dxfId="110" priority="2" operator="equal">
      <formula>"Cancelled"</formula>
    </cfRule>
    <cfRule type="cellIs" dxfId="109" priority="3" operator="equal">
      <formula>"Activated"</formula>
    </cfRule>
    <cfRule type="cellIs" dxfId="108" priority="4" operator="equal">
      <formula>"In Process"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321AB-3F60-4542-9229-40205648221E}">
  <sheetPr filterMode="1"/>
  <dimension ref="A1:J27"/>
  <sheetViews>
    <sheetView topLeftCell="A13" workbookViewId="0">
      <selection activeCell="J26" sqref="J2:J26"/>
    </sheetView>
  </sheetViews>
  <sheetFormatPr defaultRowHeight="14.5"/>
  <cols>
    <col min="1" max="1" width="6.1796875" bestFit="1" customWidth="1"/>
    <col min="2" max="2" width="7.81640625" bestFit="1" customWidth="1"/>
    <col min="3" max="3" width="9.90625" bestFit="1" customWidth="1"/>
    <col min="4" max="4" width="20.90625" bestFit="1" customWidth="1"/>
    <col min="5" max="5" width="10.6328125" bestFit="1" customWidth="1"/>
    <col min="6" max="6" width="12.453125" bestFit="1" customWidth="1"/>
    <col min="7" max="7" width="11.7265625" bestFit="1" customWidth="1"/>
    <col min="8" max="8" width="11.90625" bestFit="1" customWidth="1"/>
    <col min="9" max="9" width="5" bestFit="1" customWidth="1"/>
    <col min="10" max="10" width="10.453125" bestFit="1" customWidth="1"/>
  </cols>
  <sheetData>
    <row r="1" spans="1:10" ht="31">
      <c r="A1" s="558" t="s">
        <v>3881</v>
      </c>
      <c r="B1" s="558" t="s">
        <v>2634</v>
      </c>
      <c r="C1" s="558" t="s">
        <v>1668</v>
      </c>
      <c r="D1" s="559" t="s">
        <v>2637</v>
      </c>
      <c r="E1" s="559" t="s">
        <v>4062</v>
      </c>
      <c r="F1" s="560" t="s">
        <v>2636</v>
      </c>
      <c r="G1" s="558" t="s">
        <v>3883</v>
      </c>
      <c r="H1" s="558" t="s">
        <v>4121</v>
      </c>
      <c r="I1" s="561" t="s">
        <v>1882</v>
      </c>
      <c r="J1" s="561" t="s">
        <v>3884</v>
      </c>
    </row>
    <row r="2" spans="1:10" ht="15.5">
      <c r="A2" s="562">
        <v>4</v>
      </c>
      <c r="B2" s="147" t="s">
        <v>148</v>
      </c>
      <c r="C2" s="563">
        <v>45930</v>
      </c>
      <c r="D2" s="564" t="s">
        <v>4122</v>
      </c>
      <c r="E2" s="564">
        <v>507032436</v>
      </c>
      <c r="F2" s="564" t="s">
        <v>4123</v>
      </c>
      <c r="G2" s="564">
        <v>1.76701894</v>
      </c>
      <c r="H2" s="576" t="e">
        <v>#N/A</v>
      </c>
      <c r="I2" s="564">
        <v>349</v>
      </c>
      <c r="J2" s="567" t="s">
        <v>3887</v>
      </c>
    </row>
    <row r="3" spans="1:10" ht="15.5">
      <c r="A3" s="562">
        <v>36</v>
      </c>
      <c r="B3" s="147" t="s">
        <v>148</v>
      </c>
      <c r="C3" s="563">
        <v>45931</v>
      </c>
      <c r="D3" s="564" t="s">
        <v>4124</v>
      </c>
      <c r="E3" s="564">
        <v>556637131</v>
      </c>
      <c r="F3" s="564" t="s">
        <v>4125</v>
      </c>
      <c r="G3" s="576">
        <v>1.76727425</v>
      </c>
      <c r="H3" s="576" t="e">
        <v>#N/A</v>
      </c>
      <c r="I3" s="564">
        <v>229</v>
      </c>
      <c r="J3" s="567" t="s">
        <v>3887</v>
      </c>
    </row>
    <row r="4" spans="1:10" ht="31">
      <c r="A4" s="562">
        <v>92</v>
      </c>
      <c r="B4" s="147" t="s">
        <v>148</v>
      </c>
      <c r="C4" s="563">
        <v>45932</v>
      </c>
      <c r="D4" s="564" t="s">
        <v>4126</v>
      </c>
      <c r="E4" s="564">
        <v>559495346</v>
      </c>
      <c r="F4" s="565" t="s">
        <v>4127</v>
      </c>
      <c r="G4" s="566">
        <v>1.7675707000000001</v>
      </c>
      <c r="H4" s="576" t="e">
        <v>#N/A</v>
      </c>
      <c r="I4" s="564">
        <v>229</v>
      </c>
      <c r="J4" s="567" t="s">
        <v>3887</v>
      </c>
    </row>
    <row r="5" spans="1:10" ht="31" hidden="1">
      <c r="A5" s="562">
        <v>159</v>
      </c>
      <c r="B5" s="147" t="s">
        <v>148</v>
      </c>
      <c r="C5" s="568">
        <v>45933</v>
      </c>
      <c r="D5" s="564" t="s">
        <v>4128</v>
      </c>
      <c r="E5" s="564">
        <v>505029134</v>
      </c>
      <c r="F5" s="565" t="s">
        <v>4129</v>
      </c>
      <c r="G5" s="566">
        <v>1.7668201800000001</v>
      </c>
      <c r="H5" s="576" t="e">
        <v>#N/A</v>
      </c>
      <c r="I5" s="564">
        <v>229</v>
      </c>
      <c r="J5" s="567" t="s">
        <v>255</v>
      </c>
    </row>
    <row r="6" spans="1:10" ht="31">
      <c r="A6" s="562">
        <v>164</v>
      </c>
      <c r="B6" s="147" t="s">
        <v>148</v>
      </c>
      <c r="C6" s="568">
        <v>45933</v>
      </c>
      <c r="D6" s="564" t="s">
        <v>4130</v>
      </c>
      <c r="E6" s="564">
        <v>586305440</v>
      </c>
      <c r="F6" s="565" t="s">
        <v>4131</v>
      </c>
      <c r="G6" s="566">
        <v>1.2825791099999999</v>
      </c>
      <c r="H6" s="576" t="e">
        <v>#N/A</v>
      </c>
      <c r="I6" s="567">
        <v>229</v>
      </c>
      <c r="J6" s="567" t="s">
        <v>3887</v>
      </c>
    </row>
    <row r="7" spans="1:10" ht="31">
      <c r="A7" s="562">
        <v>326</v>
      </c>
      <c r="B7" s="147" t="s">
        <v>148</v>
      </c>
      <c r="C7" s="568">
        <v>45936</v>
      </c>
      <c r="D7" s="3" t="s">
        <v>4132</v>
      </c>
      <c r="E7" s="3">
        <v>565329593</v>
      </c>
      <c r="F7" s="565" t="s">
        <v>4133</v>
      </c>
      <c r="G7" s="566">
        <v>1.76873408</v>
      </c>
      <c r="H7" s="576" t="e">
        <v>#N/A</v>
      </c>
      <c r="I7" s="578">
        <v>229</v>
      </c>
      <c r="J7" s="567" t="s">
        <v>3887</v>
      </c>
    </row>
    <row r="8" spans="1:10" ht="31">
      <c r="A8" s="562">
        <v>352</v>
      </c>
      <c r="B8" s="147" t="s">
        <v>148</v>
      </c>
      <c r="C8" s="568">
        <v>45937</v>
      </c>
      <c r="D8" s="3" t="s">
        <v>4134</v>
      </c>
      <c r="E8" s="3">
        <v>558876633</v>
      </c>
      <c r="F8" s="565" t="s">
        <v>4135</v>
      </c>
      <c r="G8" s="566">
        <v>1.3186206600000001</v>
      </c>
      <c r="H8" s="576" t="e">
        <v>#N/A</v>
      </c>
      <c r="I8" s="567">
        <v>229</v>
      </c>
      <c r="J8" s="567" t="s">
        <v>3887</v>
      </c>
    </row>
    <row r="9" spans="1:10" ht="31">
      <c r="A9" s="562">
        <v>367</v>
      </c>
      <c r="B9" s="147" t="s">
        <v>148</v>
      </c>
      <c r="C9" s="568">
        <v>45937</v>
      </c>
      <c r="D9" s="3" t="s">
        <v>4136</v>
      </c>
      <c r="E9" s="3">
        <v>547665977</v>
      </c>
      <c r="F9" s="565" t="s">
        <v>4137</v>
      </c>
      <c r="G9" s="566">
        <v>1.76895186</v>
      </c>
      <c r="H9" s="576" t="e">
        <v>#N/A</v>
      </c>
      <c r="I9" s="567">
        <v>229</v>
      </c>
      <c r="J9" s="567" t="s">
        <v>3887</v>
      </c>
    </row>
    <row r="10" spans="1:10" ht="31">
      <c r="A10" s="562">
        <v>603</v>
      </c>
      <c r="B10" s="5" t="s">
        <v>148</v>
      </c>
      <c r="C10" s="563">
        <v>45942</v>
      </c>
      <c r="D10" s="3" t="s">
        <v>4138</v>
      </c>
      <c r="E10" s="3">
        <v>522684578</v>
      </c>
      <c r="F10" s="565" t="s">
        <v>4139</v>
      </c>
      <c r="G10" s="566">
        <v>1.7702746700000001</v>
      </c>
      <c r="H10" s="576" t="e">
        <v>#N/A</v>
      </c>
      <c r="I10" s="567">
        <v>229</v>
      </c>
      <c r="J10" s="567" t="s">
        <v>3887</v>
      </c>
    </row>
    <row r="11" spans="1:10" ht="31">
      <c r="A11" s="562">
        <v>741</v>
      </c>
      <c r="B11" s="5" t="s">
        <v>148</v>
      </c>
      <c r="C11" s="563">
        <v>45945</v>
      </c>
      <c r="D11" s="3" t="s">
        <v>4140</v>
      </c>
      <c r="E11" s="3">
        <v>509602177</v>
      </c>
      <c r="F11" s="565" t="s">
        <v>4141</v>
      </c>
      <c r="G11" s="566">
        <v>1.77116049</v>
      </c>
      <c r="H11" s="576" t="s">
        <v>3964</v>
      </c>
      <c r="I11" s="567">
        <v>229</v>
      </c>
      <c r="J11" s="567" t="s">
        <v>3887</v>
      </c>
    </row>
    <row r="12" spans="1:10" ht="31" hidden="1">
      <c r="A12" s="562">
        <v>742</v>
      </c>
      <c r="B12" s="5" t="s">
        <v>148</v>
      </c>
      <c r="C12" s="563">
        <v>45945</v>
      </c>
      <c r="D12" s="3" t="s">
        <v>4140</v>
      </c>
      <c r="E12" s="3">
        <v>566395856</v>
      </c>
      <c r="F12" s="565" t="s">
        <v>4142</v>
      </c>
      <c r="G12" s="566">
        <v>1.77116049</v>
      </c>
      <c r="H12" s="576" t="e">
        <v>#N/A</v>
      </c>
      <c r="I12" s="567">
        <v>229</v>
      </c>
      <c r="J12" s="567" t="s">
        <v>255</v>
      </c>
    </row>
    <row r="13" spans="1:10" ht="31">
      <c r="A13" s="562">
        <v>782</v>
      </c>
      <c r="B13" s="5" t="s">
        <v>148</v>
      </c>
      <c r="C13" s="568">
        <v>45946</v>
      </c>
      <c r="D13" s="3" t="s">
        <v>4143</v>
      </c>
      <c r="E13" s="3">
        <v>559721285</v>
      </c>
      <c r="F13" s="565" t="s">
        <v>4144</v>
      </c>
      <c r="G13" s="566">
        <v>1.7714349</v>
      </c>
      <c r="H13" s="576" t="e">
        <v>#N/A</v>
      </c>
      <c r="I13" s="567">
        <v>229</v>
      </c>
      <c r="J13" s="567" t="s">
        <v>3887</v>
      </c>
    </row>
    <row r="14" spans="1:10" ht="31">
      <c r="A14" s="562">
        <v>787</v>
      </c>
      <c r="B14" s="5" t="s">
        <v>148</v>
      </c>
      <c r="C14" s="568">
        <v>45946</v>
      </c>
      <c r="D14" s="3" t="s">
        <v>4145</v>
      </c>
      <c r="E14" s="3">
        <v>545455492</v>
      </c>
      <c r="F14" s="565" t="s">
        <v>4146</v>
      </c>
      <c r="G14" s="566">
        <v>1.77143907</v>
      </c>
      <c r="H14" s="576" t="e">
        <v>#N/A</v>
      </c>
      <c r="I14" s="567">
        <v>229</v>
      </c>
      <c r="J14" s="567" t="s">
        <v>3887</v>
      </c>
    </row>
    <row r="15" spans="1:10" ht="31">
      <c r="A15" s="562">
        <v>797</v>
      </c>
      <c r="B15" s="5" t="s">
        <v>148</v>
      </c>
      <c r="C15" s="568">
        <v>45946</v>
      </c>
      <c r="D15" s="3" t="s">
        <v>4147</v>
      </c>
      <c r="E15" s="3">
        <v>504646652</v>
      </c>
      <c r="F15" s="565" t="s">
        <v>4148</v>
      </c>
      <c r="G15" s="566">
        <v>1.7714881200000001</v>
      </c>
      <c r="H15" s="576" t="e">
        <v>#N/A</v>
      </c>
      <c r="I15" s="567">
        <v>229</v>
      </c>
      <c r="J15" s="567" t="s">
        <v>3887</v>
      </c>
    </row>
    <row r="16" spans="1:10" ht="31">
      <c r="A16" s="562">
        <v>934</v>
      </c>
      <c r="B16" s="5" t="s">
        <v>148</v>
      </c>
      <c r="C16" s="568">
        <v>45950</v>
      </c>
      <c r="D16" s="569" t="s">
        <v>4149</v>
      </c>
      <c r="E16" s="569">
        <v>502447456</v>
      </c>
      <c r="F16" s="565" t="s">
        <v>4150</v>
      </c>
      <c r="G16" s="566">
        <v>1.7724979000000001</v>
      </c>
      <c r="H16" s="576" t="e">
        <v>#N/A</v>
      </c>
      <c r="I16" s="567">
        <v>229</v>
      </c>
      <c r="J16" s="567" t="s">
        <v>3887</v>
      </c>
    </row>
    <row r="17" spans="1:10" ht="31" hidden="1">
      <c r="A17" s="562">
        <v>1052</v>
      </c>
      <c r="B17" s="5" t="s">
        <v>148</v>
      </c>
      <c r="C17" s="563">
        <v>45953</v>
      </c>
      <c r="D17" s="569" t="s">
        <v>4151</v>
      </c>
      <c r="E17" s="569">
        <v>561221167</v>
      </c>
      <c r="F17" s="565" t="s">
        <v>4152</v>
      </c>
      <c r="G17" s="566">
        <v>1.7732888</v>
      </c>
      <c r="H17" s="576" t="e">
        <v>#N/A</v>
      </c>
      <c r="I17" s="567">
        <v>229</v>
      </c>
      <c r="J17" s="567" t="s">
        <v>255</v>
      </c>
    </row>
    <row r="18" spans="1:10" ht="31">
      <c r="A18" s="562">
        <v>1146</v>
      </c>
      <c r="B18" s="5" t="s">
        <v>148</v>
      </c>
      <c r="C18" s="563">
        <v>45955</v>
      </c>
      <c r="D18" s="569" t="s">
        <v>4153</v>
      </c>
      <c r="E18" s="569">
        <v>551439750</v>
      </c>
      <c r="F18" s="565" t="s">
        <v>4154</v>
      </c>
      <c r="G18" s="566">
        <v>1.77385872</v>
      </c>
      <c r="H18" s="576" t="e">
        <v>#N/A</v>
      </c>
      <c r="I18" s="567">
        <v>229</v>
      </c>
      <c r="J18" s="567" t="s">
        <v>3887</v>
      </c>
    </row>
    <row r="19" spans="1:10" ht="31">
      <c r="A19" s="562">
        <v>1215</v>
      </c>
      <c r="B19" s="5" t="s">
        <v>148</v>
      </c>
      <c r="C19" s="563">
        <v>45957</v>
      </c>
      <c r="D19" s="569" t="s">
        <v>4155</v>
      </c>
      <c r="E19" s="569">
        <v>506117715</v>
      </c>
      <c r="F19" s="565" t="s">
        <v>4156</v>
      </c>
      <c r="G19" s="566">
        <v>1.7744740800000001</v>
      </c>
      <c r="H19" s="576" t="e">
        <v>#N/A</v>
      </c>
      <c r="I19" s="567">
        <v>229</v>
      </c>
      <c r="J19" s="567" t="s">
        <v>3887</v>
      </c>
    </row>
    <row r="20" spans="1:10" ht="31">
      <c r="A20" s="562">
        <v>1218</v>
      </c>
      <c r="B20" s="5" t="s">
        <v>148</v>
      </c>
      <c r="C20" s="563">
        <v>45957</v>
      </c>
      <c r="D20" s="569" t="s">
        <v>4157</v>
      </c>
      <c r="E20" s="569">
        <v>582775378</v>
      </c>
      <c r="F20" s="565" t="s">
        <v>4158</v>
      </c>
      <c r="G20" s="566">
        <v>1.7744805299999999</v>
      </c>
      <c r="H20" s="576" t="e">
        <v>#N/A</v>
      </c>
      <c r="I20" s="567">
        <v>229</v>
      </c>
      <c r="J20" s="567" t="s">
        <v>4084</v>
      </c>
    </row>
    <row r="21" spans="1:10" ht="31">
      <c r="A21" s="562">
        <v>1221</v>
      </c>
      <c r="B21" s="569" t="s">
        <v>148</v>
      </c>
      <c r="C21" s="563">
        <v>45957</v>
      </c>
      <c r="D21" s="569" t="s">
        <v>4151</v>
      </c>
      <c r="E21" s="569">
        <v>561221167</v>
      </c>
      <c r="F21" s="565" t="s">
        <v>4159</v>
      </c>
      <c r="G21" s="566">
        <v>1.7732888</v>
      </c>
      <c r="H21" s="576" t="e">
        <v>#N/A</v>
      </c>
      <c r="I21" s="567">
        <v>229</v>
      </c>
      <c r="J21" s="567" t="s">
        <v>4084</v>
      </c>
    </row>
    <row r="22" spans="1:10" ht="31">
      <c r="A22" s="562">
        <v>1230</v>
      </c>
      <c r="B22" s="569" t="s">
        <v>148</v>
      </c>
      <c r="C22" s="563">
        <v>45957</v>
      </c>
      <c r="D22" s="569" t="s">
        <v>4160</v>
      </c>
      <c r="E22" s="569">
        <v>582775378</v>
      </c>
      <c r="F22" s="565" t="s">
        <v>4161</v>
      </c>
      <c r="G22" s="566">
        <v>1.77452572</v>
      </c>
      <c r="H22" s="576" t="e">
        <v>#N/A</v>
      </c>
      <c r="I22" s="567">
        <v>229</v>
      </c>
      <c r="J22" s="567" t="s">
        <v>3887</v>
      </c>
    </row>
    <row r="23" spans="1:10" ht="31">
      <c r="A23" s="562">
        <v>1262</v>
      </c>
      <c r="B23" s="569" t="s">
        <v>148</v>
      </c>
      <c r="C23" s="563">
        <v>45958</v>
      </c>
      <c r="D23" s="569" t="s">
        <v>4162</v>
      </c>
      <c r="E23" s="569">
        <v>543274069</v>
      </c>
      <c r="F23" s="565" t="s">
        <v>4163</v>
      </c>
      <c r="G23" s="566">
        <v>1.77476367</v>
      </c>
      <c r="H23" s="576" t="e">
        <v>#N/A</v>
      </c>
      <c r="I23" s="567">
        <v>229</v>
      </c>
      <c r="J23" s="567" t="s">
        <v>3887</v>
      </c>
    </row>
    <row r="24" spans="1:10" ht="31">
      <c r="A24" s="562">
        <v>1269</v>
      </c>
      <c r="B24" s="569" t="s">
        <v>148</v>
      </c>
      <c r="C24" s="563">
        <v>45958</v>
      </c>
      <c r="D24" s="569" t="s">
        <v>4164</v>
      </c>
      <c r="E24" s="569">
        <v>566252781</v>
      </c>
      <c r="F24" s="565" t="s">
        <v>4165</v>
      </c>
      <c r="G24" s="566">
        <v>1.7747996800000001</v>
      </c>
      <c r="H24" s="576" t="e">
        <v>#N/A</v>
      </c>
      <c r="I24" s="567">
        <v>229</v>
      </c>
      <c r="J24" s="567" t="s">
        <v>3887</v>
      </c>
    </row>
    <row r="25" spans="1:10" ht="31">
      <c r="A25" s="562">
        <v>1353</v>
      </c>
      <c r="B25" s="569" t="s">
        <v>148</v>
      </c>
      <c r="C25" s="563">
        <v>45960</v>
      </c>
      <c r="D25" s="569" t="s">
        <v>4166</v>
      </c>
      <c r="E25" s="569">
        <v>554170554</v>
      </c>
      <c r="F25" s="565" t="s">
        <v>4167</v>
      </c>
      <c r="G25" s="566">
        <v>1.7752918900000001</v>
      </c>
      <c r="H25" s="576" t="e">
        <v>#N/A</v>
      </c>
      <c r="I25" s="567">
        <v>229</v>
      </c>
      <c r="J25" s="567" t="s">
        <v>3887</v>
      </c>
    </row>
    <row r="26" spans="1:10" ht="31">
      <c r="A26" s="562">
        <v>1394</v>
      </c>
      <c r="B26" s="569" t="s">
        <v>148</v>
      </c>
      <c r="C26" s="563">
        <v>45960</v>
      </c>
      <c r="D26" s="569" t="s">
        <v>4168</v>
      </c>
      <c r="E26" s="569">
        <v>509602177</v>
      </c>
      <c r="F26" s="565" t="s">
        <v>4169</v>
      </c>
      <c r="G26" s="566">
        <v>1.7753391300000001</v>
      </c>
      <c r="H26" s="576" t="s">
        <v>3964</v>
      </c>
      <c r="I26" s="567">
        <v>229</v>
      </c>
      <c r="J26" s="567" t="s">
        <v>3887</v>
      </c>
    </row>
    <row r="27" spans="1:10" ht="31" hidden="1">
      <c r="A27" s="562">
        <v>1464</v>
      </c>
      <c r="B27" s="569" t="s">
        <v>148</v>
      </c>
      <c r="C27" s="563">
        <v>45961</v>
      </c>
      <c r="D27" s="569" t="s">
        <v>4170</v>
      </c>
      <c r="E27" s="569">
        <v>582719130</v>
      </c>
      <c r="F27" s="565" t="s">
        <v>4171</v>
      </c>
      <c r="G27" s="566">
        <v>1.77562285</v>
      </c>
      <c r="H27" s="576" t="e">
        <v>#N/A</v>
      </c>
      <c r="I27" s="567">
        <v>299</v>
      </c>
      <c r="J27" s="567" t="s">
        <v>4172</v>
      </c>
    </row>
  </sheetData>
  <autoFilter ref="A1:J27" xr:uid="{CD1321AB-3F60-4542-9229-40205648221E}">
    <filterColumn colId="8">
      <filters>
        <filter val="229"/>
        <filter val="349"/>
      </filters>
    </filterColumn>
    <filterColumn colId="9">
      <filters>
        <filter val="Activated"/>
        <filter val="In Progress"/>
      </filters>
    </filterColumn>
  </autoFilter>
  <conditionalFormatting sqref="F1:G27">
    <cfRule type="duplicateValues" dxfId="107" priority="5"/>
    <cfRule type="duplicateValues" dxfId="106" priority="6"/>
  </conditionalFormatting>
  <conditionalFormatting sqref="J1">
    <cfRule type="cellIs" priority="8" operator="equal">
      <formula>"In progress"</formula>
    </cfRule>
  </conditionalFormatting>
  <conditionalFormatting sqref="J1:J27">
    <cfRule type="cellIs" dxfId="105" priority="7" operator="equal">
      <formula>"Completed"</formula>
    </cfRule>
  </conditionalFormatting>
  <conditionalFormatting sqref="J2:J27">
    <cfRule type="cellIs" dxfId="104" priority="1" operator="equal">
      <formula>"In Process"</formula>
    </cfRule>
    <cfRule type="cellIs" dxfId="103" priority="2" operator="equal">
      <formula>"Cancelled"</formula>
    </cfRule>
    <cfRule type="cellIs" dxfId="102" priority="3" operator="equal">
      <formula>"Activated"</formula>
    </cfRule>
    <cfRule type="cellIs" dxfId="101" priority="4" operator="equal">
      <formula>"In Process"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31F07-8962-430A-A97B-194AA6B126AC}">
  <dimension ref="A1:L90"/>
  <sheetViews>
    <sheetView topLeftCell="E79" zoomScale="97" workbookViewId="0">
      <selection activeCell="E68" sqref="E68"/>
    </sheetView>
  </sheetViews>
  <sheetFormatPr defaultRowHeight="14.5"/>
  <cols>
    <col min="1" max="1" width="10.7265625" bestFit="1" customWidth="1"/>
    <col min="2" max="2" width="11.1796875" bestFit="1" customWidth="1"/>
    <col min="3" max="3" width="16.08984375" bestFit="1" customWidth="1"/>
    <col min="4" max="4" width="58.6328125" bestFit="1" customWidth="1"/>
    <col min="5" max="5" width="15.08984375" bestFit="1" customWidth="1"/>
    <col min="6" max="6" width="14.81640625" customWidth="1"/>
    <col min="7" max="7" width="12.81640625" bestFit="1" customWidth="1"/>
    <col min="8" max="8" width="17.26953125" bestFit="1" customWidth="1"/>
    <col min="9" max="9" width="26.08984375" bestFit="1" customWidth="1"/>
    <col min="10" max="10" width="12.7265625" bestFit="1" customWidth="1"/>
    <col min="11" max="11" width="16" bestFit="1" customWidth="1"/>
  </cols>
  <sheetData>
    <row r="1" spans="1:11" ht="31">
      <c r="A1" s="558" t="s">
        <v>3881</v>
      </c>
      <c r="B1" s="558" t="s">
        <v>2634</v>
      </c>
      <c r="C1" s="558" t="s">
        <v>1668</v>
      </c>
      <c r="D1" s="559" t="s">
        <v>2637</v>
      </c>
      <c r="E1" s="559" t="s">
        <v>4176</v>
      </c>
      <c r="F1" s="560" t="s">
        <v>2636</v>
      </c>
      <c r="G1" s="586" t="s">
        <v>3883</v>
      </c>
      <c r="H1" s="586" t="s">
        <v>3149</v>
      </c>
      <c r="I1" s="587" t="s">
        <v>1882</v>
      </c>
      <c r="J1" s="561" t="s">
        <v>3884</v>
      </c>
      <c r="K1" s="561" t="s">
        <v>4177</v>
      </c>
    </row>
    <row r="2" spans="1:11" ht="15.5">
      <c r="A2" s="562">
        <v>24</v>
      </c>
      <c r="B2" s="5" t="s">
        <v>148</v>
      </c>
      <c r="C2" s="588">
        <v>45957</v>
      </c>
      <c r="D2" s="564" t="s">
        <v>4157</v>
      </c>
      <c r="E2" s="564">
        <v>582775378</v>
      </c>
      <c r="F2" s="564" t="s">
        <v>4158</v>
      </c>
      <c r="G2" s="120">
        <v>1.7744805299999999</v>
      </c>
      <c r="H2" s="120"/>
      <c r="I2" s="3">
        <v>229</v>
      </c>
      <c r="J2" s="567" t="s">
        <v>3941</v>
      </c>
      <c r="K2" s="3" t="s">
        <v>3313</v>
      </c>
    </row>
    <row r="3" spans="1:11" ht="15.5">
      <c r="A3" s="562">
        <v>25</v>
      </c>
      <c r="B3" s="5" t="s">
        <v>148</v>
      </c>
      <c r="C3" s="588">
        <v>45957</v>
      </c>
      <c r="D3" s="564" t="s">
        <v>4151</v>
      </c>
      <c r="E3" s="564">
        <v>561221167</v>
      </c>
      <c r="F3" s="564" t="s">
        <v>4159</v>
      </c>
      <c r="G3" s="120">
        <v>1.7732888</v>
      </c>
      <c r="H3" s="120"/>
      <c r="I3" s="3">
        <v>229</v>
      </c>
      <c r="J3" s="567" t="s">
        <v>3941</v>
      </c>
      <c r="K3" s="3" t="s">
        <v>3313</v>
      </c>
    </row>
    <row r="4" spans="1:11" ht="15.5">
      <c r="A4" s="562">
        <v>94</v>
      </c>
      <c r="B4" s="5" t="s">
        <v>148</v>
      </c>
      <c r="C4" s="588">
        <v>45961</v>
      </c>
      <c r="D4" s="564" t="s">
        <v>4170</v>
      </c>
      <c r="E4" s="564">
        <v>582719130</v>
      </c>
      <c r="F4" s="565" t="s">
        <v>4171</v>
      </c>
      <c r="G4" s="120">
        <v>1.77562285</v>
      </c>
      <c r="H4" s="120" t="e">
        <v>#N/A</v>
      </c>
      <c r="I4" s="3">
        <v>299</v>
      </c>
      <c r="J4" s="589" t="s">
        <v>3887</v>
      </c>
      <c r="K4" s="3" t="s">
        <v>3313</v>
      </c>
    </row>
    <row r="5" spans="1:11" ht="15.5">
      <c r="A5" s="562">
        <v>131</v>
      </c>
      <c r="B5" s="5" t="s">
        <v>148</v>
      </c>
      <c r="C5" s="588">
        <v>45962</v>
      </c>
      <c r="D5" s="564" t="s">
        <v>4178</v>
      </c>
      <c r="E5" s="564">
        <v>556239567</v>
      </c>
      <c r="F5" s="565" t="s">
        <v>4179</v>
      </c>
      <c r="G5" s="120">
        <v>1.7758313999999999</v>
      </c>
      <c r="H5" s="120" t="e">
        <v>#N/A</v>
      </c>
      <c r="I5" s="3">
        <v>229</v>
      </c>
      <c r="J5" s="589" t="s">
        <v>3887</v>
      </c>
      <c r="K5" s="3" t="s">
        <v>1096</v>
      </c>
    </row>
    <row r="6" spans="1:11" ht="15.5">
      <c r="A6" s="562">
        <v>154</v>
      </c>
      <c r="B6" s="5" t="s">
        <v>148</v>
      </c>
      <c r="C6" s="588">
        <v>45962</v>
      </c>
      <c r="D6" s="564" t="s">
        <v>4128</v>
      </c>
      <c r="E6" s="564">
        <v>505029134</v>
      </c>
      <c r="F6" s="565" t="s">
        <v>4180</v>
      </c>
      <c r="G6" s="120">
        <v>1.7668201800000001</v>
      </c>
      <c r="H6" s="120"/>
      <c r="I6" s="3">
        <v>229</v>
      </c>
      <c r="J6" s="567" t="s">
        <v>255</v>
      </c>
      <c r="K6" s="3" t="s">
        <v>3313</v>
      </c>
    </row>
    <row r="7" spans="1:11" ht="15.5">
      <c r="A7" s="562">
        <v>159</v>
      </c>
      <c r="B7" s="5" t="s">
        <v>148</v>
      </c>
      <c r="C7" s="588">
        <v>45962</v>
      </c>
      <c r="D7" s="564" t="s">
        <v>4181</v>
      </c>
      <c r="E7" s="564">
        <v>523044379</v>
      </c>
      <c r="F7" s="565" t="s">
        <v>4182</v>
      </c>
      <c r="G7" s="120">
        <v>1.77589149</v>
      </c>
      <c r="H7" s="120" t="e">
        <v>#N/A</v>
      </c>
      <c r="I7" s="3">
        <v>299</v>
      </c>
      <c r="J7" s="589" t="s">
        <v>3887</v>
      </c>
      <c r="K7" s="3" t="s">
        <v>1096</v>
      </c>
    </row>
    <row r="8" spans="1:11" ht="15.5">
      <c r="A8" s="562">
        <v>163</v>
      </c>
      <c r="B8" s="147" t="s">
        <v>148</v>
      </c>
      <c r="C8" s="588">
        <v>45962</v>
      </c>
      <c r="D8" s="564" t="s">
        <v>4183</v>
      </c>
      <c r="E8" s="564">
        <v>558935999</v>
      </c>
      <c r="F8" s="565" t="s">
        <v>4184</v>
      </c>
      <c r="G8" s="120">
        <v>1.77589715</v>
      </c>
      <c r="H8" s="120" t="e">
        <v>#N/A</v>
      </c>
      <c r="I8" s="3">
        <v>229</v>
      </c>
      <c r="J8" s="589" t="s">
        <v>3887</v>
      </c>
      <c r="K8" s="3" t="s">
        <v>1096</v>
      </c>
    </row>
    <row r="9" spans="1:11" ht="15.5">
      <c r="A9" s="562">
        <v>203</v>
      </c>
      <c r="B9" s="5" t="s">
        <v>148</v>
      </c>
      <c r="C9" s="588">
        <v>45963</v>
      </c>
      <c r="D9" s="564" t="s">
        <v>4185</v>
      </c>
      <c r="E9" s="564">
        <v>559103846</v>
      </c>
      <c r="F9" s="565" t="s">
        <v>4186</v>
      </c>
      <c r="G9" s="120">
        <v>1.7761234299999999</v>
      </c>
      <c r="H9" s="120" t="s">
        <v>3964</v>
      </c>
      <c r="I9" s="3">
        <v>229</v>
      </c>
      <c r="J9" s="589" t="s">
        <v>3887</v>
      </c>
      <c r="K9" s="3" t="s">
        <v>3313</v>
      </c>
    </row>
    <row r="10" spans="1:11" ht="15.5">
      <c r="A10" s="562">
        <v>212</v>
      </c>
      <c r="B10" s="5" t="s">
        <v>148</v>
      </c>
      <c r="C10" s="588">
        <v>45963</v>
      </c>
      <c r="D10" s="564" t="s">
        <v>4187</v>
      </c>
      <c r="E10" s="564">
        <v>525456871</v>
      </c>
      <c r="F10" s="565" t="s">
        <v>4188</v>
      </c>
      <c r="G10" s="120">
        <v>1.4852753700000001</v>
      </c>
      <c r="H10" s="120"/>
      <c r="I10" s="3">
        <v>229</v>
      </c>
      <c r="J10" s="567" t="s">
        <v>255</v>
      </c>
      <c r="K10" s="3" t="s">
        <v>1096</v>
      </c>
    </row>
    <row r="11" spans="1:11" ht="15.5">
      <c r="A11" s="562">
        <v>218</v>
      </c>
      <c r="B11" s="5" t="s">
        <v>148</v>
      </c>
      <c r="C11" s="588">
        <v>45963</v>
      </c>
      <c r="D11" s="564" t="s">
        <v>4189</v>
      </c>
      <c r="E11" s="564">
        <v>525456871</v>
      </c>
      <c r="F11" s="565" t="s">
        <v>4190</v>
      </c>
      <c r="G11" s="120">
        <v>1.77618491</v>
      </c>
      <c r="H11" s="120" t="e">
        <v>#N/A</v>
      </c>
      <c r="I11" s="3">
        <v>229</v>
      </c>
      <c r="J11" s="589" t="s">
        <v>3887</v>
      </c>
      <c r="K11" s="3" t="s">
        <v>1096</v>
      </c>
    </row>
    <row r="12" spans="1:11" ht="15.5">
      <c r="A12" s="562">
        <v>237</v>
      </c>
      <c r="B12" s="5" t="s">
        <v>148</v>
      </c>
      <c r="C12" s="588">
        <v>45963</v>
      </c>
      <c r="D12" s="564" t="s">
        <v>4191</v>
      </c>
      <c r="E12" s="564">
        <v>502689952</v>
      </c>
      <c r="F12" s="565" t="s">
        <v>4192</v>
      </c>
      <c r="G12" s="120">
        <v>1.77625634</v>
      </c>
      <c r="H12" s="120"/>
      <c r="I12" s="3">
        <v>229</v>
      </c>
      <c r="J12" s="567" t="s">
        <v>255</v>
      </c>
      <c r="K12" s="3" t="s">
        <v>1096</v>
      </c>
    </row>
    <row r="13" spans="1:11" ht="15.5">
      <c r="A13" s="562">
        <v>242</v>
      </c>
      <c r="B13" s="5" t="s">
        <v>148</v>
      </c>
      <c r="C13" s="588">
        <v>45963</v>
      </c>
      <c r="D13" s="564" t="s">
        <v>4193</v>
      </c>
      <c r="E13" s="564">
        <v>507999371</v>
      </c>
      <c r="F13" s="565" t="s">
        <v>4194</v>
      </c>
      <c r="G13" s="120">
        <v>1.7762707900000001</v>
      </c>
      <c r="H13" s="120" t="e">
        <v>#N/A</v>
      </c>
      <c r="I13" s="3">
        <v>229</v>
      </c>
      <c r="J13" s="589" t="s">
        <v>3887</v>
      </c>
      <c r="K13" s="3" t="s">
        <v>3313</v>
      </c>
    </row>
    <row r="14" spans="1:11" ht="15.5">
      <c r="A14" s="562">
        <v>245</v>
      </c>
      <c r="B14" s="147" t="s">
        <v>148</v>
      </c>
      <c r="C14" s="588">
        <v>45963</v>
      </c>
      <c r="D14" s="564" t="s">
        <v>4195</v>
      </c>
      <c r="E14" s="564">
        <v>509602177</v>
      </c>
      <c r="F14" s="565" t="s">
        <v>4196</v>
      </c>
      <c r="G14" s="120">
        <v>1.7762906599999999</v>
      </c>
      <c r="H14" s="120" t="e">
        <v>#N/A</v>
      </c>
      <c r="I14" s="3">
        <v>299</v>
      </c>
      <c r="J14" s="589" t="s">
        <v>3887</v>
      </c>
      <c r="K14" s="3" t="s">
        <v>1096</v>
      </c>
    </row>
    <row r="15" spans="1:11" ht="15.5">
      <c r="A15" s="562">
        <v>254</v>
      </c>
      <c r="B15" s="5" t="s">
        <v>148</v>
      </c>
      <c r="C15" s="588">
        <v>45964</v>
      </c>
      <c r="D15" s="564" t="s">
        <v>4197</v>
      </c>
      <c r="E15" s="564">
        <v>586546409</v>
      </c>
      <c r="F15" s="565" t="s">
        <v>4198</v>
      </c>
      <c r="G15" s="120">
        <v>1.7764351300000001</v>
      </c>
      <c r="H15" s="120" t="s">
        <v>3964</v>
      </c>
      <c r="I15" s="3">
        <v>229</v>
      </c>
      <c r="J15" s="589" t="s">
        <v>3887</v>
      </c>
      <c r="K15" s="3" t="s">
        <v>1096</v>
      </c>
    </row>
    <row r="16" spans="1:11" ht="15.5">
      <c r="A16" s="562">
        <v>274</v>
      </c>
      <c r="B16" s="5" t="s">
        <v>148</v>
      </c>
      <c r="C16" s="588">
        <v>45964</v>
      </c>
      <c r="D16" s="3" t="s">
        <v>4193</v>
      </c>
      <c r="E16" s="3">
        <v>507999371</v>
      </c>
      <c r="F16" s="565" t="s">
        <v>4199</v>
      </c>
      <c r="G16" s="120">
        <v>1.7762707900000001</v>
      </c>
      <c r="H16" s="120"/>
      <c r="I16" s="3">
        <v>229</v>
      </c>
      <c r="J16" s="567" t="s">
        <v>255</v>
      </c>
      <c r="K16" s="3" t="s">
        <v>1096</v>
      </c>
    </row>
    <row r="17" spans="1:11" ht="15.5">
      <c r="A17" s="562">
        <v>279</v>
      </c>
      <c r="B17" s="147" t="s">
        <v>148</v>
      </c>
      <c r="C17" s="588">
        <v>45964</v>
      </c>
      <c r="D17" s="3" t="s">
        <v>4191</v>
      </c>
      <c r="E17" s="3">
        <v>561707639</v>
      </c>
      <c r="F17" s="565" t="s">
        <v>4200</v>
      </c>
      <c r="G17" s="120">
        <v>1.77625634</v>
      </c>
      <c r="H17" s="120"/>
      <c r="I17" s="3">
        <v>299</v>
      </c>
      <c r="J17" s="567" t="s">
        <v>255</v>
      </c>
      <c r="K17" s="3" t="s">
        <v>1096</v>
      </c>
    </row>
    <row r="18" spans="1:11" ht="15.5">
      <c r="A18" s="562">
        <v>284</v>
      </c>
      <c r="B18" s="5" t="s">
        <v>148</v>
      </c>
      <c r="C18" s="588">
        <v>45964</v>
      </c>
      <c r="D18" s="3" t="s">
        <v>4201</v>
      </c>
      <c r="E18" s="3">
        <v>507863854</v>
      </c>
      <c r="F18" s="565" t="s">
        <v>4202</v>
      </c>
      <c r="G18" s="120">
        <v>1.4093963199999999</v>
      </c>
      <c r="H18" s="120" t="e">
        <v>#N/A</v>
      </c>
      <c r="I18" s="3">
        <v>229</v>
      </c>
      <c r="J18" s="589" t="s">
        <v>3887</v>
      </c>
      <c r="K18" s="3" t="s">
        <v>1096</v>
      </c>
    </row>
    <row r="19" spans="1:11" ht="15.5">
      <c r="A19" s="562">
        <v>292</v>
      </c>
      <c r="B19" s="5" t="s">
        <v>148</v>
      </c>
      <c r="C19" s="588">
        <v>45964</v>
      </c>
      <c r="D19" s="3" t="s">
        <v>4197</v>
      </c>
      <c r="E19" s="3">
        <v>586546409</v>
      </c>
      <c r="F19" s="565" t="s">
        <v>4203</v>
      </c>
      <c r="G19" s="120">
        <v>1.77654961</v>
      </c>
      <c r="H19" s="120" t="s">
        <v>3732</v>
      </c>
      <c r="I19" s="3">
        <v>229</v>
      </c>
      <c r="J19" s="589" t="s">
        <v>3887</v>
      </c>
      <c r="K19" s="3" t="s">
        <v>3313</v>
      </c>
    </row>
    <row r="20" spans="1:11" ht="15.5">
      <c r="A20" s="562">
        <v>299</v>
      </c>
      <c r="B20" s="5" t="s">
        <v>148</v>
      </c>
      <c r="C20" s="588">
        <v>45964</v>
      </c>
      <c r="D20" s="3" t="s">
        <v>4185</v>
      </c>
      <c r="E20" s="3">
        <v>559103846</v>
      </c>
      <c r="F20" s="565" t="s">
        <v>4204</v>
      </c>
      <c r="G20" s="120">
        <v>1.7761234299999999</v>
      </c>
      <c r="H20" s="120"/>
      <c r="I20" s="3">
        <v>299</v>
      </c>
      <c r="J20" s="567" t="s">
        <v>255</v>
      </c>
      <c r="K20" s="3" t="s">
        <v>3313</v>
      </c>
    </row>
    <row r="21" spans="1:11" ht="15.5">
      <c r="A21" s="562">
        <v>301</v>
      </c>
      <c r="B21" s="5" t="s">
        <v>148</v>
      </c>
      <c r="C21" s="588">
        <v>45964</v>
      </c>
      <c r="D21" s="3" t="s">
        <v>4205</v>
      </c>
      <c r="E21" s="3">
        <v>508764891</v>
      </c>
      <c r="F21" s="565" t="s">
        <v>4206</v>
      </c>
      <c r="G21" s="120">
        <v>1.77657183</v>
      </c>
      <c r="H21" s="120"/>
      <c r="I21" s="3">
        <v>299</v>
      </c>
      <c r="J21" s="567" t="s">
        <v>255</v>
      </c>
      <c r="K21" s="3" t="s">
        <v>3313</v>
      </c>
    </row>
    <row r="22" spans="1:11" ht="15.5">
      <c r="A22" s="562">
        <v>318</v>
      </c>
      <c r="B22" s="5" t="s">
        <v>148</v>
      </c>
      <c r="C22" s="588">
        <v>45965</v>
      </c>
      <c r="D22" s="3" t="s">
        <v>4207</v>
      </c>
      <c r="E22" s="3">
        <v>507464342</v>
      </c>
      <c r="F22" s="565" t="s">
        <v>4208</v>
      </c>
      <c r="G22" s="120">
        <v>1.7767594499999999</v>
      </c>
      <c r="H22" s="120" t="e">
        <v>#N/A</v>
      </c>
      <c r="I22" s="3">
        <v>229</v>
      </c>
      <c r="J22" s="589" t="s">
        <v>3887</v>
      </c>
      <c r="K22" s="3" t="s">
        <v>1096</v>
      </c>
    </row>
    <row r="23" spans="1:11" ht="15.5">
      <c r="A23" s="562">
        <v>365</v>
      </c>
      <c r="B23" s="5" t="s">
        <v>148</v>
      </c>
      <c r="C23" s="588">
        <v>45965</v>
      </c>
      <c r="D23" s="3" t="s">
        <v>4209</v>
      </c>
      <c r="E23" s="3">
        <v>545679434</v>
      </c>
      <c r="F23" s="565" t="s">
        <v>4210</v>
      </c>
      <c r="G23" s="120">
        <v>1.7769106699999999</v>
      </c>
      <c r="H23" s="120" t="e">
        <v>#N/A</v>
      </c>
      <c r="I23" s="3">
        <v>229</v>
      </c>
      <c r="J23" s="589" t="s">
        <v>3887</v>
      </c>
      <c r="K23" s="3" t="s">
        <v>1096</v>
      </c>
    </row>
    <row r="24" spans="1:11" ht="15.5">
      <c r="A24" s="562">
        <v>366</v>
      </c>
      <c r="B24" s="5" t="s">
        <v>148</v>
      </c>
      <c r="C24" s="588">
        <v>45965</v>
      </c>
      <c r="D24" s="3" t="s">
        <v>4211</v>
      </c>
      <c r="E24" s="3">
        <v>563033158</v>
      </c>
      <c r="F24" s="565" t="s">
        <v>4212</v>
      </c>
      <c r="G24" s="120">
        <v>1.7769186100000001</v>
      </c>
      <c r="H24" s="120" t="e">
        <v>#N/A</v>
      </c>
      <c r="I24" s="3">
        <v>229</v>
      </c>
      <c r="J24" s="589" t="s">
        <v>3887</v>
      </c>
      <c r="K24" s="3" t="s">
        <v>1096</v>
      </c>
    </row>
    <row r="25" spans="1:11" ht="15.5">
      <c r="A25" s="562">
        <v>373</v>
      </c>
      <c r="B25" s="147" t="s">
        <v>148</v>
      </c>
      <c r="C25" s="588">
        <v>45966</v>
      </c>
      <c r="D25" s="3" t="s">
        <v>4213</v>
      </c>
      <c r="E25" s="3">
        <v>508042345</v>
      </c>
      <c r="F25" s="565" t="s">
        <v>4214</v>
      </c>
      <c r="G25" s="120">
        <v>1.3468251099999999</v>
      </c>
      <c r="H25" s="120" t="e">
        <v>#N/A</v>
      </c>
      <c r="I25" s="3">
        <v>229</v>
      </c>
      <c r="J25" s="589" t="s">
        <v>3887</v>
      </c>
      <c r="K25" s="3" t="s">
        <v>1096</v>
      </c>
    </row>
    <row r="26" spans="1:11" ht="15.5">
      <c r="A26" s="562">
        <v>439</v>
      </c>
      <c r="B26" s="147" t="s">
        <v>148</v>
      </c>
      <c r="C26" s="588">
        <v>45967</v>
      </c>
      <c r="D26" s="3" t="s">
        <v>4215</v>
      </c>
      <c r="E26" s="3">
        <v>506696490</v>
      </c>
      <c r="F26" s="565" t="s">
        <v>4216</v>
      </c>
      <c r="G26" s="120">
        <v>1.7774782099999999</v>
      </c>
      <c r="H26" s="120" t="e">
        <v>#N/A</v>
      </c>
      <c r="I26" s="3">
        <v>229</v>
      </c>
      <c r="J26" s="589" t="s">
        <v>3887</v>
      </c>
      <c r="K26" s="3" t="s">
        <v>1096</v>
      </c>
    </row>
    <row r="27" spans="1:11" ht="15.5">
      <c r="A27" s="562">
        <v>507</v>
      </c>
      <c r="B27" s="5" t="s">
        <v>148</v>
      </c>
      <c r="C27" s="588">
        <v>45969</v>
      </c>
      <c r="D27" s="3" t="s">
        <v>4217</v>
      </c>
      <c r="E27" s="3">
        <v>508653963</v>
      </c>
      <c r="F27" s="565" t="s">
        <v>4218</v>
      </c>
      <c r="G27" s="120">
        <v>1.77811819</v>
      </c>
      <c r="H27" s="120" t="e">
        <v>#N/A</v>
      </c>
      <c r="I27" s="3">
        <v>229</v>
      </c>
      <c r="J27" s="589" t="s">
        <v>3887</v>
      </c>
      <c r="K27" s="3" t="s">
        <v>1096</v>
      </c>
    </row>
    <row r="28" spans="1:11" ht="15.5">
      <c r="A28" s="562">
        <v>520</v>
      </c>
      <c r="B28" s="5" t="s">
        <v>148</v>
      </c>
      <c r="C28" s="588">
        <v>45969</v>
      </c>
      <c r="D28" s="3" t="s">
        <v>4219</v>
      </c>
      <c r="E28" s="3">
        <v>567466130</v>
      </c>
      <c r="F28" s="565" t="s">
        <v>4220</v>
      </c>
      <c r="G28" s="120">
        <v>1.77816252</v>
      </c>
      <c r="H28" s="120" t="e">
        <v>#N/A</v>
      </c>
      <c r="I28" s="3">
        <v>229</v>
      </c>
      <c r="J28" s="589" t="s">
        <v>3887</v>
      </c>
      <c r="K28" s="3" t="s">
        <v>3313</v>
      </c>
    </row>
    <row r="29" spans="1:11" ht="15.5">
      <c r="A29" s="562">
        <v>525</v>
      </c>
      <c r="B29" s="5" t="s">
        <v>148</v>
      </c>
      <c r="C29" s="588">
        <v>45969</v>
      </c>
      <c r="D29" s="3" t="s">
        <v>4221</v>
      </c>
      <c r="E29" s="3">
        <v>554426139</v>
      </c>
      <c r="F29" s="565" t="s">
        <v>4222</v>
      </c>
      <c r="G29" s="120">
        <v>1.7781686000000001</v>
      </c>
      <c r="H29" s="120" t="e">
        <v>#N/A</v>
      </c>
      <c r="I29" s="3">
        <v>229</v>
      </c>
      <c r="J29" s="589" t="s">
        <v>3887</v>
      </c>
      <c r="K29" s="3" t="s">
        <v>1096</v>
      </c>
    </row>
    <row r="30" spans="1:11" ht="15.5">
      <c r="A30" s="562">
        <v>565</v>
      </c>
      <c r="B30" s="5" t="s">
        <v>148</v>
      </c>
      <c r="C30" s="588">
        <v>45970</v>
      </c>
      <c r="D30" s="3" t="s">
        <v>4223</v>
      </c>
      <c r="E30" s="3">
        <v>559955264</v>
      </c>
      <c r="F30" s="565" t="s">
        <v>4224</v>
      </c>
      <c r="G30" s="120">
        <v>1.7784916399999999</v>
      </c>
      <c r="H30" s="120"/>
      <c r="I30" s="3">
        <v>229</v>
      </c>
      <c r="J30" s="567" t="s">
        <v>255</v>
      </c>
      <c r="K30" s="3" t="s">
        <v>1096</v>
      </c>
    </row>
    <row r="31" spans="1:11" ht="15.5">
      <c r="A31" s="562">
        <v>577</v>
      </c>
      <c r="B31" s="5" t="s">
        <v>148</v>
      </c>
      <c r="C31" s="588">
        <v>45970</v>
      </c>
      <c r="D31" s="3" t="s">
        <v>4225</v>
      </c>
      <c r="E31" s="3">
        <v>567518457</v>
      </c>
      <c r="F31" s="565" t="s">
        <v>4226</v>
      </c>
      <c r="G31" s="120">
        <v>1.77854467</v>
      </c>
      <c r="H31" s="120" t="e">
        <v>#N/A</v>
      </c>
      <c r="I31" s="3">
        <v>229</v>
      </c>
      <c r="J31" s="589" t="s">
        <v>3887</v>
      </c>
      <c r="K31" s="3" t="s">
        <v>3313</v>
      </c>
    </row>
    <row r="32" spans="1:11" ht="15.5">
      <c r="A32" s="562">
        <v>598</v>
      </c>
      <c r="B32" s="147" t="s">
        <v>148</v>
      </c>
      <c r="C32" s="588">
        <v>45971</v>
      </c>
      <c r="D32" s="3" t="s">
        <v>4227</v>
      </c>
      <c r="E32" s="3">
        <v>557502275</v>
      </c>
      <c r="F32" s="565" t="s">
        <v>4228</v>
      </c>
      <c r="G32" s="120">
        <v>1.7787622000000001</v>
      </c>
      <c r="H32" s="120" t="e">
        <v>#N/A</v>
      </c>
      <c r="I32" s="3">
        <v>229</v>
      </c>
      <c r="J32" s="589" t="s">
        <v>3887</v>
      </c>
      <c r="K32" s="3" t="s">
        <v>1096</v>
      </c>
    </row>
    <row r="33" spans="1:11" ht="15.5">
      <c r="A33" s="562">
        <v>603</v>
      </c>
      <c r="B33" s="5" t="s">
        <v>148</v>
      </c>
      <c r="C33" s="588">
        <v>45971</v>
      </c>
      <c r="D33" s="3" t="s">
        <v>4229</v>
      </c>
      <c r="E33" s="3">
        <v>588475924</v>
      </c>
      <c r="F33" s="565" t="s">
        <v>4230</v>
      </c>
      <c r="G33" s="120">
        <v>1.77879601</v>
      </c>
      <c r="H33" s="120" t="e">
        <v>#N/A</v>
      </c>
      <c r="I33" s="3">
        <v>229</v>
      </c>
      <c r="J33" s="589" t="s">
        <v>3887</v>
      </c>
      <c r="K33" s="3" t="s">
        <v>1096</v>
      </c>
    </row>
    <row r="34" spans="1:11" ht="15.5">
      <c r="A34" s="562">
        <v>617</v>
      </c>
      <c r="B34" s="147" t="s">
        <v>148</v>
      </c>
      <c r="C34" s="588">
        <v>45971</v>
      </c>
      <c r="D34" s="3" t="s">
        <v>4225</v>
      </c>
      <c r="E34" s="3">
        <v>567518457</v>
      </c>
      <c r="F34" s="565" t="s">
        <v>4231</v>
      </c>
      <c r="G34" s="120">
        <v>1.7788495200000001</v>
      </c>
      <c r="H34" s="120"/>
      <c r="I34" s="3">
        <v>229</v>
      </c>
      <c r="J34" s="567" t="s">
        <v>255</v>
      </c>
      <c r="K34" s="3" t="s">
        <v>3313</v>
      </c>
    </row>
    <row r="35" spans="1:11" ht="15.5">
      <c r="A35" s="562">
        <v>682</v>
      </c>
      <c r="B35" s="147" t="s">
        <v>148</v>
      </c>
      <c r="C35" s="588">
        <v>45973</v>
      </c>
      <c r="D35" s="3" t="s">
        <v>4232</v>
      </c>
      <c r="E35" s="3">
        <v>558593993</v>
      </c>
      <c r="F35" s="565" t="s">
        <v>4233</v>
      </c>
      <c r="G35" s="120">
        <v>1.77918607</v>
      </c>
      <c r="H35" s="120" t="e">
        <v>#N/A</v>
      </c>
      <c r="I35" s="3">
        <v>229</v>
      </c>
      <c r="J35" s="589" t="s">
        <v>3887</v>
      </c>
      <c r="K35" s="3" t="s">
        <v>1096</v>
      </c>
    </row>
    <row r="36" spans="1:11" ht="15.5">
      <c r="A36" s="562">
        <v>783</v>
      </c>
      <c r="B36" s="5" t="s">
        <v>148</v>
      </c>
      <c r="C36" s="588">
        <v>45974</v>
      </c>
      <c r="D36" s="3" t="s">
        <v>4234</v>
      </c>
      <c r="E36" s="3">
        <v>525504275</v>
      </c>
      <c r="F36" s="565" t="s">
        <v>4235</v>
      </c>
      <c r="G36" s="120">
        <v>1.39825822</v>
      </c>
      <c r="H36" s="120"/>
      <c r="I36" s="3">
        <v>229</v>
      </c>
      <c r="J36" s="567" t="s">
        <v>255</v>
      </c>
      <c r="K36" s="3" t="s">
        <v>3313</v>
      </c>
    </row>
    <row r="37" spans="1:11" ht="15.5">
      <c r="A37" s="562">
        <v>809</v>
      </c>
      <c r="B37" s="5" t="s">
        <v>148</v>
      </c>
      <c r="C37" s="588">
        <v>45975</v>
      </c>
      <c r="D37" s="3" t="s">
        <v>4236</v>
      </c>
      <c r="E37" s="3">
        <v>508943637</v>
      </c>
      <c r="F37" s="565" t="s">
        <v>4237</v>
      </c>
      <c r="G37" s="120">
        <v>1.7797970299999999</v>
      </c>
      <c r="H37" s="120" t="e">
        <v>#N/A</v>
      </c>
      <c r="I37" s="3">
        <v>229</v>
      </c>
      <c r="J37" s="589" t="s">
        <v>3887</v>
      </c>
      <c r="K37" s="3" t="s">
        <v>1096</v>
      </c>
    </row>
    <row r="38" spans="1:11" ht="15.5">
      <c r="A38" s="562">
        <v>810</v>
      </c>
      <c r="B38" s="5" t="s">
        <v>148</v>
      </c>
      <c r="C38" s="588">
        <v>45975</v>
      </c>
      <c r="D38" s="3" t="s">
        <v>4238</v>
      </c>
      <c r="E38" s="3">
        <v>561682071</v>
      </c>
      <c r="F38" s="565" t="s">
        <v>4239</v>
      </c>
      <c r="G38" s="120">
        <v>1.779798</v>
      </c>
      <c r="H38" s="120" t="e">
        <v>#N/A</v>
      </c>
      <c r="I38" s="3">
        <v>229</v>
      </c>
      <c r="J38" s="589" t="s">
        <v>3887</v>
      </c>
      <c r="K38" s="3" t="s">
        <v>1096</v>
      </c>
    </row>
    <row r="39" spans="1:11" ht="15.5">
      <c r="A39" s="562">
        <v>811</v>
      </c>
      <c r="B39" s="5" t="s">
        <v>148</v>
      </c>
      <c r="C39" s="588">
        <v>45975</v>
      </c>
      <c r="D39" s="3" t="s">
        <v>4240</v>
      </c>
      <c r="E39" s="3">
        <v>506705307</v>
      </c>
      <c r="F39" s="565" t="s">
        <v>4241</v>
      </c>
      <c r="G39" s="120">
        <v>1.7797994100000001</v>
      </c>
      <c r="H39" s="120" t="e">
        <v>#N/A</v>
      </c>
      <c r="I39" s="3">
        <v>229</v>
      </c>
      <c r="J39" s="589" t="s">
        <v>3887</v>
      </c>
      <c r="K39" s="3" t="s">
        <v>1096</v>
      </c>
    </row>
    <row r="40" spans="1:11" ht="15.5">
      <c r="A40" s="562">
        <v>812</v>
      </c>
      <c r="B40" s="5" t="s">
        <v>148</v>
      </c>
      <c r="C40" s="588">
        <v>45975</v>
      </c>
      <c r="D40" s="3" t="s">
        <v>4242</v>
      </c>
      <c r="E40" s="3">
        <v>551733760</v>
      </c>
      <c r="F40" s="565" t="s">
        <v>4243</v>
      </c>
      <c r="G40" s="120">
        <v>1.7798021799999999</v>
      </c>
      <c r="H40" s="120" t="e">
        <v>#N/A</v>
      </c>
      <c r="I40" s="3">
        <v>229</v>
      </c>
      <c r="J40" s="589" t="s">
        <v>3887</v>
      </c>
      <c r="K40" s="3" t="s">
        <v>1096</v>
      </c>
    </row>
    <row r="41" spans="1:11" ht="15.5">
      <c r="A41" s="562">
        <v>841</v>
      </c>
      <c r="B41" s="5" t="s">
        <v>148</v>
      </c>
      <c r="C41" s="588">
        <v>45975</v>
      </c>
      <c r="D41" s="3" t="s">
        <v>4244</v>
      </c>
      <c r="E41" s="3">
        <v>507235152</v>
      </c>
      <c r="F41" s="565" t="s">
        <v>4245</v>
      </c>
      <c r="G41" s="120">
        <v>1.7801121099999999</v>
      </c>
      <c r="H41" s="120" t="e">
        <v>#N/A</v>
      </c>
      <c r="I41" s="3">
        <v>229</v>
      </c>
      <c r="J41" s="589" t="s">
        <v>3887</v>
      </c>
      <c r="K41" s="3" t="s">
        <v>1096</v>
      </c>
    </row>
    <row r="42" spans="1:11" ht="15.5">
      <c r="A42" s="562">
        <v>854</v>
      </c>
      <c r="B42" s="5" t="s">
        <v>148</v>
      </c>
      <c r="C42" s="588">
        <v>45976</v>
      </c>
      <c r="D42" s="3" t="s">
        <v>4246</v>
      </c>
      <c r="E42" s="3">
        <v>559985769</v>
      </c>
      <c r="F42" s="565" t="s">
        <v>4247</v>
      </c>
      <c r="G42" s="120">
        <v>1.78028762</v>
      </c>
      <c r="H42" s="120" t="e">
        <v>#N/A</v>
      </c>
      <c r="I42" s="3">
        <v>229</v>
      </c>
      <c r="J42" s="589" t="s">
        <v>3887</v>
      </c>
      <c r="K42" s="3" t="s">
        <v>3313</v>
      </c>
    </row>
    <row r="43" spans="1:11" ht="15.5">
      <c r="A43" s="562">
        <v>875</v>
      </c>
      <c r="B43" s="5" t="s">
        <v>148</v>
      </c>
      <c r="C43" s="588">
        <v>45976</v>
      </c>
      <c r="D43" s="3" t="s">
        <v>4248</v>
      </c>
      <c r="E43" s="3">
        <v>558396107</v>
      </c>
      <c r="F43" s="565" t="s">
        <v>4249</v>
      </c>
      <c r="G43" s="120">
        <v>1.78028955</v>
      </c>
      <c r="H43" s="120" t="e">
        <v>#N/A</v>
      </c>
      <c r="I43" s="3">
        <v>229</v>
      </c>
      <c r="J43" s="589" t="s">
        <v>3887</v>
      </c>
      <c r="K43" s="3" t="s">
        <v>1096</v>
      </c>
    </row>
    <row r="44" spans="1:11" ht="15.5">
      <c r="A44" s="562">
        <v>887</v>
      </c>
      <c r="B44" s="5" t="s">
        <v>148</v>
      </c>
      <c r="C44" s="588">
        <v>45976</v>
      </c>
      <c r="D44" s="3" t="s">
        <v>4250</v>
      </c>
      <c r="E44" s="3">
        <v>502808521</v>
      </c>
      <c r="F44" s="565" t="s">
        <v>4251</v>
      </c>
      <c r="G44" s="120">
        <v>1.7804054</v>
      </c>
      <c r="H44" s="120" t="s">
        <v>3964</v>
      </c>
      <c r="I44" s="3">
        <v>349</v>
      </c>
      <c r="J44" s="589" t="s">
        <v>3887</v>
      </c>
      <c r="K44" s="3" t="s">
        <v>3313</v>
      </c>
    </row>
    <row r="45" spans="1:11" ht="15.5">
      <c r="A45" s="562">
        <v>896</v>
      </c>
      <c r="B45" s="5" t="s">
        <v>148</v>
      </c>
      <c r="C45" s="588">
        <v>45977</v>
      </c>
      <c r="D45" s="3" t="s">
        <v>4252</v>
      </c>
      <c r="E45" s="3">
        <v>562044554</v>
      </c>
      <c r="F45" s="565" t="s">
        <v>4253</v>
      </c>
      <c r="G45" s="120">
        <v>1.78061461</v>
      </c>
      <c r="H45" s="120" t="e">
        <v>#N/A</v>
      </c>
      <c r="I45" s="3">
        <v>229</v>
      </c>
      <c r="J45" s="589" t="s">
        <v>3887</v>
      </c>
      <c r="K45" s="3" t="s">
        <v>1096</v>
      </c>
    </row>
    <row r="46" spans="1:11" ht="15.5">
      <c r="A46" s="562">
        <v>916</v>
      </c>
      <c r="B46" s="5" t="s">
        <v>148</v>
      </c>
      <c r="C46" s="588">
        <v>45977</v>
      </c>
      <c r="D46" s="569" t="s">
        <v>4234</v>
      </c>
      <c r="E46" s="569">
        <v>525504275</v>
      </c>
      <c r="F46" s="565" t="s">
        <v>4254</v>
      </c>
      <c r="G46" s="120">
        <v>1.39825822</v>
      </c>
      <c r="H46" s="120"/>
      <c r="I46" s="3">
        <v>229</v>
      </c>
      <c r="J46" s="567" t="s">
        <v>255</v>
      </c>
      <c r="K46" s="3" t="s">
        <v>3313</v>
      </c>
    </row>
    <row r="47" spans="1:11" ht="15.5">
      <c r="A47" s="562">
        <v>1014</v>
      </c>
      <c r="B47" s="5" t="s">
        <v>148</v>
      </c>
      <c r="C47" s="588">
        <v>45979</v>
      </c>
      <c r="D47" s="569" t="s">
        <v>4255</v>
      </c>
      <c r="E47" s="569">
        <v>561673151</v>
      </c>
      <c r="F47" s="565" t="s">
        <v>4256</v>
      </c>
      <c r="G47" s="99">
        <v>1.7813277999999999</v>
      </c>
      <c r="H47" s="120" t="e">
        <v>#N/A</v>
      </c>
      <c r="I47" s="5">
        <v>229</v>
      </c>
      <c r="J47" s="589" t="s">
        <v>3887</v>
      </c>
      <c r="K47" s="3" t="s">
        <v>1096</v>
      </c>
    </row>
    <row r="48" spans="1:11" ht="15.5">
      <c r="A48" s="562">
        <v>1036</v>
      </c>
      <c r="B48" s="147" t="s">
        <v>148</v>
      </c>
      <c r="C48" s="588">
        <v>45980</v>
      </c>
      <c r="D48" s="569" t="s">
        <v>4257</v>
      </c>
      <c r="E48" s="569">
        <v>529092764</v>
      </c>
      <c r="F48" s="565" t="s">
        <v>4258</v>
      </c>
      <c r="G48" s="99">
        <v>1.7813708399999999</v>
      </c>
      <c r="H48" s="99"/>
      <c r="I48" s="5">
        <v>229</v>
      </c>
      <c r="J48" s="567" t="s">
        <v>255</v>
      </c>
      <c r="K48" s="3" t="s">
        <v>3313</v>
      </c>
    </row>
    <row r="49" spans="1:11" ht="15.5">
      <c r="A49" s="562">
        <v>1050</v>
      </c>
      <c r="B49" s="5" t="s">
        <v>148</v>
      </c>
      <c r="C49" s="588">
        <v>45980</v>
      </c>
      <c r="D49" s="569" t="s">
        <v>4259</v>
      </c>
      <c r="E49" s="569">
        <v>554301914</v>
      </c>
      <c r="F49" s="565" t="s">
        <v>4260</v>
      </c>
      <c r="G49" s="99">
        <v>1.6605027400000001</v>
      </c>
      <c r="H49" s="120" t="e">
        <v>#N/A</v>
      </c>
      <c r="I49" s="5">
        <v>229</v>
      </c>
      <c r="J49" s="589" t="s">
        <v>3887</v>
      </c>
      <c r="K49" s="3" t="s">
        <v>1096</v>
      </c>
    </row>
    <row r="50" spans="1:11" ht="15.5">
      <c r="A50" s="562">
        <v>1080</v>
      </c>
      <c r="B50" s="5" t="s">
        <v>148</v>
      </c>
      <c r="C50" s="588">
        <v>45981</v>
      </c>
      <c r="D50" s="569" t="s">
        <v>4261</v>
      </c>
      <c r="E50" s="569">
        <v>544344151</v>
      </c>
      <c r="F50" s="565" t="s">
        <v>4262</v>
      </c>
      <c r="G50" s="99">
        <v>1.78137455</v>
      </c>
      <c r="H50" s="120" t="e">
        <v>#N/A</v>
      </c>
      <c r="I50" s="5">
        <v>229</v>
      </c>
      <c r="J50" s="589" t="s">
        <v>3887</v>
      </c>
      <c r="K50" s="3" t="s">
        <v>1096</v>
      </c>
    </row>
    <row r="51" spans="1:11" ht="15.5">
      <c r="A51" s="562">
        <v>1082</v>
      </c>
      <c r="B51" s="5" t="s">
        <v>148</v>
      </c>
      <c r="C51" s="588">
        <v>45981</v>
      </c>
      <c r="D51" s="569" t="s">
        <v>4263</v>
      </c>
      <c r="E51" s="569">
        <v>523173046</v>
      </c>
      <c r="F51" s="565" t="s">
        <v>4264</v>
      </c>
      <c r="G51" s="99">
        <v>1.7818499000000001</v>
      </c>
      <c r="H51" s="120" t="e">
        <v>#N/A</v>
      </c>
      <c r="I51" s="5">
        <v>299</v>
      </c>
      <c r="J51" s="589" t="s">
        <v>3887</v>
      </c>
      <c r="K51" s="3" t="s">
        <v>1096</v>
      </c>
    </row>
    <row r="52" spans="1:11" ht="15.5">
      <c r="A52" s="562">
        <v>1084</v>
      </c>
      <c r="B52" s="5" t="s">
        <v>148</v>
      </c>
      <c r="C52" s="588">
        <v>45981</v>
      </c>
      <c r="D52" s="569" t="s">
        <v>4265</v>
      </c>
      <c r="E52" s="569">
        <v>503711232</v>
      </c>
      <c r="F52" s="565" t="s">
        <v>4266</v>
      </c>
      <c r="G52" s="99">
        <v>1.7818513300000001</v>
      </c>
      <c r="H52" s="120" t="e">
        <v>#N/A</v>
      </c>
      <c r="I52" s="5">
        <v>229</v>
      </c>
      <c r="J52" s="589" t="s">
        <v>3887</v>
      </c>
      <c r="K52" s="3" t="s">
        <v>1096</v>
      </c>
    </row>
    <row r="53" spans="1:11" ht="15.5">
      <c r="A53" s="562">
        <v>1117</v>
      </c>
      <c r="B53" s="5" t="s">
        <v>148</v>
      </c>
      <c r="C53" s="588">
        <v>45982</v>
      </c>
      <c r="D53" s="569" t="s">
        <v>4267</v>
      </c>
      <c r="E53" s="569">
        <v>525504275</v>
      </c>
      <c r="F53" s="565" t="s">
        <v>4268</v>
      </c>
      <c r="G53" s="99">
        <v>1.39825822</v>
      </c>
      <c r="H53" s="99"/>
      <c r="I53" s="5">
        <v>229</v>
      </c>
      <c r="J53" s="567" t="s">
        <v>255</v>
      </c>
      <c r="K53" s="3" t="s">
        <v>3313</v>
      </c>
    </row>
    <row r="54" spans="1:11" ht="15.5">
      <c r="A54" s="562">
        <v>1122</v>
      </c>
      <c r="B54" s="5" t="s">
        <v>148</v>
      </c>
      <c r="C54" s="588">
        <v>45982</v>
      </c>
      <c r="D54" s="569" t="s">
        <v>4269</v>
      </c>
      <c r="E54" s="569">
        <v>588345058</v>
      </c>
      <c r="F54" s="565" t="s">
        <v>4270</v>
      </c>
      <c r="G54" s="99">
        <v>1.7822037100000001</v>
      </c>
      <c r="H54" s="120" t="e">
        <v>#N/A</v>
      </c>
      <c r="I54" s="5">
        <v>229</v>
      </c>
      <c r="J54" s="589" t="s">
        <v>3887</v>
      </c>
      <c r="K54" s="3" t="s">
        <v>1096</v>
      </c>
    </row>
    <row r="55" spans="1:11" ht="15.5">
      <c r="A55" s="562">
        <v>1158</v>
      </c>
      <c r="B55" s="5" t="s">
        <v>148</v>
      </c>
      <c r="C55" s="563">
        <v>45983</v>
      </c>
      <c r="D55" s="569" t="s">
        <v>4271</v>
      </c>
      <c r="E55" s="569">
        <v>555880802</v>
      </c>
      <c r="F55" s="565" t="s">
        <v>4272</v>
      </c>
      <c r="G55" s="99">
        <v>1.78260123</v>
      </c>
      <c r="H55" s="99"/>
      <c r="I55" s="5">
        <v>229</v>
      </c>
      <c r="J55" s="567" t="s">
        <v>255</v>
      </c>
      <c r="K55" s="3" t="s">
        <v>1096</v>
      </c>
    </row>
    <row r="56" spans="1:11" ht="15.5">
      <c r="A56" s="562">
        <v>1165</v>
      </c>
      <c r="B56" s="5" t="s">
        <v>148</v>
      </c>
      <c r="C56" s="563">
        <v>45983</v>
      </c>
      <c r="D56" s="569" t="s">
        <v>4271</v>
      </c>
      <c r="E56" s="569">
        <v>555880802</v>
      </c>
      <c r="F56" s="565" t="s">
        <v>4273</v>
      </c>
      <c r="G56" s="99">
        <v>1.78260123</v>
      </c>
      <c r="H56" s="120" t="e">
        <v>#N/A</v>
      </c>
      <c r="I56" s="5">
        <v>229</v>
      </c>
      <c r="J56" s="589" t="s">
        <v>3887</v>
      </c>
      <c r="K56" s="3" t="s">
        <v>3313</v>
      </c>
    </row>
    <row r="57" spans="1:11" ht="15.5">
      <c r="A57" s="562">
        <v>1172</v>
      </c>
      <c r="B57" s="5" t="s">
        <v>148</v>
      </c>
      <c r="C57" s="563">
        <v>45983</v>
      </c>
      <c r="D57" s="569" t="s">
        <v>4274</v>
      </c>
      <c r="E57" s="569">
        <v>503606587</v>
      </c>
      <c r="F57" s="565" t="s">
        <v>4275</v>
      </c>
      <c r="G57" s="99">
        <v>1.78263522</v>
      </c>
      <c r="H57" s="99"/>
      <c r="I57" s="5">
        <v>229</v>
      </c>
      <c r="J57" s="567" t="s">
        <v>255</v>
      </c>
      <c r="K57" s="3" t="s">
        <v>1096</v>
      </c>
    </row>
    <row r="58" spans="1:11" ht="15.5">
      <c r="A58" s="562">
        <v>1187</v>
      </c>
      <c r="B58" s="5" t="s">
        <v>148</v>
      </c>
      <c r="C58" s="563">
        <v>45984</v>
      </c>
      <c r="D58" s="569" t="s">
        <v>4276</v>
      </c>
      <c r="E58" s="569">
        <v>545820947</v>
      </c>
      <c r="F58" s="565" t="s">
        <v>4277</v>
      </c>
      <c r="G58" s="99">
        <v>1.78286956</v>
      </c>
      <c r="H58" s="120" t="e">
        <v>#N/A</v>
      </c>
      <c r="I58" s="5">
        <v>229</v>
      </c>
      <c r="J58" s="589" t="s">
        <v>3887</v>
      </c>
      <c r="K58" s="3" t="s">
        <v>1096</v>
      </c>
    </row>
    <row r="59" spans="1:11" ht="15.5">
      <c r="A59" s="562">
        <v>1195</v>
      </c>
      <c r="B59" s="5" t="s">
        <v>148</v>
      </c>
      <c r="C59" s="563">
        <v>45984</v>
      </c>
      <c r="D59" s="569" t="s">
        <v>4278</v>
      </c>
      <c r="E59" s="569">
        <v>586127335</v>
      </c>
      <c r="F59" s="565" t="s">
        <v>4279</v>
      </c>
      <c r="G59" s="99">
        <v>1.5676670500000001</v>
      </c>
      <c r="H59" s="120" t="e">
        <v>#N/A</v>
      </c>
      <c r="I59" s="5">
        <v>229</v>
      </c>
      <c r="J59" s="589" t="s">
        <v>3887</v>
      </c>
      <c r="K59" s="3" t="s">
        <v>1096</v>
      </c>
    </row>
    <row r="60" spans="1:11" ht="15.5">
      <c r="A60" s="562">
        <v>1230</v>
      </c>
      <c r="B60" s="569" t="s">
        <v>148</v>
      </c>
      <c r="C60" s="563">
        <v>45985</v>
      </c>
      <c r="D60" s="569" t="s">
        <v>4280</v>
      </c>
      <c r="E60" s="569">
        <v>502808521</v>
      </c>
      <c r="F60" s="565" t="s">
        <v>4281</v>
      </c>
      <c r="G60" s="120">
        <v>1.78325863</v>
      </c>
      <c r="H60" s="120" t="e">
        <v>#N/A</v>
      </c>
      <c r="I60" s="5">
        <v>349</v>
      </c>
      <c r="J60" s="589" t="s">
        <v>3887</v>
      </c>
      <c r="K60" s="3" t="s">
        <v>1096</v>
      </c>
    </row>
    <row r="61" spans="1:11" ht="15.5">
      <c r="A61" s="562">
        <v>1231</v>
      </c>
      <c r="B61" s="569" t="s">
        <v>148</v>
      </c>
      <c r="C61" s="563">
        <v>45985</v>
      </c>
      <c r="D61" s="569" t="s">
        <v>4282</v>
      </c>
      <c r="E61" s="569">
        <v>504370237</v>
      </c>
      <c r="F61" s="565" t="s">
        <v>4283</v>
      </c>
      <c r="G61" s="120">
        <v>1.7832646999999999</v>
      </c>
      <c r="H61" s="120" t="e">
        <v>#N/A</v>
      </c>
      <c r="I61" s="5">
        <v>229</v>
      </c>
      <c r="J61" s="589" t="s">
        <v>3887</v>
      </c>
      <c r="K61" s="3" t="s">
        <v>1096</v>
      </c>
    </row>
    <row r="62" spans="1:11" ht="15.5">
      <c r="A62" s="562">
        <v>1249</v>
      </c>
      <c r="B62" s="569" t="s">
        <v>148</v>
      </c>
      <c r="C62" s="563">
        <v>45985</v>
      </c>
      <c r="D62" s="569" t="s">
        <v>4284</v>
      </c>
      <c r="E62" s="569">
        <v>503780203</v>
      </c>
      <c r="F62" s="565" t="s">
        <v>4285</v>
      </c>
      <c r="G62" s="120">
        <v>1.78332826</v>
      </c>
      <c r="H62" s="120" t="e">
        <v>#N/A</v>
      </c>
      <c r="I62" s="5">
        <v>229</v>
      </c>
      <c r="J62" s="589" t="s">
        <v>3887</v>
      </c>
      <c r="K62" s="3" t="s">
        <v>1096</v>
      </c>
    </row>
    <row r="63" spans="1:11" ht="15.5">
      <c r="A63" s="562">
        <v>1261</v>
      </c>
      <c r="B63" s="569" t="s">
        <v>148</v>
      </c>
      <c r="C63" s="563">
        <v>45986</v>
      </c>
      <c r="D63" s="569" t="s">
        <v>4286</v>
      </c>
      <c r="E63" s="569">
        <v>506055914</v>
      </c>
      <c r="F63" s="565" t="s">
        <v>4287</v>
      </c>
      <c r="G63" s="120">
        <v>1.7835162099999999</v>
      </c>
      <c r="H63" s="120" t="e">
        <v>#N/A</v>
      </c>
      <c r="I63" s="5">
        <v>229</v>
      </c>
      <c r="J63" s="589" t="s">
        <v>3887</v>
      </c>
      <c r="K63" s="3" t="s">
        <v>1096</v>
      </c>
    </row>
    <row r="64" spans="1:11" ht="15.5">
      <c r="A64" s="562">
        <v>1339</v>
      </c>
      <c r="B64" s="569" t="s">
        <v>148</v>
      </c>
      <c r="C64" s="563">
        <v>45988</v>
      </c>
      <c r="D64" s="569" t="s">
        <v>4288</v>
      </c>
      <c r="E64" s="569">
        <v>569266983</v>
      </c>
      <c r="F64" s="565" t="s">
        <v>4289</v>
      </c>
      <c r="G64" s="120">
        <v>1.78404067</v>
      </c>
      <c r="H64" s="120"/>
      <c r="I64" s="5">
        <v>229</v>
      </c>
      <c r="J64" s="567" t="s">
        <v>255</v>
      </c>
      <c r="K64" s="3" t="s">
        <v>1096</v>
      </c>
    </row>
    <row r="65" spans="1:12" ht="15.5">
      <c r="A65" s="562">
        <v>1357</v>
      </c>
      <c r="B65" s="569" t="s">
        <v>148</v>
      </c>
      <c r="C65" s="563">
        <v>45988</v>
      </c>
      <c r="D65" s="569" t="s">
        <v>4290</v>
      </c>
      <c r="E65" s="569">
        <v>569266983</v>
      </c>
      <c r="F65" s="565" t="s">
        <v>4291</v>
      </c>
      <c r="G65" s="120">
        <v>1.78417603</v>
      </c>
      <c r="H65" s="120"/>
      <c r="I65" s="5">
        <v>229</v>
      </c>
      <c r="J65" s="567" t="s">
        <v>255</v>
      </c>
      <c r="K65" s="3" t="s">
        <v>3313</v>
      </c>
    </row>
    <row r="66" spans="1:12" ht="15.5">
      <c r="A66" s="562">
        <v>1364</v>
      </c>
      <c r="B66" s="569" t="s">
        <v>148</v>
      </c>
      <c r="C66" s="563">
        <v>45988</v>
      </c>
      <c r="D66" s="569" t="s">
        <v>4292</v>
      </c>
      <c r="E66" s="569">
        <v>508051410</v>
      </c>
      <c r="F66" s="565" t="s">
        <v>4293</v>
      </c>
      <c r="G66" s="120">
        <v>1.78425536</v>
      </c>
      <c r="H66" s="120" t="e">
        <v>#N/A</v>
      </c>
      <c r="I66" s="5">
        <v>229</v>
      </c>
      <c r="J66" s="589" t="s">
        <v>3887</v>
      </c>
      <c r="K66" s="3" t="s">
        <v>3313</v>
      </c>
    </row>
    <row r="67" spans="1:12" ht="15.5">
      <c r="A67" s="562">
        <v>1375</v>
      </c>
      <c r="B67" s="569" t="s">
        <v>148</v>
      </c>
      <c r="C67" s="563">
        <v>45989</v>
      </c>
      <c r="D67" s="569" t="s">
        <v>4294</v>
      </c>
      <c r="E67" s="569">
        <v>558378984</v>
      </c>
      <c r="F67" s="565" t="s">
        <v>4295</v>
      </c>
      <c r="G67" s="120">
        <v>1.3951931099999999</v>
      </c>
      <c r="H67" s="120" t="e">
        <v>#N/A</v>
      </c>
      <c r="I67" s="5">
        <v>229</v>
      </c>
      <c r="J67" s="589" t="s">
        <v>3887</v>
      </c>
      <c r="K67" s="3" t="s">
        <v>1096</v>
      </c>
    </row>
    <row r="68" spans="1:12" ht="15.5">
      <c r="A68" s="562">
        <v>1421</v>
      </c>
      <c r="B68" s="569" t="s">
        <v>148</v>
      </c>
      <c r="C68" s="563">
        <v>45990</v>
      </c>
      <c r="D68" s="569" t="s">
        <v>4296</v>
      </c>
      <c r="E68" s="569">
        <v>522114455</v>
      </c>
      <c r="F68" s="565" t="s">
        <v>4297</v>
      </c>
      <c r="G68" s="120">
        <v>1.7845565999999999</v>
      </c>
      <c r="H68" s="120" t="e">
        <v>#N/A</v>
      </c>
      <c r="I68" s="5">
        <v>229</v>
      </c>
      <c r="J68" s="589" t="s">
        <v>3887</v>
      </c>
      <c r="K68" s="3" t="s">
        <v>3313</v>
      </c>
    </row>
    <row r="69" spans="1:12" ht="15.5">
      <c r="A69" s="562">
        <v>1438</v>
      </c>
      <c r="B69" s="569" t="s">
        <v>148</v>
      </c>
      <c r="C69" s="563">
        <v>45990</v>
      </c>
      <c r="D69" s="569" t="s">
        <v>4298</v>
      </c>
      <c r="E69" s="569">
        <v>509662049</v>
      </c>
      <c r="F69" s="565" t="s">
        <v>4299</v>
      </c>
      <c r="G69" s="120">
        <v>1.7847342500000001</v>
      </c>
      <c r="H69" s="120" t="e">
        <v>#N/A</v>
      </c>
      <c r="I69" s="5">
        <v>229</v>
      </c>
      <c r="J69" s="589" t="s">
        <v>3887</v>
      </c>
      <c r="K69" s="3" t="s">
        <v>3313</v>
      </c>
    </row>
    <row r="70" spans="1:12" ht="15.5">
      <c r="A70" s="562">
        <v>1462</v>
      </c>
      <c r="B70" s="569" t="s">
        <v>148</v>
      </c>
      <c r="C70" s="563">
        <v>45990</v>
      </c>
      <c r="D70" s="569" t="s">
        <v>4300</v>
      </c>
      <c r="E70" s="569">
        <v>553503172</v>
      </c>
      <c r="F70" s="565" t="s">
        <v>4301</v>
      </c>
      <c r="G70" s="120">
        <v>1.78481237</v>
      </c>
      <c r="H70" s="120"/>
      <c r="I70" s="5">
        <v>229</v>
      </c>
      <c r="J70" s="567" t="s">
        <v>3941</v>
      </c>
      <c r="K70" s="3" t="s">
        <v>1096</v>
      </c>
    </row>
    <row r="71" spans="1:12" ht="15.5">
      <c r="A71" s="562">
        <v>1466</v>
      </c>
      <c r="B71" s="569" t="s">
        <v>148</v>
      </c>
      <c r="C71" s="563">
        <v>45990</v>
      </c>
      <c r="D71" s="569" t="s">
        <v>4302</v>
      </c>
      <c r="E71" s="569">
        <v>586606993</v>
      </c>
      <c r="F71" s="565" t="s">
        <v>4303</v>
      </c>
      <c r="G71" s="120">
        <v>1.7848323800000001</v>
      </c>
      <c r="H71" s="120"/>
      <c r="I71" s="5">
        <v>229</v>
      </c>
      <c r="J71" s="567" t="s">
        <v>255</v>
      </c>
      <c r="K71" s="3" t="s">
        <v>3313</v>
      </c>
    </row>
    <row r="72" spans="1:12" ht="15.5">
      <c r="A72" s="562">
        <v>1467</v>
      </c>
      <c r="B72" s="569" t="s">
        <v>148</v>
      </c>
      <c r="C72" s="563">
        <v>45990</v>
      </c>
      <c r="D72" s="569" t="s">
        <v>4304</v>
      </c>
      <c r="E72" s="569">
        <v>568775902</v>
      </c>
      <c r="F72" s="565" t="s">
        <v>4305</v>
      </c>
      <c r="G72" s="120">
        <v>1.1808348</v>
      </c>
      <c r="H72" s="120"/>
      <c r="I72" s="5">
        <v>229</v>
      </c>
      <c r="J72" s="567" t="s">
        <v>3941</v>
      </c>
      <c r="K72" s="3" t="s">
        <v>3313</v>
      </c>
    </row>
    <row r="73" spans="1:12" ht="15.5">
      <c r="A73" s="562"/>
      <c r="B73" s="569" t="s">
        <v>148</v>
      </c>
      <c r="C73" s="563">
        <v>45991</v>
      </c>
      <c r="D73" s="569" t="s">
        <v>4306</v>
      </c>
      <c r="E73" s="569">
        <v>502606845</v>
      </c>
      <c r="F73" s="565" t="s">
        <v>4307</v>
      </c>
      <c r="G73" s="120">
        <v>1.7850195799999999</v>
      </c>
      <c r="H73" s="120" t="e">
        <v>#N/A</v>
      </c>
      <c r="I73" s="5">
        <v>229</v>
      </c>
      <c r="J73" s="589" t="s">
        <v>3887</v>
      </c>
      <c r="K73" s="3" t="s">
        <v>1096</v>
      </c>
    </row>
    <row r="74" spans="1:12" ht="15.5">
      <c r="A74" s="562"/>
      <c r="B74" s="569" t="s">
        <v>148</v>
      </c>
      <c r="C74" s="563">
        <v>45991</v>
      </c>
      <c r="D74" s="569" t="s">
        <v>4302</v>
      </c>
      <c r="E74" s="569">
        <v>503606587</v>
      </c>
      <c r="F74" s="565" t="s">
        <v>4308</v>
      </c>
      <c r="G74" s="120">
        <v>1.7850369500000001</v>
      </c>
      <c r="H74" s="120"/>
      <c r="I74" s="5">
        <v>229</v>
      </c>
      <c r="J74" s="567" t="s">
        <v>255</v>
      </c>
      <c r="K74" s="3" t="s">
        <v>3313</v>
      </c>
    </row>
    <row r="75" spans="1:12" ht="15.5">
      <c r="A75" t="s">
        <v>4327</v>
      </c>
      <c r="D75" t="s">
        <v>4326</v>
      </c>
      <c r="E75">
        <v>503579459</v>
      </c>
      <c r="F75" t="s">
        <v>4328</v>
      </c>
      <c r="I75" s="59">
        <v>229</v>
      </c>
      <c r="J75" s="585" t="s">
        <v>2808</v>
      </c>
      <c r="K75" s="596" t="s">
        <v>3067</v>
      </c>
    </row>
    <row r="77" spans="1:12">
      <c r="A77" s="709" t="s">
        <v>148</v>
      </c>
      <c r="B77" s="616" t="s">
        <v>4309</v>
      </c>
      <c r="C77" s="590" t="s">
        <v>2909</v>
      </c>
      <c r="D77" s="591" t="s">
        <v>4310</v>
      </c>
      <c r="E77" s="591" t="s">
        <v>4311</v>
      </c>
      <c r="F77" s="591" t="s">
        <v>2815</v>
      </c>
      <c r="G77" s="591" t="s">
        <v>4312</v>
      </c>
      <c r="H77" s="591" t="s">
        <v>4313</v>
      </c>
      <c r="I77" s="591" t="s">
        <v>4314</v>
      </c>
      <c r="J77" s="591" t="s">
        <v>4315</v>
      </c>
      <c r="K77" s="592" t="s">
        <v>4316</v>
      </c>
      <c r="L77" s="593" t="s">
        <v>4317</v>
      </c>
    </row>
    <row r="78" spans="1:12">
      <c r="A78" s="709"/>
      <c r="B78" s="617"/>
      <c r="C78" s="594" t="s">
        <v>4318</v>
      </c>
      <c r="D78" s="594">
        <v>14</v>
      </c>
      <c r="E78" s="594">
        <v>300</v>
      </c>
      <c r="F78" s="610">
        <v>0</v>
      </c>
      <c r="G78" s="594">
        <f>D78*E78</f>
        <v>4200</v>
      </c>
      <c r="H78" s="609">
        <f>-F78+G78+G79</f>
        <v>4200</v>
      </c>
      <c r="I78" s="610">
        <v>2950</v>
      </c>
      <c r="J78" s="610">
        <v>650</v>
      </c>
      <c r="K78" s="613">
        <v>7500</v>
      </c>
      <c r="L78" s="711">
        <f>+H78-I78+J78-K78</f>
        <v>-5600</v>
      </c>
    </row>
    <row r="79" spans="1:12" ht="15" thickBot="1">
      <c r="A79" s="709"/>
      <c r="B79" s="618"/>
      <c r="C79" s="594" t="s">
        <v>4319</v>
      </c>
      <c r="D79" s="594">
        <v>0</v>
      </c>
      <c r="E79" s="594">
        <v>430</v>
      </c>
      <c r="F79" s="612"/>
      <c r="G79" s="594">
        <f>D79*E79</f>
        <v>0</v>
      </c>
      <c r="H79" s="609"/>
      <c r="I79" s="612"/>
      <c r="J79" s="612"/>
      <c r="K79" s="615"/>
      <c r="L79" s="712"/>
    </row>
    <row r="80" spans="1:12">
      <c r="A80" s="709"/>
      <c r="B80" s="616" t="s">
        <v>4320</v>
      </c>
      <c r="C80" s="590" t="s">
        <v>2909</v>
      </c>
      <c r="D80" s="591" t="s">
        <v>4310</v>
      </c>
      <c r="E80" s="591" t="s">
        <v>4311</v>
      </c>
      <c r="F80" s="591" t="s">
        <v>2815</v>
      </c>
      <c r="G80" s="591" t="s">
        <v>4312</v>
      </c>
      <c r="H80" s="591" t="s">
        <v>4313</v>
      </c>
      <c r="I80" s="591" t="s">
        <v>4321</v>
      </c>
      <c r="J80" s="591" t="s">
        <v>4315</v>
      </c>
      <c r="K80" s="592" t="s">
        <v>4322</v>
      </c>
      <c r="L80" s="593" t="s">
        <v>4317</v>
      </c>
    </row>
    <row r="81" spans="1:12">
      <c r="A81" s="709"/>
      <c r="B81" s="617"/>
      <c r="C81" s="594" t="s">
        <v>4318</v>
      </c>
      <c r="D81" s="594">
        <v>19</v>
      </c>
      <c r="E81" s="594">
        <v>300</v>
      </c>
      <c r="F81" s="610">
        <v>600</v>
      </c>
      <c r="G81" s="594">
        <f>D81*E81</f>
        <v>5700</v>
      </c>
      <c r="H81" s="609">
        <f>-F81+G81+G82</f>
        <v>5600</v>
      </c>
      <c r="I81" s="610">
        <v>5600</v>
      </c>
      <c r="J81" s="610">
        <v>0</v>
      </c>
      <c r="K81" s="613">
        <v>7000</v>
      </c>
      <c r="L81" s="711">
        <f>+H81-I81+J81-K81</f>
        <v>-7000</v>
      </c>
    </row>
    <row r="82" spans="1:12" ht="15" thickBot="1">
      <c r="A82" s="709"/>
      <c r="B82" s="618"/>
      <c r="C82" s="594" t="s">
        <v>4323</v>
      </c>
      <c r="D82" s="594">
        <v>1</v>
      </c>
      <c r="E82" s="594">
        <v>500</v>
      </c>
      <c r="F82" s="612"/>
      <c r="G82" s="594">
        <f>D82*E82</f>
        <v>500</v>
      </c>
      <c r="H82" s="609"/>
      <c r="I82" s="612"/>
      <c r="J82" s="612"/>
      <c r="K82" s="615"/>
      <c r="L82" s="712"/>
    </row>
    <row r="83" spans="1:12">
      <c r="A83" s="709"/>
      <c r="B83" s="608" t="s">
        <v>4172</v>
      </c>
      <c r="C83" s="590" t="s">
        <v>2909</v>
      </c>
      <c r="D83" s="591" t="s">
        <v>4310</v>
      </c>
      <c r="E83" s="591" t="s">
        <v>4311</v>
      </c>
      <c r="F83" s="591" t="s">
        <v>2815</v>
      </c>
      <c r="G83" s="591" t="s">
        <v>4312</v>
      </c>
      <c r="H83" s="591" t="s">
        <v>4313</v>
      </c>
      <c r="I83" s="591" t="s">
        <v>4324</v>
      </c>
      <c r="J83" s="591" t="s">
        <v>4315</v>
      </c>
      <c r="K83" s="592" t="s">
        <v>4316</v>
      </c>
      <c r="L83" s="593" t="s">
        <v>4325</v>
      </c>
    </row>
    <row r="84" spans="1:12">
      <c r="A84" s="709"/>
      <c r="B84" s="608"/>
      <c r="C84" s="594" t="s">
        <v>4318</v>
      </c>
      <c r="D84" s="594">
        <v>44</v>
      </c>
      <c r="E84" s="594">
        <v>300</v>
      </c>
      <c r="F84" s="609">
        <v>1400</v>
      </c>
      <c r="G84" s="594">
        <f>D84*E84</f>
        <v>13200</v>
      </c>
      <c r="H84" s="610">
        <f>-F84+G84+G85+G86</f>
        <v>14600</v>
      </c>
      <c r="I84" s="610">
        <v>7000</v>
      </c>
      <c r="J84" s="610">
        <v>0</v>
      </c>
      <c r="K84" s="613">
        <v>7500</v>
      </c>
      <c r="L84" s="708">
        <f>+H84-I84+J84-K84</f>
        <v>100</v>
      </c>
    </row>
    <row r="85" spans="1:12">
      <c r="A85" s="709"/>
      <c r="B85" s="608"/>
      <c r="C85" s="594" t="s">
        <v>4319</v>
      </c>
      <c r="D85" s="594">
        <v>4</v>
      </c>
      <c r="E85" s="594">
        <v>450</v>
      </c>
      <c r="F85" s="609"/>
      <c r="G85" s="594">
        <f>D85*E85</f>
        <v>1800</v>
      </c>
      <c r="H85" s="611"/>
      <c r="I85" s="611"/>
      <c r="J85" s="611"/>
      <c r="K85" s="614"/>
      <c r="L85" s="709"/>
    </row>
    <row r="86" spans="1:12">
      <c r="A86" s="709"/>
      <c r="B86" s="608"/>
      <c r="C86" s="594" t="s">
        <v>4323</v>
      </c>
      <c r="D86" s="594">
        <v>2</v>
      </c>
      <c r="E86" s="594">
        <v>500</v>
      </c>
      <c r="F86" s="609"/>
      <c r="G86" s="143">
        <f>E86*D86</f>
        <v>1000</v>
      </c>
      <c r="H86" s="612"/>
      <c r="I86" s="612"/>
      <c r="J86" s="612"/>
      <c r="K86" s="615"/>
      <c r="L86" s="710"/>
    </row>
    <row r="87" spans="1:12">
      <c r="H87" t="s">
        <v>4443</v>
      </c>
      <c r="K87" t="s">
        <v>4442</v>
      </c>
      <c r="L87">
        <v>300</v>
      </c>
    </row>
    <row r="88" spans="1:12">
      <c r="H88" t="s">
        <v>4444</v>
      </c>
    </row>
    <row r="90" spans="1:12">
      <c r="H90">
        <v>16300</v>
      </c>
      <c r="I90">
        <v>7500</v>
      </c>
      <c r="K90">
        <v>7500</v>
      </c>
      <c r="L90">
        <v>1300</v>
      </c>
    </row>
  </sheetData>
  <autoFilter ref="A1:K75" xr:uid="{0C431F07-8962-430A-A97B-194AA6B126AC}"/>
  <mergeCells count="22">
    <mergeCell ref="J84:J86"/>
    <mergeCell ref="K84:K86"/>
    <mergeCell ref="A77:A86"/>
    <mergeCell ref="B77:B79"/>
    <mergeCell ref="F78:F79"/>
    <mergeCell ref="H78:H79"/>
    <mergeCell ref="I78:I79"/>
    <mergeCell ref="B83:B86"/>
    <mergeCell ref="F84:F86"/>
    <mergeCell ref="H84:H86"/>
    <mergeCell ref="I84:I86"/>
    <mergeCell ref="B80:B82"/>
    <mergeCell ref="J78:J79"/>
    <mergeCell ref="F81:F82"/>
    <mergeCell ref="H81:H82"/>
    <mergeCell ref="I81:I82"/>
    <mergeCell ref="J81:J82"/>
    <mergeCell ref="L84:L86"/>
    <mergeCell ref="K78:K79"/>
    <mergeCell ref="L78:L79"/>
    <mergeCell ref="K81:K82"/>
    <mergeCell ref="L81:L82"/>
  </mergeCells>
  <conditionalFormatting sqref="F1:F74">
    <cfRule type="duplicateValues" dxfId="100" priority="8"/>
  </conditionalFormatting>
  <conditionalFormatting sqref="G1:G74">
    <cfRule type="duplicateValues" dxfId="99" priority="7"/>
    <cfRule type="duplicateValues" dxfId="98" priority="9"/>
  </conditionalFormatting>
  <conditionalFormatting sqref="G74:H74 G73 G72:H72 G67:G71 G66:H66 G63:G65 G62:H62 G60:G61 G59:H59 G48:G58 G47:H47 G44:G46 G43:H43 G37:H37 G38:G42 G26:G36 G25:H25 G18:G24 G17:H17 G5:G16 G2:H4">
    <cfRule type="duplicateValues" dxfId="97" priority="4"/>
    <cfRule type="duplicateValues" dxfId="96" priority="5"/>
    <cfRule type="duplicateValues" dxfId="95" priority="6"/>
  </conditionalFormatting>
  <conditionalFormatting sqref="H73 H67:H71 H63:H65 H60:H61 H48:H58 H44:H46 H38:H42 H26:H36 H18:H24 H5:H16">
    <cfRule type="duplicateValues" dxfId="94" priority="1"/>
    <cfRule type="duplicateValues" dxfId="93" priority="2"/>
    <cfRule type="duplicateValues" dxfId="92" priority="3"/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06748-9D18-41C0-BA79-426ACDD58DBD}">
  <sheetPr filterMode="1"/>
  <dimension ref="A1:M84"/>
  <sheetViews>
    <sheetView topLeftCell="E67" zoomScale="94" workbookViewId="0">
      <selection activeCell="M84" sqref="M84"/>
    </sheetView>
  </sheetViews>
  <sheetFormatPr defaultRowHeight="14.5"/>
  <cols>
    <col min="2" max="2" width="15.6328125" customWidth="1"/>
    <col min="3" max="3" width="19" customWidth="1"/>
    <col min="4" max="4" width="30" customWidth="1"/>
    <col min="5" max="5" width="16.54296875" customWidth="1"/>
    <col min="6" max="6" width="19.6328125" customWidth="1"/>
    <col min="7" max="7" width="17" customWidth="1"/>
    <col min="8" max="8" width="13.08984375" customWidth="1"/>
    <col min="9" max="9" width="18.54296875" customWidth="1"/>
    <col min="10" max="10" width="29.54296875" customWidth="1"/>
    <col min="11" max="11" width="16.36328125" customWidth="1"/>
    <col min="12" max="12" width="17.08984375" customWidth="1"/>
    <col min="13" max="13" width="17.81640625" customWidth="1"/>
  </cols>
  <sheetData>
    <row r="1" spans="1:12">
      <c r="A1" s="559" t="s">
        <v>4329</v>
      </c>
      <c r="B1" s="559" t="s">
        <v>2634</v>
      </c>
      <c r="C1" s="559" t="s">
        <v>1668</v>
      </c>
      <c r="D1" s="559" t="s">
        <v>2637</v>
      </c>
      <c r="E1" s="597" t="s">
        <v>4330</v>
      </c>
      <c r="F1" s="597" t="s">
        <v>2636</v>
      </c>
      <c r="G1" s="586" t="s">
        <v>3883</v>
      </c>
      <c r="H1" s="586" t="s">
        <v>3149</v>
      </c>
      <c r="I1" s="598" t="s">
        <v>1882</v>
      </c>
      <c r="J1" s="598" t="s">
        <v>3884</v>
      </c>
      <c r="K1" s="598" t="s">
        <v>4177</v>
      </c>
      <c r="L1" s="147" t="s">
        <v>4331</v>
      </c>
    </row>
    <row r="2" spans="1:12" ht="15.5">
      <c r="A2" s="562">
        <v>5</v>
      </c>
      <c r="B2" s="5" t="s">
        <v>148</v>
      </c>
      <c r="C2" s="588">
        <v>45992</v>
      </c>
      <c r="D2" s="564" t="s">
        <v>4300</v>
      </c>
      <c r="E2" s="5">
        <v>553503172</v>
      </c>
      <c r="F2" s="99" t="s">
        <v>4301</v>
      </c>
      <c r="G2" s="120">
        <v>1.78481237</v>
      </c>
      <c r="H2" s="120" t="e">
        <v>#N/A</v>
      </c>
      <c r="I2" s="5">
        <v>229</v>
      </c>
      <c r="J2" s="567" t="s">
        <v>3887</v>
      </c>
      <c r="K2" s="3" t="e">
        <v>#N/A</v>
      </c>
      <c r="L2" s="599">
        <v>45995</v>
      </c>
    </row>
    <row r="3" spans="1:12" ht="15.5">
      <c r="A3" s="562">
        <v>17</v>
      </c>
      <c r="B3" s="5" t="s">
        <v>148</v>
      </c>
      <c r="C3" s="588">
        <v>45992</v>
      </c>
      <c r="D3" s="564" t="s">
        <v>4332</v>
      </c>
      <c r="E3" s="5">
        <v>581017568</v>
      </c>
      <c r="F3" s="99" t="s">
        <v>4333</v>
      </c>
      <c r="G3" s="120">
        <v>1.30563984</v>
      </c>
      <c r="H3" s="120" t="e">
        <v>#N/A</v>
      </c>
      <c r="I3" s="5">
        <v>229</v>
      </c>
      <c r="J3" s="567" t="s">
        <v>3887</v>
      </c>
      <c r="K3" s="3" t="e">
        <v>#N/A</v>
      </c>
      <c r="L3" s="599">
        <v>45992</v>
      </c>
    </row>
    <row r="4" spans="1:12" ht="15.5">
      <c r="A4" s="562">
        <v>43</v>
      </c>
      <c r="B4" s="5" t="s">
        <v>148</v>
      </c>
      <c r="C4" s="588">
        <v>45992</v>
      </c>
      <c r="D4" s="564" t="s">
        <v>4334</v>
      </c>
      <c r="E4" s="5">
        <v>503271728</v>
      </c>
      <c r="F4" s="99" t="s">
        <v>4335</v>
      </c>
      <c r="G4" s="120">
        <v>1.7854378200000001</v>
      </c>
      <c r="H4" s="120" t="e">
        <v>#N/A</v>
      </c>
      <c r="I4" s="5">
        <v>229</v>
      </c>
      <c r="J4" s="567" t="s">
        <v>3887</v>
      </c>
      <c r="K4" s="3" t="e">
        <v>#N/A</v>
      </c>
      <c r="L4" s="599">
        <v>45994</v>
      </c>
    </row>
    <row r="5" spans="1:12" ht="15.5" hidden="1">
      <c r="A5" s="562">
        <v>65</v>
      </c>
      <c r="B5" s="5" t="s">
        <v>148</v>
      </c>
      <c r="C5" s="588">
        <v>45993</v>
      </c>
      <c r="D5" s="564" t="s">
        <v>4336</v>
      </c>
      <c r="E5" s="5">
        <v>527471523</v>
      </c>
      <c r="F5" s="99" t="s">
        <v>4337</v>
      </c>
      <c r="G5" s="120">
        <v>1.78563665</v>
      </c>
      <c r="H5" s="120"/>
      <c r="I5" s="5">
        <v>229</v>
      </c>
      <c r="J5" s="567" t="s">
        <v>255</v>
      </c>
      <c r="K5" s="3" t="e">
        <v>#N/A</v>
      </c>
      <c r="L5" s="599" t="e">
        <v>#N/A</v>
      </c>
    </row>
    <row r="6" spans="1:12" ht="15.5">
      <c r="A6" s="562">
        <v>118</v>
      </c>
      <c r="B6" s="5" t="s">
        <v>148</v>
      </c>
      <c r="C6" s="588">
        <v>45994</v>
      </c>
      <c r="D6" s="564" t="s">
        <v>4338</v>
      </c>
      <c r="E6" s="5">
        <v>528383764</v>
      </c>
      <c r="F6" s="99" t="s">
        <v>4339</v>
      </c>
      <c r="G6" s="35">
        <v>1.78589979</v>
      </c>
      <c r="H6" s="120" t="e">
        <v>#N/A</v>
      </c>
      <c r="I6" s="5">
        <v>229</v>
      </c>
      <c r="J6" s="567" t="s">
        <v>3887</v>
      </c>
      <c r="K6" s="3" t="e">
        <v>#N/A</v>
      </c>
      <c r="L6" s="599">
        <v>45995</v>
      </c>
    </row>
    <row r="7" spans="1:12" ht="15.5" hidden="1">
      <c r="A7" s="562">
        <v>123</v>
      </c>
      <c r="B7" s="5" t="s">
        <v>148</v>
      </c>
      <c r="C7" s="588">
        <v>45994</v>
      </c>
      <c r="D7" s="564" t="s">
        <v>4338</v>
      </c>
      <c r="E7" s="5">
        <v>582436994</v>
      </c>
      <c r="F7" s="99" t="s">
        <v>4340</v>
      </c>
      <c r="G7" s="120">
        <v>1.7859191000000001</v>
      </c>
      <c r="H7" s="120"/>
      <c r="I7" s="5">
        <v>229</v>
      </c>
      <c r="J7" s="567" t="s">
        <v>255</v>
      </c>
      <c r="K7" s="3" t="e">
        <v>#N/A</v>
      </c>
      <c r="L7" s="599" t="e">
        <v>#N/A</v>
      </c>
    </row>
    <row r="8" spans="1:12" ht="15.5" hidden="1">
      <c r="A8" s="562">
        <v>160</v>
      </c>
      <c r="B8" s="5" t="s">
        <v>148</v>
      </c>
      <c r="C8" s="588">
        <v>45995</v>
      </c>
      <c r="D8" s="564" t="s">
        <v>4341</v>
      </c>
      <c r="E8" s="5">
        <v>562647971</v>
      </c>
      <c r="F8" s="588" t="s">
        <v>4342</v>
      </c>
      <c r="G8" s="120">
        <v>1.7861565100000001</v>
      </c>
      <c r="H8" s="120"/>
      <c r="I8" s="5">
        <v>229</v>
      </c>
      <c r="J8" s="567" t="s">
        <v>255</v>
      </c>
      <c r="K8" s="3" t="e">
        <v>#N/A</v>
      </c>
      <c r="L8" s="599" t="e">
        <v>#N/A</v>
      </c>
    </row>
    <row r="9" spans="1:12" ht="15.5">
      <c r="A9" s="562">
        <v>172</v>
      </c>
      <c r="B9" s="5" t="s">
        <v>148</v>
      </c>
      <c r="C9" s="588">
        <v>45995</v>
      </c>
      <c r="D9" s="564" t="s">
        <v>4343</v>
      </c>
      <c r="E9" s="5">
        <v>503606587</v>
      </c>
      <c r="F9" s="588" t="s">
        <v>4344</v>
      </c>
      <c r="G9" s="120">
        <v>1.7861986299999999</v>
      </c>
      <c r="H9" s="120" t="e">
        <v>#N/A</v>
      </c>
      <c r="I9" s="5">
        <v>229</v>
      </c>
      <c r="J9" s="567" t="s">
        <v>3887</v>
      </c>
      <c r="K9" s="3" t="e">
        <v>#N/A</v>
      </c>
      <c r="L9" s="599">
        <v>45995</v>
      </c>
    </row>
    <row r="10" spans="1:12" ht="15.5">
      <c r="A10" s="562">
        <v>173</v>
      </c>
      <c r="B10" s="5" t="s">
        <v>148</v>
      </c>
      <c r="C10" s="588">
        <v>45995</v>
      </c>
      <c r="D10" s="564" t="s">
        <v>4345</v>
      </c>
      <c r="E10" s="5">
        <v>568193863</v>
      </c>
      <c r="F10" s="588" t="s">
        <v>4346</v>
      </c>
      <c r="G10" s="120">
        <v>1.7862037500000001</v>
      </c>
      <c r="H10" s="120" t="e">
        <v>#N/A</v>
      </c>
      <c r="I10" s="5">
        <v>229</v>
      </c>
      <c r="J10" s="567" t="s">
        <v>3887</v>
      </c>
      <c r="K10" s="3" t="e">
        <v>#N/A</v>
      </c>
      <c r="L10" s="599">
        <v>45995</v>
      </c>
    </row>
    <row r="11" spans="1:12" ht="15.5" hidden="1">
      <c r="A11" s="562">
        <v>174</v>
      </c>
      <c r="B11" s="147" t="s">
        <v>148</v>
      </c>
      <c r="C11" s="588">
        <v>45995</v>
      </c>
      <c r="D11" s="564" t="s">
        <v>4347</v>
      </c>
      <c r="E11" s="5">
        <v>562647971</v>
      </c>
      <c r="F11" s="588" t="s">
        <v>4348</v>
      </c>
      <c r="G11" s="120">
        <v>1.78620643</v>
      </c>
      <c r="H11" s="120"/>
      <c r="I11" s="5">
        <v>229</v>
      </c>
      <c r="J11" s="567" t="s">
        <v>255</v>
      </c>
      <c r="K11" s="3" t="e">
        <v>#N/A</v>
      </c>
      <c r="L11" s="599" t="e">
        <v>#N/A</v>
      </c>
    </row>
    <row r="12" spans="1:12" ht="16">
      <c r="A12" s="562">
        <v>210</v>
      </c>
      <c r="B12" s="5" t="s">
        <v>148</v>
      </c>
      <c r="C12" s="588">
        <v>45996</v>
      </c>
      <c r="D12" s="564" t="s">
        <v>4349</v>
      </c>
      <c r="E12" s="600">
        <v>557752456</v>
      </c>
      <c r="F12" s="588" t="s">
        <v>4350</v>
      </c>
      <c r="G12" s="120">
        <v>1.7864817500000001</v>
      </c>
      <c r="H12" s="120" t="e">
        <v>#N/A</v>
      </c>
      <c r="I12" s="5">
        <v>229</v>
      </c>
      <c r="J12" s="567" t="s">
        <v>3887</v>
      </c>
      <c r="K12" s="3" t="s">
        <v>1096</v>
      </c>
      <c r="L12" s="599">
        <v>45996</v>
      </c>
    </row>
    <row r="13" spans="1:12" ht="16">
      <c r="A13" s="562">
        <v>255</v>
      </c>
      <c r="B13" s="5" t="s">
        <v>148</v>
      </c>
      <c r="C13" s="588">
        <v>45997</v>
      </c>
      <c r="D13" s="564" t="s">
        <v>4351</v>
      </c>
      <c r="E13" s="600">
        <v>544886578</v>
      </c>
      <c r="F13" s="588" t="s">
        <v>4352</v>
      </c>
      <c r="G13" s="120">
        <v>1.78680332</v>
      </c>
      <c r="H13" s="120" t="e">
        <v>#N/A</v>
      </c>
      <c r="I13" s="5">
        <v>229</v>
      </c>
      <c r="J13" s="567" t="s">
        <v>3887</v>
      </c>
      <c r="K13" s="3" t="s">
        <v>1096</v>
      </c>
      <c r="L13" s="599">
        <v>45997</v>
      </c>
    </row>
    <row r="14" spans="1:12" ht="16">
      <c r="A14" s="562">
        <v>266</v>
      </c>
      <c r="B14" s="5" t="s">
        <v>148</v>
      </c>
      <c r="C14" s="588">
        <v>45997</v>
      </c>
      <c r="D14" s="3" t="s">
        <v>4353</v>
      </c>
      <c r="E14" s="600">
        <v>552042373</v>
      </c>
      <c r="F14" s="588" t="s">
        <v>4354</v>
      </c>
      <c r="G14" s="120">
        <v>1.3996046900000001</v>
      </c>
      <c r="H14" s="120" t="e">
        <v>#N/A</v>
      </c>
      <c r="I14" s="5">
        <v>229</v>
      </c>
      <c r="J14" s="567" t="s">
        <v>3887</v>
      </c>
      <c r="K14" s="3" t="s">
        <v>1096</v>
      </c>
      <c r="L14" s="599">
        <v>45997</v>
      </c>
    </row>
    <row r="15" spans="1:12" ht="16">
      <c r="A15" s="562">
        <v>269</v>
      </c>
      <c r="B15" s="5" t="s">
        <v>148</v>
      </c>
      <c r="C15" s="588">
        <v>45997</v>
      </c>
      <c r="D15" s="3" t="s">
        <v>4351</v>
      </c>
      <c r="E15" s="600">
        <v>544886578</v>
      </c>
      <c r="F15" s="588" t="s">
        <v>4355</v>
      </c>
      <c r="G15" s="120">
        <v>1.7868557599999999</v>
      </c>
      <c r="H15" s="120" t="e">
        <v>#N/A</v>
      </c>
      <c r="I15" s="5">
        <v>229</v>
      </c>
      <c r="J15" s="567" t="s">
        <v>3887</v>
      </c>
      <c r="K15" s="3" t="s">
        <v>1096</v>
      </c>
      <c r="L15" s="599">
        <v>45997</v>
      </c>
    </row>
    <row r="16" spans="1:12" ht="16" hidden="1">
      <c r="A16" s="562">
        <v>271</v>
      </c>
      <c r="B16" s="5" t="s">
        <v>148</v>
      </c>
      <c r="C16" s="588">
        <v>45997</v>
      </c>
      <c r="D16" s="3" t="s">
        <v>4356</v>
      </c>
      <c r="E16" s="600">
        <v>589172267</v>
      </c>
      <c r="F16" s="588" t="s">
        <v>4357</v>
      </c>
      <c r="G16" s="120">
        <v>1.7868608800000001</v>
      </c>
      <c r="H16" s="120"/>
      <c r="I16" s="5">
        <v>229</v>
      </c>
      <c r="J16" s="567" t="s">
        <v>255</v>
      </c>
      <c r="K16" s="3" t="s">
        <v>1096</v>
      </c>
      <c r="L16" s="599" t="e">
        <v>#N/A</v>
      </c>
    </row>
    <row r="17" spans="1:12" ht="16" hidden="1">
      <c r="A17" s="562">
        <v>279</v>
      </c>
      <c r="B17" s="5" t="s">
        <v>148</v>
      </c>
      <c r="C17" s="588">
        <v>45997</v>
      </c>
      <c r="D17" s="3" t="s">
        <v>4358</v>
      </c>
      <c r="E17" s="600">
        <v>589172267</v>
      </c>
      <c r="F17" s="588" t="s">
        <v>4359</v>
      </c>
      <c r="G17" s="120">
        <v>1.7868608800000001</v>
      </c>
      <c r="H17" s="120"/>
      <c r="I17" s="5">
        <v>229</v>
      </c>
      <c r="J17" s="567" t="s">
        <v>255</v>
      </c>
      <c r="K17" s="3" t="s">
        <v>1096</v>
      </c>
      <c r="L17" s="599" t="e">
        <v>#N/A</v>
      </c>
    </row>
    <row r="18" spans="1:12" ht="16">
      <c r="A18" s="562">
        <v>280</v>
      </c>
      <c r="B18" s="5" t="s">
        <v>148</v>
      </c>
      <c r="C18" s="588">
        <v>45997</v>
      </c>
      <c r="D18" s="3" t="s">
        <v>4360</v>
      </c>
      <c r="E18" s="600">
        <v>524422078</v>
      </c>
      <c r="F18" s="588" t="s">
        <v>4361</v>
      </c>
      <c r="G18" s="120">
        <v>1.78694241</v>
      </c>
      <c r="H18" s="120" t="e">
        <v>#N/A</v>
      </c>
      <c r="I18" s="5">
        <v>229</v>
      </c>
      <c r="J18" s="567" t="s">
        <v>3887</v>
      </c>
      <c r="K18" s="3" t="s">
        <v>1096</v>
      </c>
      <c r="L18" s="599">
        <v>45998</v>
      </c>
    </row>
    <row r="19" spans="1:12" ht="16">
      <c r="A19" s="562">
        <v>282</v>
      </c>
      <c r="B19" s="5" t="s">
        <v>148</v>
      </c>
      <c r="C19" s="588">
        <v>45997</v>
      </c>
      <c r="D19" s="3" t="s">
        <v>4362</v>
      </c>
      <c r="E19" s="600">
        <v>588328649</v>
      </c>
      <c r="F19" s="588" t="s">
        <v>4363</v>
      </c>
      <c r="G19" s="120">
        <v>1.7869557199999999</v>
      </c>
      <c r="H19" s="120" t="e">
        <v>#N/A</v>
      </c>
      <c r="I19" s="5">
        <v>229</v>
      </c>
      <c r="J19" s="567" t="s">
        <v>3887</v>
      </c>
      <c r="K19" s="3" t="s">
        <v>1096</v>
      </c>
      <c r="L19" s="599">
        <v>45998</v>
      </c>
    </row>
    <row r="20" spans="1:12" ht="16">
      <c r="A20" s="562">
        <v>288</v>
      </c>
      <c r="B20" s="5" t="s">
        <v>148</v>
      </c>
      <c r="C20" s="588">
        <v>45998</v>
      </c>
      <c r="D20" s="3" t="s">
        <v>4364</v>
      </c>
      <c r="E20" s="600">
        <v>555793518</v>
      </c>
      <c r="F20" s="588" t="s">
        <v>4365</v>
      </c>
      <c r="G20" s="120">
        <v>1.7871195099999999</v>
      </c>
      <c r="H20" s="120" t="e">
        <v>#N/A</v>
      </c>
      <c r="I20" s="5">
        <v>229</v>
      </c>
      <c r="J20" s="567" t="s">
        <v>3887</v>
      </c>
      <c r="K20" s="3" t="s">
        <v>1096</v>
      </c>
      <c r="L20" s="599">
        <v>45998</v>
      </c>
    </row>
    <row r="21" spans="1:12" ht="16">
      <c r="A21" s="562">
        <v>292</v>
      </c>
      <c r="B21" s="5" t="s">
        <v>148</v>
      </c>
      <c r="C21" s="588">
        <v>45998</v>
      </c>
      <c r="D21" s="3" t="s">
        <v>4366</v>
      </c>
      <c r="E21" s="600">
        <v>543237855</v>
      </c>
      <c r="F21" s="588" t="s">
        <v>4367</v>
      </c>
      <c r="G21" s="120">
        <v>1.7871750399999999</v>
      </c>
      <c r="H21" s="120" t="e">
        <v>#N/A</v>
      </c>
      <c r="I21" s="5">
        <v>229</v>
      </c>
      <c r="J21" s="567" t="s">
        <v>3887</v>
      </c>
      <c r="K21" s="3" t="s">
        <v>1096</v>
      </c>
      <c r="L21" s="599">
        <v>45998</v>
      </c>
    </row>
    <row r="22" spans="1:12" ht="15.5">
      <c r="A22" s="562">
        <v>361</v>
      </c>
      <c r="B22" s="5" t="s">
        <v>148</v>
      </c>
      <c r="C22" s="588">
        <v>46000</v>
      </c>
      <c r="D22" s="3" t="s">
        <v>4368</v>
      </c>
      <c r="E22" s="99">
        <v>504256463</v>
      </c>
      <c r="F22" s="588" t="s">
        <v>4369</v>
      </c>
      <c r="G22" s="120">
        <v>1.7877873</v>
      </c>
      <c r="H22" s="120" t="e">
        <v>#N/A</v>
      </c>
      <c r="I22" s="5">
        <v>229</v>
      </c>
      <c r="J22" s="567" t="s">
        <v>3887</v>
      </c>
      <c r="K22" s="3" t="s">
        <v>1096</v>
      </c>
      <c r="L22" s="599">
        <v>46001</v>
      </c>
    </row>
    <row r="23" spans="1:12" ht="15.5">
      <c r="A23" s="562">
        <v>369</v>
      </c>
      <c r="B23" s="5" t="s">
        <v>148</v>
      </c>
      <c r="C23" s="588">
        <v>46000</v>
      </c>
      <c r="D23" s="3" t="s">
        <v>4370</v>
      </c>
      <c r="E23" s="99">
        <v>564828978</v>
      </c>
      <c r="F23" s="588" t="s">
        <v>4371</v>
      </c>
      <c r="G23" s="120">
        <v>1.7876735399999999</v>
      </c>
      <c r="H23" s="120" t="e">
        <v>#N/A</v>
      </c>
      <c r="I23" s="5">
        <v>229</v>
      </c>
      <c r="J23" s="567" t="s">
        <v>3887</v>
      </c>
      <c r="K23" s="3" t="s">
        <v>1096</v>
      </c>
      <c r="L23" s="599">
        <v>46000</v>
      </c>
    </row>
    <row r="24" spans="1:12" ht="15.5">
      <c r="A24" s="562">
        <v>389</v>
      </c>
      <c r="B24" s="5" t="s">
        <v>148</v>
      </c>
      <c r="C24" s="588">
        <v>46001</v>
      </c>
      <c r="D24" s="3" t="s">
        <v>4372</v>
      </c>
      <c r="E24" s="99">
        <v>505838965</v>
      </c>
      <c r="F24" s="588" t="s">
        <v>4373</v>
      </c>
      <c r="G24" s="120">
        <v>1.7879310399999999</v>
      </c>
      <c r="H24" s="120" t="e">
        <v>#N/A</v>
      </c>
      <c r="I24" s="5">
        <v>229</v>
      </c>
      <c r="J24" s="567" t="s">
        <v>3887</v>
      </c>
      <c r="K24" s="3" t="s">
        <v>1096</v>
      </c>
      <c r="L24" s="599">
        <v>46001</v>
      </c>
    </row>
    <row r="25" spans="1:12" ht="15.5" hidden="1">
      <c r="A25" s="562">
        <v>411</v>
      </c>
      <c r="B25" s="147" t="s">
        <v>148</v>
      </c>
      <c r="C25" s="588">
        <v>46002</v>
      </c>
      <c r="D25" s="3" t="s">
        <v>4374</v>
      </c>
      <c r="E25" s="5">
        <v>551859911</v>
      </c>
      <c r="F25" s="99" t="s">
        <v>4375</v>
      </c>
      <c r="G25" s="120">
        <v>1.71888208</v>
      </c>
      <c r="H25" s="120"/>
      <c r="I25" s="5">
        <v>229</v>
      </c>
      <c r="J25" s="567" t="s">
        <v>255</v>
      </c>
      <c r="K25" s="3" t="s">
        <v>1096</v>
      </c>
      <c r="L25" s="599" t="e">
        <v>#N/A</v>
      </c>
    </row>
    <row r="26" spans="1:12" ht="15.5">
      <c r="A26" s="562">
        <v>413</v>
      </c>
      <c r="B26" s="147" t="s">
        <v>148</v>
      </c>
      <c r="C26" s="588">
        <v>46002</v>
      </c>
      <c r="D26" s="3" t="s">
        <v>4376</v>
      </c>
      <c r="E26" s="5">
        <v>557283105</v>
      </c>
      <c r="F26" s="99" t="s">
        <v>4377</v>
      </c>
      <c r="G26" s="120">
        <v>1.78830132</v>
      </c>
      <c r="H26" s="120" t="e">
        <v>#N/A</v>
      </c>
      <c r="I26" s="5">
        <v>229</v>
      </c>
      <c r="J26" s="567" t="s">
        <v>3887</v>
      </c>
      <c r="K26" s="3" t="s">
        <v>1096</v>
      </c>
      <c r="L26" s="599">
        <v>46002</v>
      </c>
    </row>
    <row r="27" spans="1:12" ht="15.5">
      <c r="A27" s="562">
        <v>430</v>
      </c>
      <c r="B27" s="5" t="s">
        <v>148</v>
      </c>
      <c r="C27" s="588">
        <v>46002</v>
      </c>
      <c r="D27" s="3" t="s">
        <v>4378</v>
      </c>
      <c r="E27" s="5">
        <v>556301674</v>
      </c>
      <c r="F27" s="99" t="s">
        <v>4379</v>
      </c>
      <c r="G27" s="120">
        <v>1.7883734899999999</v>
      </c>
      <c r="H27" s="120" t="e">
        <v>#N/A</v>
      </c>
      <c r="I27" s="5">
        <v>299</v>
      </c>
      <c r="J27" s="567" t="s">
        <v>3887</v>
      </c>
      <c r="K27" s="3" t="s">
        <v>1096</v>
      </c>
      <c r="L27" s="599">
        <v>46003</v>
      </c>
    </row>
    <row r="28" spans="1:12" ht="15.5">
      <c r="A28" s="562">
        <v>444</v>
      </c>
      <c r="B28" s="5" t="s">
        <v>148</v>
      </c>
      <c r="C28" s="588">
        <v>46002</v>
      </c>
      <c r="D28" s="3" t="s">
        <v>2403</v>
      </c>
      <c r="E28" s="5">
        <v>545177860</v>
      </c>
      <c r="F28" s="99" t="s">
        <v>4380</v>
      </c>
      <c r="G28" s="120">
        <v>1.67569944</v>
      </c>
      <c r="H28" s="120" t="s">
        <v>3964</v>
      </c>
      <c r="I28" s="5">
        <v>229</v>
      </c>
      <c r="J28" s="567" t="s">
        <v>3887</v>
      </c>
      <c r="K28" s="3" t="s">
        <v>1096</v>
      </c>
      <c r="L28" s="599">
        <v>46002</v>
      </c>
    </row>
    <row r="29" spans="1:12" ht="15.5">
      <c r="A29" s="562">
        <v>446</v>
      </c>
      <c r="B29" s="5" t="s">
        <v>148</v>
      </c>
      <c r="C29" s="588">
        <v>46002</v>
      </c>
      <c r="D29" s="3" t="s">
        <v>4381</v>
      </c>
      <c r="E29" s="5">
        <v>562301997</v>
      </c>
      <c r="F29" s="99" t="s">
        <v>4382</v>
      </c>
      <c r="G29" s="120">
        <v>1.7884338900000001</v>
      </c>
      <c r="H29" s="120" t="e">
        <v>#N/A</v>
      </c>
      <c r="I29" s="5">
        <v>229</v>
      </c>
      <c r="J29" s="567" t="s">
        <v>3887</v>
      </c>
      <c r="K29" s="3" t="s">
        <v>3313</v>
      </c>
      <c r="L29" s="599">
        <v>46003</v>
      </c>
    </row>
    <row r="30" spans="1:12" ht="15.5">
      <c r="A30" s="562">
        <v>452</v>
      </c>
      <c r="B30" s="147" t="s">
        <v>148</v>
      </c>
      <c r="C30" s="588">
        <v>46003</v>
      </c>
      <c r="D30" s="3" t="s">
        <v>4383</v>
      </c>
      <c r="E30" s="5">
        <v>505385666</v>
      </c>
      <c r="F30" s="5" t="s">
        <v>4384</v>
      </c>
      <c r="G30" s="120">
        <v>1.78860401</v>
      </c>
      <c r="H30" s="120" t="e">
        <v>#N/A</v>
      </c>
      <c r="I30" s="5">
        <v>299</v>
      </c>
      <c r="J30" s="567" t="s">
        <v>3887</v>
      </c>
      <c r="K30" s="3" t="s">
        <v>1096</v>
      </c>
      <c r="L30" s="599">
        <v>46004</v>
      </c>
    </row>
    <row r="31" spans="1:12" ht="15.5">
      <c r="A31" s="562">
        <v>459</v>
      </c>
      <c r="B31" s="5" t="s">
        <v>148</v>
      </c>
      <c r="C31" s="588">
        <v>46003</v>
      </c>
      <c r="D31" s="3" t="s">
        <v>4385</v>
      </c>
      <c r="E31" s="5">
        <v>501181124</v>
      </c>
      <c r="F31" s="99" t="s">
        <v>4386</v>
      </c>
      <c r="G31" s="120">
        <v>1.78862996</v>
      </c>
      <c r="H31" s="120" t="e">
        <v>#N/A</v>
      </c>
      <c r="I31" s="5">
        <v>229</v>
      </c>
      <c r="J31" s="567" t="s">
        <v>3887</v>
      </c>
      <c r="K31" s="3" t="s">
        <v>3313</v>
      </c>
      <c r="L31" s="599">
        <v>46003</v>
      </c>
    </row>
    <row r="32" spans="1:12" ht="15.5">
      <c r="A32" s="562">
        <v>468</v>
      </c>
      <c r="B32" s="5" t="s">
        <v>148</v>
      </c>
      <c r="C32" s="588">
        <v>46003</v>
      </c>
      <c r="D32" s="3" t="s">
        <v>4387</v>
      </c>
      <c r="E32" s="5">
        <v>529580121</v>
      </c>
      <c r="F32" s="99" t="s">
        <v>4388</v>
      </c>
      <c r="G32" s="120">
        <v>1.78865224</v>
      </c>
      <c r="H32" s="120" t="e">
        <v>#N/A</v>
      </c>
      <c r="I32" s="5">
        <v>229</v>
      </c>
      <c r="J32" s="567" t="s">
        <v>3887</v>
      </c>
      <c r="K32" s="3" t="s">
        <v>1096</v>
      </c>
      <c r="L32" s="599">
        <v>46004</v>
      </c>
    </row>
    <row r="33" spans="1:12" ht="15.5">
      <c r="A33" s="562">
        <v>473</v>
      </c>
      <c r="B33" s="5" t="s">
        <v>148</v>
      </c>
      <c r="C33" s="588">
        <v>46003</v>
      </c>
      <c r="D33" s="3" t="s">
        <v>4389</v>
      </c>
      <c r="E33" s="5">
        <v>509827068</v>
      </c>
      <c r="F33" s="99" t="s">
        <v>4390</v>
      </c>
      <c r="G33" s="120">
        <v>1.78871482</v>
      </c>
      <c r="H33" s="120" t="e">
        <v>#N/A</v>
      </c>
      <c r="I33" s="5">
        <v>229</v>
      </c>
      <c r="J33" s="567" t="s">
        <v>3887</v>
      </c>
      <c r="K33" s="3" t="s">
        <v>1096</v>
      </c>
      <c r="L33" s="599">
        <v>46004</v>
      </c>
    </row>
    <row r="34" spans="1:12" ht="15.5">
      <c r="A34" s="562">
        <v>490</v>
      </c>
      <c r="B34" s="5" t="s">
        <v>148</v>
      </c>
      <c r="C34" s="588">
        <v>46004</v>
      </c>
      <c r="D34" s="3" t="s">
        <v>4391</v>
      </c>
      <c r="E34" s="5">
        <v>507587358</v>
      </c>
      <c r="F34" s="99" t="s">
        <v>4392</v>
      </c>
      <c r="G34" s="120">
        <v>1.7890476500000001</v>
      </c>
      <c r="H34" s="120" t="e">
        <v>#N/A</v>
      </c>
      <c r="I34" s="5">
        <v>229</v>
      </c>
      <c r="J34" s="567" t="s">
        <v>3887</v>
      </c>
      <c r="K34" s="3" t="s">
        <v>3313</v>
      </c>
      <c r="L34" s="599">
        <v>46005</v>
      </c>
    </row>
    <row r="35" spans="1:12" ht="15.5">
      <c r="A35" s="562">
        <v>498</v>
      </c>
      <c r="B35" s="5" t="s">
        <v>148</v>
      </c>
      <c r="C35" s="588">
        <v>46004</v>
      </c>
      <c r="D35" s="3" t="s">
        <v>4364</v>
      </c>
      <c r="E35" s="5">
        <v>555793518</v>
      </c>
      <c r="F35" s="99" t="s">
        <v>4393</v>
      </c>
      <c r="G35" s="120">
        <v>1.7871195099999999</v>
      </c>
      <c r="H35" s="120" t="e">
        <v>#N/A</v>
      </c>
      <c r="I35" s="5">
        <v>229</v>
      </c>
      <c r="J35" s="567" t="s">
        <v>3887</v>
      </c>
      <c r="K35" s="3" t="s">
        <v>3313</v>
      </c>
      <c r="L35" s="599">
        <v>45998</v>
      </c>
    </row>
    <row r="36" spans="1:12" ht="15.5">
      <c r="A36" s="562">
        <v>522</v>
      </c>
      <c r="B36" s="5" t="s">
        <v>148</v>
      </c>
      <c r="C36" s="588">
        <v>46005</v>
      </c>
      <c r="D36" s="3" t="s">
        <v>4394</v>
      </c>
      <c r="E36" s="5">
        <v>544440690</v>
      </c>
      <c r="F36" s="99" t="s">
        <v>4395</v>
      </c>
      <c r="G36" s="120">
        <v>1.7893396500000001</v>
      </c>
      <c r="H36" s="120" t="e">
        <v>#N/A</v>
      </c>
      <c r="I36" s="5">
        <v>229</v>
      </c>
      <c r="J36" s="567" t="s">
        <v>3887</v>
      </c>
      <c r="K36" s="3" t="s">
        <v>1096</v>
      </c>
      <c r="L36" s="599">
        <v>46006</v>
      </c>
    </row>
    <row r="37" spans="1:12" ht="15.5">
      <c r="A37" s="562">
        <v>527</v>
      </c>
      <c r="B37" s="5" t="s">
        <v>148</v>
      </c>
      <c r="C37" s="588">
        <v>46006</v>
      </c>
      <c r="D37" s="3" t="s">
        <v>4396</v>
      </c>
      <c r="E37" s="5">
        <v>509427454</v>
      </c>
      <c r="F37" s="120" t="s">
        <v>4397</v>
      </c>
      <c r="G37" s="120">
        <v>1.7895430699999999</v>
      </c>
      <c r="H37" s="120" t="e">
        <v>#N/A</v>
      </c>
      <c r="I37" s="3">
        <v>229</v>
      </c>
      <c r="J37" s="567" t="s">
        <v>3887</v>
      </c>
      <c r="K37" s="3" t="s">
        <v>1096</v>
      </c>
      <c r="L37" s="599">
        <v>46006</v>
      </c>
    </row>
    <row r="38" spans="1:12" ht="15.5">
      <c r="A38" s="562">
        <v>597</v>
      </c>
      <c r="B38" s="5" t="s">
        <v>148</v>
      </c>
      <c r="C38" s="588">
        <v>46007</v>
      </c>
      <c r="D38" s="3" t="s">
        <v>4398</v>
      </c>
      <c r="E38" s="5">
        <v>555198897</v>
      </c>
      <c r="F38" s="120" t="s">
        <v>4399</v>
      </c>
      <c r="G38" s="120">
        <v>1.7899601999999999</v>
      </c>
      <c r="H38" s="120" t="e">
        <v>#N/A</v>
      </c>
      <c r="I38" s="3">
        <v>299</v>
      </c>
      <c r="J38" s="567" t="s">
        <v>3887</v>
      </c>
      <c r="K38" s="3" t="s">
        <v>1096</v>
      </c>
      <c r="L38" s="599">
        <v>46008</v>
      </c>
    </row>
    <row r="39" spans="1:12" ht="15.5">
      <c r="A39" s="562">
        <v>611</v>
      </c>
      <c r="B39" s="5" t="s">
        <v>148</v>
      </c>
      <c r="C39" s="588">
        <v>46008</v>
      </c>
      <c r="D39" s="3" t="s">
        <v>4400</v>
      </c>
      <c r="E39" s="5">
        <v>524824736</v>
      </c>
      <c r="F39" s="120" t="s">
        <v>4401</v>
      </c>
      <c r="G39" s="120">
        <v>1.79016566</v>
      </c>
      <c r="H39" s="120" t="s">
        <v>3964</v>
      </c>
      <c r="I39" s="3">
        <v>229</v>
      </c>
      <c r="J39" s="567" t="s">
        <v>3887</v>
      </c>
      <c r="K39" s="3" t="s">
        <v>1096</v>
      </c>
      <c r="L39" s="599">
        <v>46008</v>
      </c>
    </row>
    <row r="40" spans="1:12" ht="15.5">
      <c r="A40" s="562">
        <v>639</v>
      </c>
      <c r="B40" s="5" t="s">
        <v>148</v>
      </c>
      <c r="C40" s="588">
        <v>46009</v>
      </c>
      <c r="D40" s="3" t="s">
        <v>4402</v>
      </c>
      <c r="E40" s="5">
        <v>553351965</v>
      </c>
      <c r="F40" s="120" t="s">
        <v>4403</v>
      </c>
      <c r="G40" s="120">
        <v>1.79044158</v>
      </c>
      <c r="H40" s="120" t="e">
        <v>#N/A</v>
      </c>
      <c r="I40" s="3">
        <v>229</v>
      </c>
      <c r="J40" s="567" t="s">
        <v>3887</v>
      </c>
      <c r="K40" s="3" t="s">
        <v>1096</v>
      </c>
      <c r="L40" s="599">
        <v>46009</v>
      </c>
    </row>
    <row r="41" spans="1:12" ht="15.5">
      <c r="A41" s="562">
        <v>677</v>
      </c>
      <c r="B41" s="5" t="s">
        <v>148</v>
      </c>
      <c r="C41" s="588">
        <v>46010</v>
      </c>
      <c r="D41" s="3" t="s">
        <v>4404</v>
      </c>
      <c r="E41" s="5">
        <v>509363586</v>
      </c>
      <c r="F41" s="120" t="s">
        <v>4405</v>
      </c>
      <c r="G41" s="120">
        <v>1.7909478000000001</v>
      </c>
      <c r="H41" s="120" t="e">
        <v>#N/A</v>
      </c>
      <c r="I41" s="3">
        <v>229</v>
      </c>
      <c r="J41" s="567" t="s">
        <v>3887</v>
      </c>
      <c r="K41" s="3" t="s">
        <v>1096</v>
      </c>
      <c r="L41" s="599">
        <v>46011</v>
      </c>
    </row>
    <row r="42" spans="1:12" ht="15.5">
      <c r="A42" s="562">
        <v>692</v>
      </c>
      <c r="B42" s="147" t="s">
        <v>148</v>
      </c>
      <c r="C42" s="588">
        <v>46011</v>
      </c>
      <c r="D42" s="3" t="s">
        <v>4406</v>
      </c>
      <c r="E42" s="5">
        <v>506790155</v>
      </c>
      <c r="F42" s="120" t="s">
        <v>4407</v>
      </c>
      <c r="G42" s="120">
        <v>1.79110806</v>
      </c>
      <c r="H42" s="120" t="e">
        <v>#N/A</v>
      </c>
      <c r="I42" s="3">
        <v>229</v>
      </c>
      <c r="J42" s="567" t="s">
        <v>3887</v>
      </c>
      <c r="K42" s="3" t="s">
        <v>1096</v>
      </c>
      <c r="L42" s="599">
        <v>46011</v>
      </c>
    </row>
    <row r="43" spans="1:12" ht="15.5">
      <c r="A43" s="562">
        <v>693</v>
      </c>
      <c r="B43" s="5" t="s">
        <v>148</v>
      </c>
      <c r="C43" s="588">
        <v>46011</v>
      </c>
      <c r="D43" s="3" t="s">
        <v>4408</v>
      </c>
      <c r="E43" s="5">
        <v>582723000</v>
      </c>
      <c r="F43" s="120" t="s">
        <v>4409</v>
      </c>
      <c r="G43" s="120">
        <v>1.5347536799999999</v>
      </c>
      <c r="H43" s="120" t="e">
        <v>#N/A</v>
      </c>
      <c r="I43" s="3">
        <v>229</v>
      </c>
      <c r="J43" s="567" t="s">
        <v>3887</v>
      </c>
      <c r="K43" s="3" t="s">
        <v>1096</v>
      </c>
      <c r="L43" s="599">
        <v>46011</v>
      </c>
    </row>
    <row r="44" spans="1:12" ht="15.5">
      <c r="A44" s="562">
        <v>744</v>
      </c>
      <c r="B44" s="5" t="s">
        <v>148</v>
      </c>
      <c r="C44" s="588">
        <v>46012</v>
      </c>
      <c r="D44" s="3" t="s">
        <v>4410</v>
      </c>
      <c r="E44" s="5">
        <v>504269541</v>
      </c>
      <c r="F44" s="120" t="s">
        <v>4411</v>
      </c>
      <c r="G44" s="120">
        <v>1.7914469399999999</v>
      </c>
      <c r="H44" s="120" t="s">
        <v>3964</v>
      </c>
      <c r="I44" s="3">
        <v>229</v>
      </c>
      <c r="J44" s="567" t="s">
        <v>3887</v>
      </c>
      <c r="K44" s="3" t="s">
        <v>1096</v>
      </c>
      <c r="L44" s="599">
        <v>46012</v>
      </c>
    </row>
    <row r="45" spans="1:12" ht="15.5">
      <c r="A45" s="562">
        <v>750</v>
      </c>
      <c r="B45" s="5" t="s">
        <v>148</v>
      </c>
      <c r="C45" s="588">
        <v>46012</v>
      </c>
      <c r="D45" s="3" t="s">
        <v>4412</v>
      </c>
      <c r="E45" s="5">
        <v>523907696</v>
      </c>
      <c r="F45" s="120" t="s">
        <v>4413</v>
      </c>
      <c r="G45" s="120">
        <v>1.79147452</v>
      </c>
      <c r="H45" s="120" t="e">
        <v>#N/A</v>
      </c>
      <c r="I45" s="3">
        <v>229</v>
      </c>
      <c r="J45" s="567" t="s">
        <v>3887</v>
      </c>
      <c r="K45" s="3" t="s">
        <v>1096</v>
      </c>
      <c r="L45" s="599">
        <v>46012</v>
      </c>
    </row>
    <row r="46" spans="1:12" ht="15.5">
      <c r="A46" s="562">
        <v>752</v>
      </c>
      <c r="B46" s="5" t="s">
        <v>148</v>
      </c>
      <c r="C46" s="588">
        <v>46012</v>
      </c>
      <c r="D46" s="3" t="s">
        <v>4414</v>
      </c>
      <c r="E46" s="5">
        <v>554271465</v>
      </c>
      <c r="F46" s="120" t="s">
        <v>4415</v>
      </c>
      <c r="G46" s="120">
        <v>1.7914835200000001</v>
      </c>
      <c r="H46" s="120" t="e">
        <v>#N/A</v>
      </c>
      <c r="I46" s="3">
        <v>299</v>
      </c>
      <c r="J46" s="567" t="s">
        <v>3887</v>
      </c>
      <c r="K46" s="3" t="s">
        <v>1096</v>
      </c>
      <c r="L46" s="599">
        <v>46013</v>
      </c>
    </row>
    <row r="47" spans="1:12" ht="15.5">
      <c r="A47" s="562">
        <v>774</v>
      </c>
      <c r="B47" s="5" t="s">
        <v>148</v>
      </c>
      <c r="C47" s="588">
        <v>46013</v>
      </c>
      <c r="D47" s="3" t="s">
        <v>4416</v>
      </c>
      <c r="E47" s="5">
        <v>558172405</v>
      </c>
      <c r="F47" s="120" t="s">
        <v>4417</v>
      </c>
      <c r="G47" s="120">
        <v>1.7918569499999999</v>
      </c>
      <c r="H47" s="120" t="e">
        <v>#N/A</v>
      </c>
      <c r="I47" s="3">
        <v>229</v>
      </c>
      <c r="J47" s="567" t="s">
        <v>3887</v>
      </c>
      <c r="K47" s="3" t="s">
        <v>1096</v>
      </c>
      <c r="L47" s="599">
        <v>46014</v>
      </c>
    </row>
    <row r="48" spans="1:12" ht="15.5">
      <c r="A48" s="562">
        <v>791</v>
      </c>
      <c r="B48" s="5" t="s">
        <v>148</v>
      </c>
      <c r="C48" s="588">
        <v>46013</v>
      </c>
      <c r="D48" s="3" t="s">
        <v>4418</v>
      </c>
      <c r="E48" s="5">
        <v>563505752</v>
      </c>
      <c r="F48" s="120" t="s">
        <v>4419</v>
      </c>
      <c r="G48" s="120">
        <v>1.79191287</v>
      </c>
      <c r="H48" s="120" t="e">
        <v>#N/A</v>
      </c>
      <c r="I48" s="5">
        <v>229</v>
      </c>
      <c r="J48" s="567" t="s">
        <v>3887</v>
      </c>
      <c r="K48" s="3" t="s">
        <v>1096</v>
      </c>
      <c r="L48" s="599">
        <v>46014</v>
      </c>
    </row>
    <row r="49" spans="1:12" ht="15.5">
      <c r="A49" s="562">
        <v>888</v>
      </c>
      <c r="B49" s="5" t="s">
        <v>148</v>
      </c>
      <c r="C49" s="588">
        <v>46016</v>
      </c>
      <c r="D49" s="3" t="s">
        <v>4420</v>
      </c>
      <c r="E49" s="5">
        <v>521224830</v>
      </c>
      <c r="F49" s="120" t="s">
        <v>4421</v>
      </c>
      <c r="G49" s="120">
        <v>1.7927169199999999</v>
      </c>
      <c r="H49" s="120" t="e">
        <v>#N/A</v>
      </c>
      <c r="I49" s="3">
        <v>299</v>
      </c>
      <c r="J49" s="567" t="s">
        <v>3887</v>
      </c>
      <c r="K49" s="3" t="s">
        <v>1096</v>
      </c>
      <c r="L49" s="599">
        <v>46018</v>
      </c>
    </row>
    <row r="50" spans="1:12" ht="15.5">
      <c r="A50" s="562">
        <v>916</v>
      </c>
      <c r="B50" s="5" t="s">
        <v>148</v>
      </c>
      <c r="C50" s="588">
        <v>46017</v>
      </c>
      <c r="D50" s="569" t="s">
        <v>4422</v>
      </c>
      <c r="E50" s="5">
        <v>588892092</v>
      </c>
      <c r="F50" s="120" t="s">
        <v>4423</v>
      </c>
      <c r="G50" s="120">
        <v>1.7929504999999999</v>
      </c>
      <c r="H50" s="120" t="e">
        <v>#N/A</v>
      </c>
      <c r="I50" s="3">
        <v>229</v>
      </c>
      <c r="J50" s="567" t="s">
        <v>3887</v>
      </c>
      <c r="K50" s="3" t="s">
        <v>1096</v>
      </c>
      <c r="L50" s="599">
        <v>46017</v>
      </c>
    </row>
    <row r="51" spans="1:12" ht="15.5">
      <c r="A51" s="562">
        <v>955</v>
      </c>
      <c r="B51" s="5" t="s">
        <v>148</v>
      </c>
      <c r="C51" s="588">
        <v>46017</v>
      </c>
      <c r="D51" s="569" t="s">
        <v>4424</v>
      </c>
      <c r="E51" s="5">
        <v>527306961</v>
      </c>
      <c r="F51" s="120" t="s">
        <v>4425</v>
      </c>
      <c r="G51" s="120">
        <v>1.7930400200000001</v>
      </c>
      <c r="H51" s="120" t="e">
        <v>#N/A</v>
      </c>
      <c r="I51" s="25">
        <v>299</v>
      </c>
      <c r="J51" s="567" t="s">
        <v>3887</v>
      </c>
      <c r="K51" s="3" t="s">
        <v>1096</v>
      </c>
      <c r="L51" s="599">
        <v>46018</v>
      </c>
    </row>
    <row r="52" spans="1:12" ht="15.5">
      <c r="A52" s="562">
        <v>974</v>
      </c>
      <c r="B52" s="5" t="s">
        <v>148</v>
      </c>
      <c r="C52" s="588">
        <v>46018</v>
      </c>
      <c r="D52" s="569" t="s">
        <v>4426</v>
      </c>
      <c r="E52" s="5">
        <v>569007333</v>
      </c>
      <c r="F52" s="120" t="s">
        <v>4427</v>
      </c>
      <c r="G52" s="120">
        <v>1.79332636</v>
      </c>
      <c r="H52" s="120" t="e">
        <v>#N/A</v>
      </c>
      <c r="I52" s="5">
        <v>229</v>
      </c>
      <c r="J52" s="567" t="s">
        <v>3887</v>
      </c>
      <c r="K52" s="3" t="s">
        <v>1096</v>
      </c>
      <c r="L52" s="599">
        <v>46018</v>
      </c>
    </row>
    <row r="53" spans="1:12" ht="15.5">
      <c r="A53" s="562">
        <v>997</v>
      </c>
      <c r="B53" s="5" t="s">
        <v>148</v>
      </c>
      <c r="C53" s="588">
        <v>46018</v>
      </c>
      <c r="D53" s="569" t="s">
        <v>4428</v>
      </c>
      <c r="E53" s="5">
        <v>521478592</v>
      </c>
      <c r="F53" s="120" t="s">
        <v>4429</v>
      </c>
      <c r="G53" s="99">
        <v>1.79342062</v>
      </c>
      <c r="H53" s="120" t="e">
        <v>#N/A</v>
      </c>
      <c r="I53" s="5">
        <v>229</v>
      </c>
      <c r="J53" s="567" t="s">
        <v>3887</v>
      </c>
      <c r="K53" s="3" t="s">
        <v>3313</v>
      </c>
      <c r="L53" s="599">
        <v>46019</v>
      </c>
    </row>
    <row r="54" spans="1:12" ht="15.5">
      <c r="A54" s="562">
        <v>1020</v>
      </c>
      <c r="B54" s="5" t="s">
        <v>148</v>
      </c>
      <c r="C54" s="588">
        <v>46019</v>
      </c>
      <c r="D54" s="569" t="s">
        <v>4430</v>
      </c>
      <c r="E54" s="5">
        <v>505003138</v>
      </c>
      <c r="F54" s="120" t="s">
        <v>4431</v>
      </c>
      <c r="G54" s="99">
        <v>1.3007952199999999</v>
      </c>
      <c r="H54" s="120" t="e">
        <v>#N/A</v>
      </c>
      <c r="I54" s="5">
        <v>229</v>
      </c>
      <c r="J54" s="567" t="s">
        <v>3887</v>
      </c>
      <c r="K54" s="3" t="s">
        <v>1096</v>
      </c>
      <c r="L54" s="599">
        <v>46019</v>
      </c>
    </row>
    <row r="55" spans="1:12" ht="15.5">
      <c r="A55" s="562">
        <v>1104</v>
      </c>
      <c r="B55" s="5" t="s">
        <v>148</v>
      </c>
      <c r="C55" s="588">
        <v>46021</v>
      </c>
      <c r="D55" s="569" t="s">
        <v>4432</v>
      </c>
      <c r="E55" s="5">
        <v>525255048</v>
      </c>
      <c r="F55" s="120" t="s">
        <v>4433</v>
      </c>
      <c r="G55" s="99">
        <v>1.7943341100000001</v>
      </c>
      <c r="H55" s="120" t="e">
        <v>#N/A</v>
      </c>
      <c r="I55" s="5">
        <v>229</v>
      </c>
      <c r="J55" s="567" t="s">
        <v>3887</v>
      </c>
      <c r="K55" s="3" t="s">
        <v>1096</v>
      </c>
      <c r="L55" s="599">
        <v>46021</v>
      </c>
    </row>
    <row r="56" spans="1:12" ht="15.5">
      <c r="A56" s="562">
        <v>1142</v>
      </c>
      <c r="B56" s="5" t="s">
        <v>148</v>
      </c>
      <c r="C56" s="588">
        <v>46022</v>
      </c>
      <c r="D56" s="569" t="s">
        <v>4434</v>
      </c>
      <c r="E56" s="5">
        <v>582055720</v>
      </c>
      <c r="F56" s="565" t="s">
        <v>4435</v>
      </c>
      <c r="G56" s="99">
        <v>1.79463632</v>
      </c>
      <c r="H56" s="120" t="e">
        <v>#N/A</v>
      </c>
      <c r="I56" s="5">
        <v>229</v>
      </c>
      <c r="J56" s="567" t="s">
        <v>3887</v>
      </c>
      <c r="K56" s="3" t="s">
        <v>1096</v>
      </c>
      <c r="L56" s="599">
        <v>46022</v>
      </c>
    </row>
    <row r="57" spans="1:12" ht="15.5">
      <c r="A57" s="562">
        <v>1169</v>
      </c>
      <c r="B57" s="5" t="s">
        <v>148</v>
      </c>
      <c r="C57" s="563">
        <v>46022</v>
      </c>
      <c r="D57" s="569" t="s">
        <v>4436</v>
      </c>
      <c r="E57" s="5">
        <v>565691658</v>
      </c>
      <c r="F57" s="565" t="s">
        <v>4437</v>
      </c>
      <c r="G57" s="99">
        <v>1.7948103200000001</v>
      </c>
      <c r="H57" s="99"/>
      <c r="I57" s="5">
        <v>229</v>
      </c>
      <c r="J57" s="567" t="s">
        <v>3941</v>
      </c>
      <c r="K57" s="3" t="s">
        <v>1096</v>
      </c>
      <c r="L57" s="599">
        <v>46023</v>
      </c>
    </row>
    <row r="58" spans="1:12" ht="15.5">
      <c r="A58" s="601"/>
      <c r="B58" s="52"/>
      <c r="C58" s="602">
        <v>45992</v>
      </c>
      <c r="D58" s="603" t="s">
        <v>4445</v>
      </c>
      <c r="E58" s="604">
        <v>503579459</v>
      </c>
      <c r="F58" s="52" t="s">
        <v>4446</v>
      </c>
      <c r="I58" s="163">
        <v>160</v>
      </c>
      <c r="J58" s="163" t="s">
        <v>3887</v>
      </c>
      <c r="K58" s="153"/>
      <c r="L58" s="605"/>
    </row>
    <row r="59" spans="1:12" ht="15.5">
      <c r="A59" s="601"/>
      <c r="B59" s="52"/>
      <c r="C59" s="602">
        <v>45992</v>
      </c>
      <c r="D59" s="603" t="s">
        <v>4447</v>
      </c>
      <c r="E59" s="604">
        <v>525786349</v>
      </c>
      <c r="F59" s="52" t="s">
        <v>4448</v>
      </c>
      <c r="I59" s="163">
        <v>160</v>
      </c>
      <c r="J59" s="163" t="s">
        <v>3887</v>
      </c>
      <c r="K59" s="153"/>
      <c r="L59" s="605"/>
    </row>
    <row r="60" spans="1:12" ht="15.5">
      <c r="A60" s="601"/>
      <c r="B60" s="52"/>
      <c r="C60" s="602">
        <v>45992</v>
      </c>
      <c r="D60" s="603" t="s">
        <v>4449</v>
      </c>
      <c r="E60" s="604">
        <v>557438823</v>
      </c>
      <c r="F60" s="52" t="s">
        <v>4450</v>
      </c>
      <c r="I60" s="163">
        <v>160</v>
      </c>
      <c r="J60" s="163" t="s">
        <v>3887</v>
      </c>
      <c r="K60" s="153"/>
      <c r="L60" s="605"/>
    </row>
    <row r="61" spans="1:12" ht="15.5">
      <c r="A61" s="601"/>
      <c r="B61" s="52"/>
      <c r="C61" s="602">
        <v>45992</v>
      </c>
      <c r="D61" s="603" t="s">
        <v>4451</v>
      </c>
      <c r="E61" s="604">
        <v>544473554</v>
      </c>
      <c r="F61" s="52" t="s">
        <v>4452</v>
      </c>
      <c r="I61" s="163">
        <v>160</v>
      </c>
      <c r="J61" s="163" t="s">
        <v>3887</v>
      </c>
      <c r="K61" s="153"/>
      <c r="L61" s="605"/>
    </row>
    <row r="62" spans="1:12" ht="15.5">
      <c r="A62" s="601"/>
      <c r="B62" s="52"/>
      <c r="C62" s="602">
        <v>45992</v>
      </c>
      <c r="D62" s="603" t="s">
        <v>4453</v>
      </c>
      <c r="E62" s="604">
        <v>529685264</v>
      </c>
      <c r="F62" s="52" t="s">
        <v>4454</v>
      </c>
      <c r="I62" s="163">
        <v>239</v>
      </c>
      <c r="J62" s="163" t="s">
        <v>3887</v>
      </c>
      <c r="K62" s="153"/>
      <c r="L62" s="605"/>
    </row>
    <row r="63" spans="1:12" ht="15.5">
      <c r="A63" s="601"/>
      <c r="B63" s="52"/>
      <c r="C63" s="602">
        <v>45992</v>
      </c>
      <c r="D63" s="603" t="s">
        <v>4455</v>
      </c>
      <c r="E63" s="604">
        <v>547053034</v>
      </c>
      <c r="F63" s="52" t="s">
        <v>4456</v>
      </c>
      <c r="I63" s="163">
        <v>160</v>
      </c>
      <c r="J63" s="163" t="s">
        <v>3887</v>
      </c>
      <c r="K63" s="153"/>
      <c r="L63" s="605"/>
    </row>
    <row r="64" spans="1:12" ht="15.5">
      <c r="A64" s="601"/>
      <c r="B64" s="52"/>
      <c r="C64" s="602">
        <v>45992</v>
      </c>
      <c r="D64" s="603" t="s">
        <v>4457</v>
      </c>
      <c r="E64" s="604">
        <v>501829702</v>
      </c>
      <c r="F64" s="52" t="s">
        <v>4458</v>
      </c>
      <c r="I64" s="163">
        <v>160</v>
      </c>
      <c r="J64" s="163" t="s">
        <v>3887</v>
      </c>
      <c r="K64" s="153"/>
      <c r="L64" s="605"/>
    </row>
    <row r="65" spans="2:13">
      <c r="C65" s="606">
        <v>45992</v>
      </c>
      <c r="D65" t="s">
        <v>4459</v>
      </c>
      <c r="E65" s="153">
        <v>552355280</v>
      </c>
      <c r="F65" s="153" t="s">
        <v>4460</v>
      </c>
      <c r="I65">
        <v>160</v>
      </c>
      <c r="J65" s="153" t="s">
        <v>3887</v>
      </c>
    </row>
    <row r="69" spans="2:13">
      <c r="B69" s="619" t="s">
        <v>148</v>
      </c>
      <c r="C69" s="616" t="s">
        <v>4309</v>
      </c>
      <c r="D69" s="590" t="s">
        <v>2909</v>
      </c>
      <c r="E69" s="591" t="s">
        <v>4310</v>
      </c>
      <c r="F69" s="591" t="s">
        <v>4311</v>
      </c>
      <c r="G69" s="591" t="s">
        <v>2815</v>
      </c>
      <c r="H69" s="591" t="s">
        <v>4312</v>
      </c>
      <c r="I69" s="591" t="s">
        <v>4313</v>
      </c>
      <c r="J69" s="591" t="s">
        <v>4314</v>
      </c>
      <c r="K69" s="591" t="s">
        <v>4315</v>
      </c>
      <c r="L69" s="592" t="s">
        <v>4316</v>
      </c>
      <c r="M69" s="593" t="s">
        <v>4317</v>
      </c>
    </row>
    <row r="70" spans="2:13">
      <c r="B70" s="619"/>
      <c r="C70" s="617"/>
      <c r="D70" s="594" t="s">
        <v>4318</v>
      </c>
      <c r="E70" s="594">
        <v>14</v>
      </c>
      <c r="F70" s="594">
        <v>300</v>
      </c>
      <c r="G70" s="610">
        <v>0</v>
      </c>
      <c r="H70" s="594">
        <f>E70*F70</f>
        <v>4200</v>
      </c>
      <c r="I70" s="609">
        <f>-G70+H70+H71</f>
        <v>4200</v>
      </c>
      <c r="J70" s="610">
        <v>2950</v>
      </c>
      <c r="K70" s="610">
        <v>650</v>
      </c>
      <c r="L70" s="613">
        <v>7500</v>
      </c>
      <c r="M70" s="711">
        <f>+I70-J70+K70-L70</f>
        <v>-5600</v>
      </c>
    </row>
    <row r="71" spans="2:13" ht="15" thickBot="1">
      <c r="B71" s="619"/>
      <c r="C71" s="618"/>
      <c r="D71" s="594" t="s">
        <v>4319</v>
      </c>
      <c r="E71" s="594">
        <v>0</v>
      </c>
      <c r="F71" s="594">
        <v>430</v>
      </c>
      <c r="G71" s="612"/>
      <c r="H71" s="594">
        <f t="shared" ref="H71" si="0">E71*F71</f>
        <v>0</v>
      </c>
      <c r="I71" s="609"/>
      <c r="J71" s="612"/>
      <c r="K71" s="612"/>
      <c r="L71" s="615"/>
      <c r="M71" s="712"/>
    </row>
    <row r="72" spans="2:13">
      <c r="B72" s="619"/>
      <c r="C72" s="616" t="s">
        <v>4320</v>
      </c>
      <c r="D72" s="590" t="s">
        <v>2909</v>
      </c>
      <c r="E72" s="591" t="s">
        <v>4310</v>
      </c>
      <c r="F72" s="591" t="s">
        <v>4311</v>
      </c>
      <c r="G72" s="591" t="s">
        <v>2815</v>
      </c>
      <c r="H72" s="591" t="s">
        <v>4312</v>
      </c>
      <c r="I72" s="591" t="s">
        <v>4313</v>
      </c>
      <c r="J72" s="591" t="s">
        <v>4321</v>
      </c>
      <c r="K72" s="591" t="s">
        <v>4315</v>
      </c>
      <c r="L72" s="592" t="s">
        <v>4322</v>
      </c>
      <c r="M72" s="593" t="s">
        <v>4317</v>
      </c>
    </row>
    <row r="73" spans="2:13">
      <c r="B73" s="619"/>
      <c r="C73" s="617"/>
      <c r="D73" s="594" t="s">
        <v>4318</v>
      </c>
      <c r="E73" s="594">
        <v>19</v>
      </c>
      <c r="F73" s="594">
        <v>300</v>
      </c>
      <c r="G73" s="610">
        <v>600</v>
      </c>
      <c r="H73" s="594">
        <f>E73*F73</f>
        <v>5700</v>
      </c>
      <c r="I73" s="609">
        <f>-G73+H73+H74</f>
        <v>5600</v>
      </c>
      <c r="J73" s="610">
        <v>5600</v>
      </c>
      <c r="K73" s="610">
        <v>0</v>
      </c>
      <c r="L73" s="613">
        <v>7000</v>
      </c>
      <c r="M73" s="711">
        <f>+I73-J73+K73-L73</f>
        <v>-7000</v>
      </c>
    </row>
    <row r="74" spans="2:13" ht="15" thickBot="1">
      <c r="B74" s="619"/>
      <c r="C74" s="618"/>
      <c r="D74" s="594" t="s">
        <v>4323</v>
      </c>
      <c r="E74" s="594">
        <v>1</v>
      </c>
      <c r="F74" s="594">
        <v>500</v>
      </c>
      <c r="G74" s="612"/>
      <c r="H74" s="594">
        <f t="shared" ref="H74" si="1">E74*F74</f>
        <v>500</v>
      </c>
      <c r="I74" s="609"/>
      <c r="J74" s="612"/>
      <c r="K74" s="612"/>
      <c r="L74" s="615"/>
      <c r="M74" s="712"/>
    </row>
    <row r="75" spans="2:13">
      <c r="B75" s="619"/>
      <c r="C75" s="608" t="s">
        <v>4172</v>
      </c>
      <c r="D75" s="590" t="s">
        <v>2909</v>
      </c>
      <c r="E75" s="591" t="s">
        <v>4310</v>
      </c>
      <c r="F75" s="591" t="s">
        <v>4311</v>
      </c>
      <c r="G75" s="591" t="s">
        <v>2815</v>
      </c>
      <c r="H75" s="591" t="s">
        <v>4312</v>
      </c>
      <c r="I75" s="591" t="s">
        <v>4313</v>
      </c>
      <c r="J75" s="591" t="s">
        <v>4324</v>
      </c>
      <c r="K75" s="591" t="s">
        <v>4315</v>
      </c>
      <c r="L75" s="592" t="s">
        <v>4438</v>
      </c>
      <c r="M75" s="593" t="s">
        <v>4325</v>
      </c>
    </row>
    <row r="76" spans="2:13">
      <c r="B76" s="619"/>
      <c r="C76" s="608"/>
      <c r="D76" s="594" t="s">
        <v>4318</v>
      </c>
      <c r="E76" s="594">
        <v>42</v>
      </c>
      <c r="F76" s="594">
        <v>300</v>
      </c>
      <c r="G76" s="609">
        <v>1400</v>
      </c>
      <c r="H76" s="594">
        <f>E76*F76</f>
        <v>12600</v>
      </c>
      <c r="I76" s="610">
        <f>-G76+H76+H77+H78</f>
        <v>14500</v>
      </c>
      <c r="J76" s="610">
        <v>7000</v>
      </c>
      <c r="K76" s="610">
        <v>0</v>
      </c>
      <c r="L76" s="613">
        <v>7500</v>
      </c>
      <c r="M76" s="708">
        <f>+I76-J76+K76-L76</f>
        <v>0</v>
      </c>
    </row>
    <row r="77" spans="2:13">
      <c r="B77" s="619"/>
      <c r="C77" s="608"/>
      <c r="D77" s="594" t="s">
        <v>4319</v>
      </c>
      <c r="E77" s="594">
        <v>4</v>
      </c>
      <c r="F77" s="594">
        <v>450</v>
      </c>
      <c r="G77" s="609"/>
      <c r="H77" s="594">
        <f t="shared" ref="H77" si="2">E77*F77</f>
        <v>1800</v>
      </c>
      <c r="I77" s="611"/>
      <c r="J77" s="611"/>
      <c r="K77" s="611"/>
      <c r="L77" s="614"/>
      <c r="M77" s="709"/>
    </row>
    <row r="78" spans="2:13">
      <c r="B78" s="619"/>
      <c r="C78" s="608"/>
      <c r="D78" s="594" t="s">
        <v>4323</v>
      </c>
      <c r="E78" s="594">
        <v>3</v>
      </c>
      <c r="F78" s="594">
        <v>500</v>
      </c>
      <c r="G78" s="609"/>
      <c r="H78" s="143">
        <f>F78*E78</f>
        <v>1500</v>
      </c>
      <c r="I78" s="612"/>
      <c r="J78" s="612"/>
      <c r="K78" s="612"/>
      <c r="L78" s="615"/>
      <c r="M78" s="710"/>
    </row>
    <row r="79" spans="2:13">
      <c r="B79" s="619"/>
      <c r="C79" s="608" t="s">
        <v>4439</v>
      </c>
      <c r="D79" s="590" t="s">
        <v>2909</v>
      </c>
      <c r="E79" s="591" t="s">
        <v>4310</v>
      </c>
      <c r="F79" s="591" t="s">
        <v>4311</v>
      </c>
      <c r="G79" s="591" t="s">
        <v>2815</v>
      </c>
      <c r="H79" s="591" t="s">
        <v>4312</v>
      </c>
      <c r="I79" s="591" t="s">
        <v>4313</v>
      </c>
      <c r="J79" s="591" t="s">
        <v>4440</v>
      </c>
      <c r="K79" s="591" t="s">
        <v>4315</v>
      </c>
      <c r="L79" s="592" t="s">
        <v>4441</v>
      </c>
      <c r="M79" s="593" t="s">
        <v>4325</v>
      </c>
    </row>
    <row r="80" spans="2:13">
      <c r="B80" s="619"/>
      <c r="C80" s="608"/>
      <c r="D80" s="594" t="s">
        <v>4318</v>
      </c>
      <c r="E80" s="594">
        <v>42</v>
      </c>
      <c r="F80" s="594">
        <v>300</v>
      </c>
      <c r="G80" s="609">
        <v>900</v>
      </c>
      <c r="H80" s="594">
        <f>E80*F80</f>
        <v>12600</v>
      </c>
      <c r="I80" s="610">
        <f>-G80+H80+H81+H82</f>
        <v>14400</v>
      </c>
      <c r="J80" s="610">
        <v>0</v>
      </c>
      <c r="K80" s="610">
        <v>0</v>
      </c>
      <c r="L80" s="613">
        <v>11500</v>
      </c>
      <c r="M80" s="708">
        <f>+I80-J80+K80-L80</f>
        <v>2900</v>
      </c>
    </row>
    <row r="81" spans="2:13">
      <c r="B81" s="619"/>
      <c r="C81" s="608"/>
      <c r="D81" s="594" t="s">
        <v>4319</v>
      </c>
      <c r="E81" s="594">
        <v>6</v>
      </c>
      <c r="F81" s="594">
        <v>450</v>
      </c>
      <c r="G81" s="609"/>
      <c r="H81" s="594">
        <f t="shared" ref="H81" si="3">E81*F81</f>
        <v>2700</v>
      </c>
      <c r="I81" s="611"/>
      <c r="J81" s="611"/>
      <c r="K81" s="611"/>
      <c r="L81" s="614"/>
      <c r="M81" s="709"/>
    </row>
    <row r="82" spans="2:13">
      <c r="B82" s="619"/>
      <c r="C82" s="608"/>
      <c r="D82" s="594" t="s">
        <v>4323</v>
      </c>
      <c r="E82" s="594"/>
      <c r="F82" s="594">
        <v>500</v>
      </c>
      <c r="G82" s="609"/>
      <c r="H82" s="143">
        <f>F82*E82</f>
        <v>0</v>
      </c>
      <c r="I82" s="612"/>
      <c r="J82" s="612"/>
      <c r="K82" s="612"/>
      <c r="L82" s="615"/>
      <c r="M82" s="710"/>
    </row>
    <row r="83" spans="2:13">
      <c r="C83" t="s">
        <v>3067</v>
      </c>
      <c r="D83" t="s">
        <v>4461</v>
      </c>
      <c r="E83" s="595">
        <v>1</v>
      </c>
      <c r="H83" s="153">
        <v>500</v>
      </c>
      <c r="I83">
        <v>14900</v>
      </c>
      <c r="J83" s="153" t="s">
        <v>4462</v>
      </c>
    </row>
    <row r="84" spans="2:13">
      <c r="L84" t="s">
        <v>4463</v>
      </c>
      <c r="M84" s="153">
        <v>4700</v>
      </c>
    </row>
  </sheetData>
  <autoFilter ref="A1:L65" xr:uid="{D1206748-9D18-41C0-BA79-426ACDD58DBD}">
    <filterColumn colId="9">
      <filters>
        <filter val="Activated"/>
        <filter val="In Process"/>
      </filters>
    </filterColumn>
  </autoFilter>
  <mergeCells count="29">
    <mergeCell ref="B69:B82"/>
    <mergeCell ref="C69:C71"/>
    <mergeCell ref="G70:G71"/>
    <mergeCell ref="I70:I71"/>
    <mergeCell ref="J70:J71"/>
    <mergeCell ref="C75:C78"/>
    <mergeCell ref="G76:G78"/>
    <mergeCell ref="I76:I78"/>
    <mergeCell ref="J76:J78"/>
    <mergeCell ref="L70:L71"/>
    <mergeCell ref="M70:M71"/>
    <mergeCell ref="C72:C74"/>
    <mergeCell ref="G73:G74"/>
    <mergeCell ref="I73:I74"/>
    <mergeCell ref="J73:J74"/>
    <mergeCell ref="K73:K74"/>
    <mergeCell ref="L73:L74"/>
    <mergeCell ref="M73:M74"/>
    <mergeCell ref="K70:K71"/>
    <mergeCell ref="K76:K78"/>
    <mergeCell ref="L76:L78"/>
    <mergeCell ref="M76:M78"/>
    <mergeCell ref="C79:C82"/>
    <mergeCell ref="G80:G82"/>
    <mergeCell ref="I80:I82"/>
    <mergeCell ref="J80:J82"/>
    <mergeCell ref="K80:K82"/>
    <mergeCell ref="L80:L82"/>
    <mergeCell ref="M80:M82"/>
  </mergeCells>
  <conditionalFormatting sqref="E12:E16">
    <cfRule type="duplicateValues" dxfId="91" priority="13"/>
    <cfRule type="duplicateValues" dxfId="90" priority="14"/>
    <cfRule type="duplicateValues" dxfId="89" priority="15"/>
  </conditionalFormatting>
  <conditionalFormatting sqref="E17:E18">
    <cfRule type="duplicateValues" dxfId="88" priority="10"/>
    <cfRule type="duplicateValues" dxfId="87" priority="11"/>
    <cfRule type="duplicateValues" dxfId="86" priority="12"/>
  </conditionalFormatting>
  <conditionalFormatting sqref="E19:E21">
    <cfRule type="duplicateValues" dxfId="85" priority="7"/>
    <cfRule type="duplicateValues" dxfId="84" priority="8"/>
    <cfRule type="duplicateValues" dxfId="83" priority="9"/>
  </conditionalFormatting>
  <conditionalFormatting sqref="E22:E24">
    <cfRule type="duplicateValues" dxfId="82" priority="4"/>
    <cfRule type="duplicateValues" dxfId="81" priority="5"/>
    <cfRule type="duplicateValues" dxfId="80" priority="6"/>
  </conditionalFormatting>
  <conditionalFormatting sqref="E58:E64 F1:G57 I58:I64">
    <cfRule type="duplicateValues" dxfId="79" priority="29"/>
  </conditionalFormatting>
  <conditionalFormatting sqref="F1:F57 E58:E64">
    <cfRule type="duplicateValues" dxfId="78" priority="30"/>
  </conditionalFormatting>
  <conditionalFormatting sqref="F25:F29 F2:F7">
    <cfRule type="duplicateValues" dxfId="77" priority="19"/>
    <cfRule type="duplicateValues" dxfId="76" priority="20"/>
    <cfRule type="duplicateValues" dxfId="75" priority="21"/>
  </conditionalFormatting>
  <conditionalFormatting sqref="F31:F55">
    <cfRule type="duplicateValues" dxfId="74" priority="1"/>
    <cfRule type="duplicateValues" dxfId="73" priority="2"/>
    <cfRule type="duplicateValues" dxfId="72" priority="3"/>
  </conditionalFormatting>
  <conditionalFormatting sqref="G57:H57 I58:J64 G26:G56 G25:H25 G18:G24 G16:H17 G12:G15 G11:H11 G9:G10 G7:H8 G6 G5:H5 G3:G4">
    <cfRule type="duplicateValues" dxfId="71" priority="18"/>
    <cfRule type="duplicateValues" dxfId="70" priority="16"/>
    <cfRule type="duplicateValues" dxfId="69" priority="17"/>
  </conditionalFormatting>
  <conditionalFormatting sqref="H26:H56 H18:H24 H12:H15 H9:H10 H6 H3:H4 G2:H2">
    <cfRule type="duplicateValues" dxfId="68" priority="26"/>
    <cfRule type="duplicateValues" dxfId="67" priority="27"/>
    <cfRule type="duplicateValues" dxfId="66" priority="28"/>
  </conditionalFormatting>
  <conditionalFormatting sqref="J1:J57">
    <cfRule type="cellIs" dxfId="65" priority="33" operator="equal">
      <formula>"Completed"</formula>
    </cfRule>
  </conditionalFormatting>
  <conditionalFormatting sqref="J2:J57">
    <cfRule type="cellIs" dxfId="64" priority="24" operator="equal">
      <formula>"Activated"</formula>
    </cfRule>
    <cfRule type="cellIs" dxfId="63" priority="25" operator="equal">
      <formula>"In Process"</formula>
    </cfRule>
    <cfRule type="cellIs" dxfId="62" priority="22" operator="equal">
      <formula>"In Process"</formula>
    </cfRule>
    <cfRule type="cellIs" dxfId="61" priority="23" operator="equal">
      <formula>"Cancelled"</formula>
    </cfRule>
  </conditionalFormatting>
  <conditionalFormatting sqref="J1:K1">
    <cfRule type="cellIs" priority="31" operator="equal">
      <formula>"In progress"</formula>
    </cfRule>
  </conditionalFormatting>
  <conditionalFormatting sqref="K1">
    <cfRule type="cellIs" dxfId="60" priority="32" operator="equal">
      <formula>"Completed"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99E0F-8C5D-45CC-B125-3EE0A2CB1A7D}">
  <sheetPr filterMode="1"/>
  <dimension ref="A1:M77"/>
  <sheetViews>
    <sheetView topLeftCell="D59" zoomScale="79" workbookViewId="0">
      <selection activeCell="L77" sqref="L77"/>
    </sheetView>
  </sheetViews>
  <sheetFormatPr defaultRowHeight="14.5"/>
  <cols>
    <col min="1" max="1" width="18.54296875" customWidth="1"/>
    <col min="2" max="2" width="16.54296875" customWidth="1"/>
    <col min="3" max="3" width="17" customWidth="1"/>
    <col min="4" max="4" width="25.6328125" customWidth="1"/>
    <col min="5" max="5" width="15.54296875" customWidth="1"/>
    <col min="6" max="6" width="18.36328125" customWidth="1"/>
    <col min="7" max="7" width="14.90625" customWidth="1"/>
    <col min="8" max="8" width="18.90625" customWidth="1"/>
    <col min="9" max="9" width="28.1796875" customWidth="1"/>
    <col min="10" max="10" width="14.54296875" customWidth="1"/>
    <col min="11" max="11" width="14.08984375" customWidth="1"/>
    <col min="12" max="12" width="18" customWidth="1"/>
  </cols>
  <sheetData>
    <row r="1" spans="1:13">
      <c r="A1" s="559" t="s">
        <v>4329</v>
      </c>
      <c r="B1" s="559" t="s">
        <v>2634</v>
      </c>
      <c r="C1" s="559" t="s">
        <v>1668</v>
      </c>
      <c r="D1" s="559" t="s">
        <v>2637</v>
      </c>
      <c r="E1" s="597" t="s">
        <v>4330</v>
      </c>
      <c r="F1" s="597" t="s">
        <v>2636</v>
      </c>
      <c r="G1" s="586" t="s">
        <v>3883</v>
      </c>
      <c r="H1" s="586" t="s">
        <v>3149</v>
      </c>
      <c r="I1" s="598" t="s">
        <v>1882</v>
      </c>
      <c r="J1" s="598" t="s">
        <v>3884</v>
      </c>
      <c r="K1" s="598" t="s">
        <v>4177</v>
      </c>
      <c r="L1" s="147" t="s">
        <v>4331</v>
      </c>
      <c r="M1" s="147" t="s">
        <v>4331</v>
      </c>
    </row>
    <row r="2" spans="1:13" ht="15.5">
      <c r="A2" s="562">
        <v>40</v>
      </c>
      <c r="B2" s="5" t="s">
        <v>148</v>
      </c>
      <c r="C2" s="588">
        <v>46022</v>
      </c>
      <c r="D2" s="564" t="s">
        <v>4436</v>
      </c>
      <c r="E2" s="5">
        <v>565691658</v>
      </c>
      <c r="F2" s="99" t="s">
        <v>4437</v>
      </c>
      <c r="G2" s="120">
        <v>1.7948103200000001</v>
      </c>
      <c r="H2" s="120" t="e">
        <v>#N/A</v>
      </c>
      <c r="I2" s="5">
        <v>229</v>
      </c>
      <c r="J2" s="567" t="s">
        <v>3887</v>
      </c>
      <c r="K2" s="3" t="s">
        <v>1096</v>
      </c>
      <c r="L2" s="599"/>
      <c r="M2" s="599"/>
    </row>
    <row r="3" spans="1:13" ht="15.5">
      <c r="A3" s="562">
        <v>136</v>
      </c>
      <c r="B3" s="5" t="s">
        <v>148</v>
      </c>
      <c r="C3" s="588">
        <v>46024</v>
      </c>
      <c r="D3" s="564" t="s">
        <v>4464</v>
      </c>
      <c r="E3" s="5">
        <v>521994613</v>
      </c>
      <c r="F3" s="99" t="s">
        <v>4465</v>
      </c>
      <c r="G3" s="120">
        <v>1.7952539599999999</v>
      </c>
      <c r="H3" s="120" t="e">
        <v>#N/A</v>
      </c>
      <c r="I3" s="5">
        <v>229</v>
      </c>
      <c r="J3" s="567" t="s">
        <v>3887</v>
      </c>
      <c r="K3" s="3" t="s">
        <v>1096</v>
      </c>
      <c r="L3" s="599"/>
      <c r="M3" s="599"/>
    </row>
    <row r="4" spans="1:13" ht="15.5">
      <c r="A4" s="562">
        <v>146</v>
      </c>
      <c r="B4" s="5" t="s">
        <v>148</v>
      </c>
      <c r="C4" s="588">
        <v>46024</v>
      </c>
      <c r="D4" s="564" t="s">
        <v>4466</v>
      </c>
      <c r="E4" s="5">
        <v>547380804</v>
      </c>
      <c r="F4" s="588" t="s">
        <v>4467</v>
      </c>
      <c r="G4" s="120">
        <v>1.7952847300000001</v>
      </c>
      <c r="H4" s="120" t="e">
        <v>#N/A</v>
      </c>
      <c r="I4" s="5">
        <v>229</v>
      </c>
      <c r="J4" s="567" t="s">
        <v>3887</v>
      </c>
      <c r="K4" s="3" t="s">
        <v>1096</v>
      </c>
      <c r="L4" s="599"/>
      <c r="M4" s="599"/>
    </row>
    <row r="5" spans="1:13" ht="15.5">
      <c r="A5" s="562">
        <v>166</v>
      </c>
      <c r="B5" s="5" t="s">
        <v>148</v>
      </c>
      <c r="C5" s="588">
        <v>46025</v>
      </c>
      <c r="D5" s="564" t="s">
        <v>4468</v>
      </c>
      <c r="E5" s="5">
        <v>503939428</v>
      </c>
      <c r="F5" s="588" t="s">
        <v>4469</v>
      </c>
      <c r="G5" s="120">
        <v>1.7954981699999999</v>
      </c>
      <c r="H5" s="120" t="e">
        <v>#N/A</v>
      </c>
      <c r="I5" s="5">
        <v>229</v>
      </c>
      <c r="J5" s="567" t="s">
        <v>3887</v>
      </c>
      <c r="K5" s="3" t="s">
        <v>1096</v>
      </c>
      <c r="L5" s="599"/>
      <c r="M5" s="599"/>
    </row>
    <row r="6" spans="1:13" ht="15.5">
      <c r="A6" s="562">
        <v>191</v>
      </c>
      <c r="B6" s="5" t="s">
        <v>148</v>
      </c>
      <c r="C6" s="588">
        <v>46025</v>
      </c>
      <c r="D6" s="564" t="s">
        <v>4470</v>
      </c>
      <c r="E6" s="5">
        <v>562418689</v>
      </c>
      <c r="F6" s="588" t="s">
        <v>4471</v>
      </c>
      <c r="G6" s="120">
        <v>1.7955600700000001</v>
      </c>
      <c r="H6" s="120" t="e">
        <v>#N/A</v>
      </c>
      <c r="I6" s="5">
        <v>229</v>
      </c>
      <c r="J6" s="567" t="s">
        <v>3887</v>
      </c>
      <c r="K6" s="3" t="s">
        <v>3313</v>
      </c>
      <c r="L6" s="599"/>
      <c r="M6" s="599"/>
    </row>
    <row r="7" spans="1:13" ht="16">
      <c r="A7" s="562">
        <v>202</v>
      </c>
      <c r="B7" s="5" t="s">
        <v>148</v>
      </c>
      <c r="C7" s="588">
        <v>46026</v>
      </c>
      <c r="D7" s="564" t="s">
        <v>4472</v>
      </c>
      <c r="E7" s="600">
        <v>568132103</v>
      </c>
      <c r="F7" s="588" t="s">
        <v>4473</v>
      </c>
      <c r="G7" s="120">
        <v>1.7958237100000001</v>
      </c>
      <c r="H7" s="120" t="e">
        <v>#N/A</v>
      </c>
      <c r="I7" s="5">
        <v>229</v>
      </c>
      <c r="J7" s="567" t="s">
        <v>3887</v>
      </c>
      <c r="K7" s="3" t="s">
        <v>1096</v>
      </c>
      <c r="L7" s="599"/>
      <c r="M7" s="599"/>
    </row>
    <row r="8" spans="1:13" ht="16">
      <c r="A8" s="562">
        <v>206</v>
      </c>
      <c r="B8" s="5" t="s">
        <v>148</v>
      </c>
      <c r="C8" s="588">
        <v>46026</v>
      </c>
      <c r="D8" s="564" t="s">
        <v>4474</v>
      </c>
      <c r="E8" s="600">
        <v>509602177</v>
      </c>
      <c r="F8" s="588" t="s">
        <v>4475</v>
      </c>
      <c r="G8" s="120">
        <v>1.56457354</v>
      </c>
      <c r="H8" s="120" t="e">
        <v>#N/A</v>
      </c>
      <c r="I8" s="5">
        <v>229</v>
      </c>
      <c r="J8" s="567" t="s">
        <v>3887</v>
      </c>
      <c r="K8" s="3" t="s">
        <v>1096</v>
      </c>
      <c r="L8" s="599"/>
      <c r="M8" s="599"/>
    </row>
    <row r="9" spans="1:13" ht="16">
      <c r="A9" s="562">
        <v>215</v>
      </c>
      <c r="B9" s="5" t="s">
        <v>148</v>
      </c>
      <c r="C9" s="588">
        <v>46026</v>
      </c>
      <c r="D9" s="564" t="s">
        <v>4476</v>
      </c>
      <c r="E9" s="600">
        <v>505394639</v>
      </c>
      <c r="F9" s="588" t="s">
        <v>4477</v>
      </c>
      <c r="G9" s="120">
        <v>1.65263103</v>
      </c>
      <c r="H9" s="120" t="e">
        <v>#N/A</v>
      </c>
      <c r="I9" s="5">
        <v>229</v>
      </c>
      <c r="J9" s="567" t="s">
        <v>3887</v>
      </c>
      <c r="K9" s="3" t="s">
        <v>3313</v>
      </c>
      <c r="L9" s="599"/>
      <c r="M9" s="599"/>
    </row>
    <row r="10" spans="1:13" ht="16" hidden="1">
      <c r="A10" s="562">
        <v>218</v>
      </c>
      <c r="B10" s="5" t="s">
        <v>148</v>
      </c>
      <c r="C10" s="588">
        <v>46026</v>
      </c>
      <c r="D10" s="564" t="s">
        <v>4478</v>
      </c>
      <c r="E10" s="600">
        <v>547125702</v>
      </c>
      <c r="F10" s="588" t="s">
        <v>4479</v>
      </c>
      <c r="G10" s="120">
        <v>1.7957037199999999</v>
      </c>
      <c r="H10" s="120" t="e">
        <v>#N/A</v>
      </c>
      <c r="I10" s="5">
        <v>349</v>
      </c>
      <c r="J10" s="567" t="s">
        <v>255</v>
      </c>
      <c r="K10" s="3" t="s">
        <v>3313</v>
      </c>
      <c r="L10" s="599"/>
      <c r="M10" s="599"/>
    </row>
    <row r="11" spans="1:13" ht="16">
      <c r="A11" s="562">
        <v>219</v>
      </c>
      <c r="B11" s="5" t="s">
        <v>148</v>
      </c>
      <c r="C11" s="588">
        <v>46026</v>
      </c>
      <c r="D11" s="564" t="s">
        <v>4480</v>
      </c>
      <c r="E11" s="600">
        <v>503694272</v>
      </c>
      <c r="F11" s="588" t="s">
        <v>4481</v>
      </c>
      <c r="G11" s="120">
        <v>1.7957049</v>
      </c>
      <c r="H11" s="120" t="e">
        <v>#N/A</v>
      </c>
      <c r="I11" s="5">
        <v>229</v>
      </c>
      <c r="J11" s="567" t="s">
        <v>3887</v>
      </c>
      <c r="K11" s="3" t="s">
        <v>1096</v>
      </c>
      <c r="L11" s="599"/>
      <c r="M11" s="599"/>
    </row>
    <row r="12" spans="1:13" ht="16">
      <c r="A12" s="562">
        <v>233</v>
      </c>
      <c r="B12" s="5" t="s">
        <v>148</v>
      </c>
      <c r="C12" s="588">
        <v>46026</v>
      </c>
      <c r="D12" s="564" t="s">
        <v>4482</v>
      </c>
      <c r="E12" s="600">
        <v>525077485</v>
      </c>
      <c r="F12" s="588" t="s">
        <v>4483</v>
      </c>
      <c r="G12" s="120">
        <v>1.7666877700000001</v>
      </c>
      <c r="H12" s="120" t="e">
        <v>#N/A</v>
      </c>
      <c r="I12" s="5">
        <v>229</v>
      </c>
      <c r="J12" s="567" t="s">
        <v>3887</v>
      </c>
      <c r="K12" s="3" t="s">
        <v>1096</v>
      </c>
      <c r="L12" s="599"/>
      <c r="M12" s="599"/>
    </row>
    <row r="13" spans="1:13" ht="16" hidden="1">
      <c r="A13" s="562">
        <v>281</v>
      </c>
      <c r="B13" s="5" t="s">
        <v>148</v>
      </c>
      <c r="C13" s="588">
        <v>46028</v>
      </c>
      <c r="D13" s="3" t="s">
        <v>4484</v>
      </c>
      <c r="E13" s="600">
        <v>586235525</v>
      </c>
      <c r="F13" s="588" t="s">
        <v>4485</v>
      </c>
      <c r="G13" s="120">
        <v>1.7075908099999999</v>
      </c>
      <c r="H13" s="120" t="e">
        <v>#N/A</v>
      </c>
      <c r="I13" s="5">
        <v>299</v>
      </c>
      <c r="J13" s="567" t="s">
        <v>255</v>
      </c>
      <c r="K13" s="3" t="s">
        <v>3313</v>
      </c>
      <c r="L13" s="599"/>
      <c r="M13" s="599"/>
    </row>
    <row r="14" spans="1:13" ht="16" hidden="1">
      <c r="A14" s="562">
        <v>282</v>
      </c>
      <c r="B14" s="5" t="s">
        <v>148</v>
      </c>
      <c r="C14" s="588">
        <v>46028</v>
      </c>
      <c r="D14" s="3" t="s">
        <v>4486</v>
      </c>
      <c r="E14" s="600">
        <v>586235525</v>
      </c>
      <c r="F14" s="588" t="s">
        <v>4487</v>
      </c>
      <c r="G14" s="120">
        <v>1.79617494</v>
      </c>
      <c r="H14" s="120" t="e">
        <v>#N/A</v>
      </c>
      <c r="I14" s="5">
        <v>299</v>
      </c>
      <c r="J14" s="567" t="s">
        <v>3887</v>
      </c>
      <c r="K14" s="3" t="s">
        <v>3313</v>
      </c>
      <c r="L14" s="599"/>
      <c r="M14" s="599"/>
    </row>
    <row r="15" spans="1:13" ht="16">
      <c r="A15" s="562">
        <v>300</v>
      </c>
      <c r="B15" s="147" t="s">
        <v>148</v>
      </c>
      <c r="C15" s="588">
        <v>46028</v>
      </c>
      <c r="D15" s="3" t="s">
        <v>4488</v>
      </c>
      <c r="E15" s="600">
        <v>588577845</v>
      </c>
      <c r="F15" s="588" t="s">
        <v>4489</v>
      </c>
      <c r="G15" s="120">
        <v>1.7963718500000001</v>
      </c>
      <c r="H15" s="120" t="e">
        <v>#N/A</v>
      </c>
      <c r="I15" s="5">
        <v>229</v>
      </c>
      <c r="J15" s="567" t="s">
        <v>3887</v>
      </c>
      <c r="K15" s="3" t="s">
        <v>1096</v>
      </c>
      <c r="L15" s="599"/>
      <c r="M15" s="599"/>
    </row>
    <row r="16" spans="1:13" ht="16">
      <c r="A16" s="562">
        <v>316</v>
      </c>
      <c r="B16" s="5" t="s">
        <v>148</v>
      </c>
      <c r="C16" s="588">
        <v>46028</v>
      </c>
      <c r="D16" s="3" t="s">
        <v>4490</v>
      </c>
      <c r="E16" s="600">
        <v>528307046</v>
      </c>
      <c r="F16" s="588" t="s">
        <v>4491</v>
      </c>
      <c r="G16" s="120">
        <v>1.79629576</v>
      </c>
      <c r="H16" s="120" t="e">
        <v>#N/A</v>
      </c>
      <c r="I16" s="5">
        <v>229</v>
      </c>
      <c r="J16" s="567" t="s">
        <v>3887</v>
      </c>
      <c r="K16" s="3" t="s">
        <v>1096</v>
      </c>
      <c r="L16" s="599"/>
      <c r="M16" s="599"/>
    </row>
    <row r="17" spans="1:13" ht="15.5" hidden="1">
      <c r="A17" s="562">
        <v>374</v>
      </c>
      <c r="B17" s="5" t="s">
        <v>148</v>
      </c>
      <c r="C17" s="588">
        <v>46030</v>
      </c>
      <c r="D17" s="3" t="s">
        <v>4492</v>
      </c>
      <c r="E17" s="5">
        <v>547125702</v>
      </c>
      <c r="F17" s="99" t="s">
        <v>4493</v>
      </c>
      <c r="G17" s="120">
        <v>1.7968484300000001</v>
      </c>
      <c r="H17" s="120" t="e">
        <v>#N/A</v>
      </c>
      <c r="I17" s="5">
        <v>299</v>
      </c>
      <c r="J17" s="567" t="s">
        <v>255</v>
      </c>
      <c r="K17" s="3" t="s">
        <v>4494</v>
      </c>
      <c r="L17" s="599"/>
      <c r="M17" s="599"/>
    </row>
    <row r="18" spans="1:13" ht="15.5">
      <c r="A18" s="562">
        <v>417</v>
      </c>
      <c r="B18" s="5" t="s">
        <v>148</v>
      </c>
      <c r="C18" s="588">
        <v>46031</v>
      </c>
      <c r="D18" s="3" t="s">
        <v>4495</v>
      </c>
      <c r="E18" s="5">
        <v>553980837</v>
      </c>
      <c r="F18" s="99" t="s">
        <v>4496</v>
      </c>
      <c r="G18" s="120">
        <v>1.79719692</v>
      </c>
      <c r="H18" s="120" t="e">
        <v>#N/A</v>
      </c>
      <c r="I18" s="5">
        <v>229</v>
      </c>
      <c r="J18" s="567" t="s">
        <v>3887</v>
      </c>
      <c r="K18" s="3" t="s">
        <v>1096</v>
      </c>
      <c r="L18" s="599"/>
      <c r="M18" s="599"/>
    </row>
    <row r="19" spans="1:13" ht="15.5">
      <c r="A19" s="562">
        <v>440</v>
      </c>
      <c r="B19" s="5" t="s">
        <v>148</v>
      </c>
      <c r="C19" s="588">
        <v>46031</v>
      </c>
      <c r="D19" s="3" t="s">
        <v>4497</v>
      </c>
      <c r="E19" s="5">
        <v>588959104</v>
      </c>
      <c r="F19" s="99" t="s">
        <v>4498</v>
      </c>
      <c r="G19" s="120">
        <v>1.3954625199999999</v>
      </c>
      <c r="H19" s="120" t="e">
        <v>#N/A</v>
      </c>
      <c r="I19" s="5">
        <v>229</v>
      </c>
      <c r="J19" s="567" t="s">
        <v>3887</v>
      </c>
      <c r="K19" s="3" t="s">
        <v>1096</v>
      </c>
      <c r="L19" s="599"/>
      <c r="M19" s="599"/>
    </row>
    <row r="20" spans="1:13" ht="15.5">
      <c r="A20" s="562">
        <v>464</v>
      </c>
      <c r="B20" s="5" t="s">
        <v>148</v>
      </c>
      <c r="C20" s="588">
        <v>46032</v>
      </c>
      <c r="D20" s="3" t="s">
        <v>4499</v>
      </c>
      <c r="E20" s="5">
        <v>542412531</v>
      </c>
      <c r="F20" s="99" t="s">
        <v>4500</v>
      </c>
      <c r="G20" s="120">
        <v>1.7975218100000001</v>
      </c>
      <c r="H20" s="120" t="e">
        <v>#N/A</v>
      </c>
      <c r="I20" s="5">
        <v>229</v>
      </c>
      <c r="J20" s="567" t="s">
        <v>3887</v>
      </c>
      <c r="K20" s="3" t="s">
        <v>1096</v>
      </c>
      <c r="L20" s="599"/>
      <c r="M20" s="599"/>
    </row>
    <row r="21" spans="1:13" ht="15.5" hidden="1">
      <c r="A21" s="562">
        <v>465</v>
      </c>
      <c r="B21" s="147" t="s">
        <v>148</v>
      </c>
      <c r="C21" s="588">
        <v>46032</v>
      </c>
      <c r="D21" s="3" t="s">
        <v>4501</v>
      </c>
      <c r="E21" s="5">
        <v>551634444</v>
      </c>
      <c r="F21" s="99" t="s">
        <v>4502</v>
      </c>
      <c r="G21" s="120">
        <v>1.19921923</v>
      </c>
      <c r="H21" s="120" t="e">
        <v>#N/A</v>
      </c>
      <c r="I21" s="5">
        <v>229</v>
      </c>
      <c r="J21" s="567" t="s">
        <v>255</v>
      </c>
      <c r="K21" s="3" t="s">
        <v>1096</v>
      </c>
      <c r="L21" s="599"/>
      <c r="M21" s="599"/>
    </row>
    <row r="22" spans="1:13" ht="15.5" hidden="1">
      <c r="A22" s="562">
        <v>474</v>
      </c>
      <c r="B22" s="5" t="s">
        <v>148</v>
      </c>
      <c r="C22" s="588">
        <v>46032</v>
      </c>
      <c r="D22" s="3" t="s">
        <v>4499</v>
      </c>
      <c r="E22" s="5">
        <v>544515070</v>
      </c>
      <c r="F22" s="99" t="s">
        <v>4503</v>
      </c>
      <c r="G22" s="120">
        <v>1.7975218100000001</v>
      </c>
      <c r="H22" s="120" t="e">
        <v>#N/A</v>
      </c>
      <c r="I22" s="5">
        <v>229</v>
      </c>
      <c r="J22" s="567" t="s">
        <v>255</v>
      </c>
      <c r="K22" s="3" t="s">
        <v>1096</v>
      </c>
      <c r="L22" s="599"/>
      <c r="M22" s="599"/>
    </row>
    <row r="23" spans="1:13" ht="15.5" hidden="1">
      <c r="A23" s="562">
        <v>525</v>
      </c>
      <c r="B23" s="5" t="s">
        <v>148</v>
      </c>
      <c r="C23" s="588">
        <v>46033</v>
      </c>
      <c r="D23" s="3" t="s">
        <v>4504</v>
      </c>
      <c r="E23" s="5">
        <v>555630046</v>
      </c>
      <c r="F23" s="120" t="s">
        <v>4505</v>
      </c>
      <c r="G23" s="120">
        <v>1.7978705800000001</v>
      </c>
      <c r="H23" s="120" t="e">
        <v>#N/A</v>
      </c>
      <c r="I23" s="3">
        <v>229</v>
      </c>
      <c r="J23" s="567" t="s">
        <v>255</v>
      </c>
      <c r="K23" s="3" t="s">
        <v>3313</v>
      </c>
      <c r="L23" s="599"/>
      <c r="M23" s="599"/>
    </row>
    <row r="24" spans="1:13" ht="15.5">
      <c r="A24" s="562">
        <v>561</v>
      </c>
      <c r="B24" s="5" t="s">
        <v>148</v>
      </c>
      <c r="C24" s="588">
        <v>46034</v>
      </c>
      <c r="D24" s="3" t="s">
        <v>4506</v>
      </c>
      <c r="E24" s="5">
        <v>565409897</v>
      </c>
      <c r="F24" s="120" t="s">
        <v>4507</v>
      </c>
      <c r="G24" s="120">
        <v>1.7980731599999999</v>
      </c>
      <c r="H24" s="120" t="e">
        <v>#N/A</v>
      </c>
      <c r="I24" s="3">
        <v>229</v>
      </c>
      <c r="J24" s="567" t="s">
        <v>3887</v>
      </c>
      <c r="K24" s="3" t="s">
        <v>1096</v>
      </c>
      <c r="L24" s="599"/>
      <c r="M24" s="599"/>
    </row>
    <row r="25" spans="1:13" ht="15.5" hidden="1">
      <c r="A25" s="562">
        <v>589</v>
      </c>
      <c r="B25" s="147" t="s">
        <v>148</v>
      </c>
      <c r="C25" s="588">
        <v>46035</v>
      </c>
      <c r="D25" s="3" t="s">
        <v>4508</v>
      </c>
      <c r="E25" s="5">
        <v>503577933</v>
      </c>
      <c r="F25" s="120" t="s">
        <v>4509</v>
      </c>
      <c r="G25" s="120">
        <v>1.7984239399999999</v>
      </c>
      <c r="H25" s="120" t="e">
        <v>#N/A</v>
      </c>
      <c r="I25" s="3">
        <v>229</v>
      </c>
      <c r="J25" s="567" t="s">
        <v>255</v>
      </c>
      <c r="K25" s="3" t="s">
        <v>1096</v>
      </c>
      <c r="L25" s="599"/>
      <c r="M25" s="599"/>
    </row>
    <row r="26" spans="1:13" ht="15.5">
      <c r="A26" s="562">
        <v>630</v>
      </c>
      <c r="B26" s="5" t="s">
        <v>148</v>
      </c>
      <c r="C26" s="588">
        <v>46036</v>
      </c>
      <c r="D26" s="3" t="s">
        <v>4510</v>
      </c>
      <c r="E26" s="5">
        <v>505373774</v>
      </c>
      <c r="F26" s="120" t="s">
        <v>4511</v>
      </c>
      <c r="G26" s="120">
        <v>1.69001438</v>
      </c>
      <c r="H26" s="120" t="e">
        <v>#N/A</v>
      </c>
      <c r="I26" s="3">
        <v>229</v>
      </c>
      <c r="J26" s="567" t="s">
        <v>3887</v>
      </c>
      <c r="K26" s="3" t="s">
        <v>3313</v>
      </c>
      <c r="L26" s="599"/>
      <c r="M26" s="599"/>
    </row>
    <row r="27" spans="1:13" ht="15.5">
      <c r="A27" s="562">
        <v>656</v>
      </c>
      <c r="B27" s="5" t="s">
        <v>148</v>
      </c>
      <c r="C27" s="588">
        <v>46037</v>
      </c>
      <c r="D27" s="3" t="s">
        <v>4512</v>
      </c>
      <c r="E27" s="5">
        <v>507824966</v>
      </c>
      <c r="F27" s="120" t="s">
        <v>4513</v>
      </c>
      <c r="G27" s="120">
        <v>1.7991733299999999</v>
      </c>
      <c r="H27" s="120" t="e">
        <v>#N/A</v>
      </c>
      <c r="I27" s="3">
        <v>229</v>
      </c>
      <c r="J27" s="567" t="s">
        <v>3887</v>
      </c>
      <c r="K27" s="3" t="s">
        <v>3313</v>
      </c>
      <c r="L27" s="599"/>
      <c r="M27" s="599"/>
    </row>
    <row r="28" spans="1:13" ht="15.5" hidden="1">
      <c r="A28" s="562">
        <v>657</v>
      </c>
      <c r="B28" s="5" t="s">
        <v>148</v>
      </c>
      <c r="C28" s="588">
        <v>46037</v>
      </c>
      <c r="D28" s="3" t="s">
        <v>4512</v>
      </c>
      <c r="E28" s="5">
        <v>507824966</v>
      </c>
      <c r="F28" s="120" t="s">
        <v>4514</v>
      </c>
      <c r="G28" s="120">
        <v>1.7991733299999999</v>
      </c>
      <c r="H28" s="120" t="e">
        <v>#N/A</v>
      </c>
      <c r="I28" s="3">
        <v>229</v>
      </c>
      <c r="J28" s="567" t="s">
        <v>255</v>
      </c>
      <c r="K28" s="3" t="s">
        <v>3313</v>
      </c>
      <c r="L28" s="599"/>
      <c r="M28" s="599"/>
    </row>
    <row r="29" spans="1:13" ht="15.5">
      <c r="A29" s="562">
        <v>673</v>
      </c>
      <c r="B29" s="5" t="s">
        <v>148</v>
      </c>
      <c r="C29" s="588">
        <v>46037</v>
      </c>
      <c r="D29" s="3" t="s">
        <v>4515</v>
      </c>
      <c r="E29" s="5">
        <v>555382966</v>
      </c>
      <c r="F29" s="120" t="s">
        <v>4516</v>
      </c>
      <c r="G29" s="99">
        <v>1.4987267399999999</v>
      </c>
      <c r="H29" s="120" t="e">
        <v>#N/A</v>
      </c>
      <c r="I29" s="3">
        <v>229</v>
      </c>
      <c r="J29" s="567" t="s">
        <v>3887</v>
      </c>
      <c r="K29" s="3" t="s">
        <v>1096</v>
      </c>
      <c r="L29" s="599"/>
      <c r="M29" s="599"/>
    </row>
    <row r="30" spans="1:13" ht="15.5">
      <c r="A30" s="562">
        <v>685</v>
      </c>
      <c r="B30" s="147" t="s">
        <v>148</v>
      </c>
      <c r="C30" s="588">
        <v>46037</v>
      </c>
      <c r="D30" s="3" t="s">
        <v>4517</v>
      </c>
      <c r="E30" s="5">
        <v>555957722</v>
      </c>
      <c r="F30" s="120" t="s">
        <v>4518</v>
      </c>
      <c r="G30" s="120">
        <v>1.7990952600000001</v>
      </c>
      <c r="H30" s="120" t="e">
        <v>#N/A</v>
      </c>
      <c r="I30" s="3">
        <v>229</v>
      </c>
      <c r="J30" s="567" t="s">
        <v>3887</v>
      </c>
      <c r="K30" s="3" t="s">
        <v>3313</v>
      </c>
      <c r="L30" s="599"/>
      <c r="M30" s="599"/>
    </row>
    <row r="31" spans="1:13" ht="15.5">
      <c r="A31" s="562">
        <v>721</v>
      </c>
      <c r="B31" s="5" t="s">
        <v>148</v>
      </c>
      <c r="C31" s="588">
        <v>46038</v>
      </c>
      <c r="D31" s="3" t="s">
        <v>4519</v>
      </c>
      <c r="E31" s="5">
        <v>503577933</v>
      </c>
      <c r="F31" s="120" t="s">
        <v>4520</v>
      </c>
      <c r="G31" s="120">
        <v>1.79941379</v>
      </c>
      <c r="H31" s="120" t="e">
        <v>#N/A</v>
      </c>
      <c r="I31" s="3">
        <v>229</v>
      </c>
      <c r="J31" s="567" t="s">
        <v>3887</v>
      </c>
      <c r="K31" s="3" t="s">
        <v>1096</v>
      </c>
      <c r="L31" s="599"/>
      <c r="M31" s="599"/>
    </row>
    <row r="32" spans="1:13" ht="15.5" hidden="1">
      <c r="A32" s="562">
        <v>726</v>
      </c>
      <c r="B32" s="5" t="s">
        <v>148</v>
      </c>
      <c r="C32" s="588">
        <v>46039</v>
      </c>
      <c r="D32" s="3" t="s">
        <v>4521</v>
      </c>
      <c r="E32" s="5">
        <v>553503792</v>
      </c>
      <c r="F32" s="120" t="s">
        <v>4522</v>
      </c>
      <c r="G32" s="120">
        <v>1.79970871</v>
      </c>
      <c r="H32" s="120" t="e">
        <v>#N/A</v>
      </c>
      <c r="I32" s="3">
        <v>299</v>
      </c>
      <c r="J32" s="567" t="s">
        <v>3887</v>
      </c>
      <c r="K32" s="3" t="s">
        <v>1096</v>
      </c>
      <c r="L32" s="599"/>
      <c r="M32" s="599"/>
    </row>
    <row r="33" spans="1:13" ht="15.5">
      <c r="A33" s="562">
        <v>744</v>
      </c>
      <c r="B33" s="5" t="s">
        <v>148</v>
      </c>
      <c r="C33" s="588">
        <v>46039</v>
      </c>
      <c r="D33" s="3" t="s">
        <v>4523</v>
      </c>
      <c r="E33" s="5">
        <v>508960786</v>
      </c>
      <c r="F33" s="120" t="s">
        <v>4524</v>
      </c>
      <c r="G33" s="120">
        <v>1.10157835</v>
      </c>
      <c r="H33" s="120" t="e">
        <v>#N/A</v>
      </c>
      <c r="I33" s="3">
        <v>229</v>
      </c>
      <c r="J33" s="567" t="s">
        <v>3887</v>
      </c>
      <c r="K33" s="3" t="s">
        <v>1096</v>
      </c>
      <c r="L33" s="599"/>
      <c r="M33" s="599"/>
    </row>
    <row r="34" spans="1:13" ht="15.5">
      <c r="A34" s="562">
        <v>749</v>
      </c>
      <c r="B34" s="5" t="s">
        <v>148</v>
      </c>
      <c r="C34" s="588">
        <v>46039</v>
      </c>
      <c r="D34" s="3" t="s">
        <v>4525</v>
      </c>
      <c r="E34" s="5">
        <v>508641535</v>
      </c>
      <c r="F34" s="120" t="s">
        <v>4526</v>
      </c>
      <c r="G34" s="120">
        <v>1.7997910800000001</v>
      </c>
      <c r="H34" s="120" t="e">
        <v>#N/A</v>
      </c>
      <c r="I34" s="3">
        <v>229</v>
      </c>
      <c r="J34" s="567" t="s">
        <v>3887</v>
      </c>
      <c r="K34" s="3" t="s">
        <v>1096</v>
      </c>
      <c r="L34" s="599"/>
      <c r="M34" s="599"/>
    </row>
    <row r="35" spans="1:13" ht="15.5">
      <c r="A35" s="562">
        <v>808</v>
      </c>
      <c r="B35" s="147" t="s">
        <v>148</v>
      </c>
      <c r="C35" s="588">
        <v>46041</v>
      </c>
      <c r="D35" s="3" t="s">
        <v>4527</v>
      </c>
      <c r="E35" s="5">
        <v>556317794</v>
      </c>
      <c r="F35" s="120" t="s">
        <v>4528</v>
      </c>
      <c r="G35" s="120">
        <v>1.8005005999999999</v>
      </c>
      <c r="H35" s="120" t="e">
        <v>#N/A</v>
      </c>
      <c r="I35" s="3">
        <v>229</v>
      </c>
      <c r="J35" s="567" t="s">
        <v>3887</v>
      </c>
      <c r="K35" s="3" t="s">
        <v>3313</v>
      </c>
      <c r="L35" s="599"/>
      <c r="M35" s="599"/>
    </row>
    <row r="36" spans="1:13" ht="15.5">
      <c r="A36" s="562">
        <v>815</v>
      </c>
      <c r="B36" s="5" t="s">
        <v>148</v>
      </c>
      <c r="C36" s="588">
        <v>46041</v>
      </c>
      <c r="D36" s="3" t="s">
        <v>4529</v>
      </c>
      <c r="E36" s="5">
        <v>563200683</v>
      </c>
      <c r="F36" s="120" t="s">
        <v>4530</v>
      </c>
      <c r="G36" s="120">
        <v>1.4808063300000001</v>
      </c>
      <c r="H36" s="120" t="e">
        <v>#N/A</v>
      </c>
      <c r="I36" s="3">
        <v>229</v>
      </c>
      <c r="J36" s="567" t="s">
        <v>3887</v>
      </c>
      <c r="K36" s="3" t="s">
        <v>3313</v>
      </c>
      <c r="L36" s="599"/>
      <c r="M36" s="599"/>
    </row>
    <row r="37" spans="1:13" ht="15.5">
      <c r="A37" s="562">
        <v>935</v>
      </c>
      <c r="B37" s="5" t="s">
        <v>148</v>
      </c>
      <c r="C37" s="588">
        <v>46043</v>
      </c>
      <c r="D37" s="569" t="s">
        <v>2932</v>
      </c>
      <c r="E37" s="5">
        <v>505798928</v>
      </c>
      <c r="F37" s="120" t="s">
        <v>4531</v>
      </c>
      <c r="G37" s="120">
        <v>1.8011113400000001</v>
      </c>
      <c r="H37" s="120" t="e">
        <v>#N/A</v>
      </c>
      <c r="I37" s="3">
        <v>229</v>
      </c>
      <c r="J37" s="567" t="s">
        <v>3887</v>
      </c>
      <c r="K37" s="3" t="s">
        <v>1096</v>
      </c>
      <c r="L37" s="599"/>
      <c r="M37" s="599"/>
    </row>
    <row r="38" spans="1:13" ht="15.5">
      <c r="A38" s="562">
        <v>998</v>
      </c>
      <c r="B38" s="5" t="s">
        <v>148</v>
      </c>
      <c r="C38" s="588">
        <v>46045</v>
      </c>
      <c r="D38" s="569" t="s">
        <v>4532</v>
      </c>
      <c r="E38" s="5">
        <v>586606993</v>
      </c>
      <c r="F38" s="120" t="s">
        <v>4533</v>
      </c>
      <c r="G38" s="99">
        <v>1.8016404699999999</v>
      </c>
      <c r="H38" s="120" t="e">
        <v>#N/A</v>
      </c>
      <c r="I38" s="5">
        <v>229</v>
      </c>
      <c r="J38" s="567" t="s">
        <v>3887</v>
      </c>
      <c r="K38" s="3" t="s">
        <v>1096</v>
      </c>
      <c r="L38" s="599"/>
      <c r="M38" s="599"/>
    </row>
    <row r="39" spans="1:13" ht="15.5">
      <c r="A39" s="562">
        <v>1031</v>
      </c>
      <c r="B39" s="5" t="s">
        <v>148</v>
      </c>
      <c r="C39" s="588">
        <v>46045</v>
      </c>
      <c r="D39" s="569" t="s">
        <v>4534</v>
      </c>
      <c r="E39" s="5">
        <v>562279021</v>
      </c>
      <c r="F39" s="120" t="s">
        <v>4535</v>
      </c>
      <c r="G39" s="99">
        <v>1.8017817</v>
      </c>
      <c r="H39" s="120" t="e">
        <v>#N/A</v>
      </c>
      <c r="I39" s="5">
        <v>229</v>
      </c>
      <c r="J39" s="567" t="s">
        <v>3887</v>
      </c>
      <c r="K39" s="3" t="s">
        <v>3313</v>
      </c>
      <c r="L39" s="599"/>
      <c r="M39" s="599"/>
    </row>
    <row r="40" spans="1:13" ht="15.5">
      <c r="A40" s="562">
        <v>1093</v>
      </c>
      <c r="B40" s="5" t="s">
        <v>148</v>
      </c>
      <c r="C40" s="588">
        <v>46047</v>
      </c>
      <c r="D40" s="569" t="s">
        <v>4536</v>
      </c>
      <c r="E40" s="5">
        <v>553628480</v>
      </c>
      <c r="F40" s="120" t="s">
        <v>4537</v>
      </c>
      <c r="G40" s="99">
        <v>1.53063339</v>
      </c>
      <c r="H40" s="120" t="e">
        <v>#N/A</v>
      </c>
      <c r="I40" s="5">
        <v>229</v>
      </c>
      <c r="J40" s="567" t="s">
        <v>3887</v>
      </c>
      <c r="K40" s="3" t="s">
        <v>3313</v>
      </c>
      <c r="L40" s="599"/>
      <c r="M40" s="599"/>
    </row>
    <row r="41" spans="1:13" ht="15.5">
      <c r="A41" s="562">
        <v>1101</v>
      </c>
      <c r="B41" s="5" t="s">
        <v>148</v>
      </c>
      <c r="C41" s="588">
        <v>46046</v>
      </c>
      <c r="D41" s="569" t="s">
        <v>4538</v>
      </c>
      <c r="E41" s="5">
        <v>566526824</v>
      </c>
      <c r="F41" s="120" t="s">
        <v>4539</v>
      </c>
      <c r="G41" s="99">
        <v>1.8021315600000001</v>
      </c>
      <c r="H41" s="120" t="e">
        <v>#N/A</v>
      </c>
      <c r="I41" s="5">
        <v>229</v>
      </c>
      <c r="J41" s="567" t="s">
        <v>3887</v>
      </c>
      <c r="K41" s="3" t="s">
        <v>3313</v>
      </c>
      <c r="L41" s="599"/>
      <c r="M41" s="599"/>
    </row>
    <row r="42" spans="1:13" ht="15.5">
      <c r="A42" s="562">
        <v>1225</v>
      </c>
      <c r="B42" s="5" t="s">
        <v>148</v>
      </c>
      <c r="C42" s="563">
        <v>46049</v>
      </c>
      <c r="D42" s="569" t="s">
        <v>4540</v>
      </c>
      <c r="E42" s="5">
        <v>561707639</v>
      </c>
      <c r="F42" s="565" t="s">
        <v>4541</v>
      </c>
      <c r="G42" s="120">
        <v>1.8029854300000001</v>
      </c>
      <c r="H42" s="120" t="e">
        <v>#N/A</v>
      </c>
      <c r="I42" s="5">
        <v>229</v>
      </c>
      <c r="J42" s="567" t="s">
        <v>3887</v>
      </c>
      <c r="K42" s="3" t="s">
        <v>1096</v>
      </c>
    </row>
    <row r="43" spans="1:13" ht="15.5" hidden="1">
      <c r="A43" s="562">
        <v>1230</v>
      </c>
      <c r="B43" s="569" t="s">
        <v>148</v>
      </c>
      <c r="C43" s="563">
        <v>46049</v>
      </c>
      <c r="D43" s="569" t="s">
        <v>4542</v>
      </c>
      <c r="E43" s="5">
        <v>566101648</v>
      </c>
      <c r="F43" s="565" t="s">
        <v>4543</v>
      </c>
      <c r="G43" s="120">
        <v>1.8029442099999999</v>
      </c>
      <c r="H43" s="120" t="e">
        <v>#N/A</v>
      </c>
      <c r="I43" s="5">
        <v>229</v>
      </c>
      <c r="J43" s="567" t="s">
        <v>255</v>
      </c>
      <c r="K43" s="3" t="s">
        <v>3313</v>
      </c>
    </row>
    <row r="44" spans="1:13" ht="15.5">
      <c r="A44" s="562">
        <v>1257</v>
      </c>
      <c r="B44" s="569" t="s">
        <v>148</v>
      </c>
      <c r="C44" s="563">
        <v>46049</v>
      </c>
      <c r="D44" s="569" t="s">
        <v>4544</v>
      </c>
      <c r="E44" s="5">
        <v>502173962</v>
      </c>
      <c r="F44" s="565" t="s">
        <v>4545</v>
      </c>
      <c r="G44" s="120">
        <v>1.80294369</v>
      </c>
      <c r="H44" s="120" t="e">
        <v>#N/A</v>
      </c>
      <c r="I44" s="5">
        <v>229</v>
      </c>
      <c r="J44" s="567" t="s">
        <v>3887</v>
      </c>
      <c r="K44" s="3" t="s">
        <v>1096</v>
      </c>
    </row>
    <row r="45" spans="1:13" ht="15.5">
      <c r="A45" s="562">
        <v>1258</v>
      </c>
      <c r="B45" s="569" t="s">
        <v>148</v>
      </c>
      <c r="C45" s="563">
        <v>46049</v>
      </c>
      <c r="D45" s="569" t="s">
        <v>4542</v>
      </c>
      <c r="E45" s="5">
        <v>566101648</v>
      </c>
      <c r="F45" s="565" t="s">
        <v>4546</v>
      </c>
      <c r="G45" s="120">
        <v>1.8029442099999999</v>
      </c>
      <c r="H45" s="120" t="e">
        <v>#N/A</v>
      </c>
      <c r="I45" s="5">
        <v>229</v>
      </c>
      <c r="J45" s="567" t="s">
        <v>3887</v>
      </c>
      <c r="K45" s="3" t="s">
        <v>1096</v>
      </c>
    </row>
    <row r="46" spans="1:13" ht="15.5">
      <c r="A46" s="562">
        <v>1301</v>
      </c>
      <c r="B46" s="569" t="s">
        <v>148</v>
      </c>
      <c r="C46" s="563">
        <v>46050</v>
      </c>
      <c r="D46" s="569" t="s">
        <v>4547</v>
      </c>
      <c r="E46" s="5">
        <v>569621481</v>
      </c>
      <c r="F46" s="565" t="s">
        <v>4548</v>
      </c>
      <c r="G46" s="120">
        <v>1.8033131200000001</v>
      </c>
      <c r="H46" s="120" t="e">
        <v>#N/A</v>
      </c>
      <c r="I46" s="5">
        <v>229</v>
      </c>
      <c r="J46" s="567" t="s">
        <v>3887</v>
      </c>
      <c r="K46" s="3" t="s">
        <v>1096</v>
      </c>
    </row>
    <row r="47" spans="1:13" ht="15.5">
      <c r="A47" s="562">
        <v>1325</v>
      </c>
      <c r="B47" s="569" t="s">
        <v>148</v>
      </c>
      <c r="C47" s="563">
        <v>46050</v>
      </c>
      <c r="D47" s="569" t="s">
        <v>4549</v>
      </c>
      <c r="E47" s="5">
        <v>522336322</v>
      </c>
      <c r="F47" s="565" t="s">
        <v>4550</v>
      </c>
      <c r="G47" s="120">
        <v>1.3543267999999999</v>
      </c>
      <c r="H47" s="120" t="e">
        <v>#N/A</v>
      </c>
      <c r="I47" s="5">
        <v>229</v>
      </c>
      <c r="J47" s="567" t="s">
        <v>3887</v>
      </c>
      <c r="K47" s="3" t="s">
        <v>1096</v>
      </c>
    </row>
    <row r="48" spans="1:13" ht="15.5">
      <c r="A48" s="562">
        <v>1328</v>
      </c>
      <c r="B48" s="569" t="s">
        <v>148</v>
      </c>
      <c r="C48" s="563">
        <v>46051</v>
      </c>
      <c r="D48" s="569" t="s">
        <v>4551</v>
      </c>
      <c r="E48" s="5">
        <v>544980814</v>
      </c>
      <c r="F48" s="565" t="s">
        <v>4552</v>
      </c>
      <c r="G48" s="120">
        <v>1.8035255100000001</v>
      </c>
      <c r="H48" s="120" t="e">
        <v>#N/A</v>
      </c>
      <c r="I48" s="5">
        <v>229</v>
      </c>
      <c r="J48" s="567" t="s">
        <v>3887</v>
      </c>
      <c r="K48" s="3" t="s">
        <v>3313</v>
      </c>
      <c r="M48" s="120"/>
    </row>
    <row r="49" spans="1:13" ht="15.5">
      <c r="A49" s="562">
        <v>1353</v>
      </c>
      <c r="B49" s="569" t="s">
        <v>148</v>
      </c>
      <c r="C49" s="563">
        <v>46051</v>
      </c>
      <c r="D49" s="569" t="s">
        <v>2943</v>
      </c>
      <c r="E49" s="5">
        <v>544448338</v>
      </c>
      <c r="F49" s="565" t="s">
        <v>4553</v>
      </c>
      <c r="G49" s="120">
        <v>1.6531909300000001</v>
      </c>
      <c r="H49" s="120" t="e">
        <v>#N/A</v>
      </c>
      <c r="I49" s="5">
        <v>229</v>
      </c>
      <c r="J49" s="567" t="s">
        <v>3887</v>
      </c>
      <c r="K49" s="3" t="s">
        <v>1096</v>
      </c>
      <c r="M49" s="120"/>
    </row>
    <row r="50" spans="1:13" ht="15.5">
      <c r="A50" s="562">
        <v>1444</v>
      </c>
      <c r="B50" s="569" t="s">
        <v>148</v>
      </c>
      <c r="C50" s="563">
        <v>46053</v>
      </c>
      <c r="D50" s="569" t="s">
        <v>4554</v>
      </c>
      <c r="E50" s="5">
        <v>545120605</v>
      </c>
      <c r="F50" s="565" t="s">
        <v>4555</v>
      </c>
      <c r="G50" s="120">
        <v>1.8043020599999999</v>
      </c>
      <c r="H50" s="120" t="e">
        <v>#N/A</v>
      </c>
      <c r="I50" s="5">
        <v>229</v>
      </c>
      <c r="J50" s="567" t="s">
        <v>4102</v>
      </c>
      <c r="K50" s="3" t="s">
        <v>1096</v>
      </c>
      <c r="L50" t="s">
        <v>4565</v>
      </c>
    </row>
    <row r="51" spans="1:13" ht="15.5" hidden="1">
      <c r="A51" s="562">
        <v>1449</v>
      </c>
      <c r="B51" s="569" t="s">
        <v>148</v>
      </c>
      <c r="C51" s="563">
        <v>46052</v>
      </c>
      <c r="D51" s="569" t="s">
        <v>4556</v>
      </c>
      <c r="E51" s="5">
        <v>559249688</v>
      </c>
      <c r="F51" s="565" t="s">
        <v>4557</v>
      </c>
      <c r="G51" s="120">
        <v>1.8038814700000001</v>
      </c>
      <c r="H51" s="120" t="e">
        <v>#N/A</v>
      </c>
      <c r="I51" s="5">
        <v>299</v>
      </c>
      <c r="J51" s="567" t="s">
        <v>255</v>
      </c>
      <c r="K51" s="3" t="s">
        <v>1096</v>
      </c>
    </row>
    <row r="52" spans="1:13" ht="15.5">
      <c r="A52" s="562">
        <v>1478</v>
      </c>
      <c r="B52" s="569" t="s">
        <v>148</v>
      </c>
      <c r="C52" s="563">
        <v>46052</v>
      </c>
      <c r="D52" s="569" t="s">
        <v>4558</v>
      </c>
      <c r="E52" s="5">
        <v>502173962</v>
      </c>
      <c r="F52" s="565" t="s">
        <v>4559</v>
      </c>
      <c r="G52" s="120">
        <v>1.8039909300000001</v>
      </c>
      <c r="H52" s="120" t="e">
        <v>#N/A</v>
      </c>
      <c r="I52" s="5">
        <v>229</v>
      </c>
      <c r="J52" s="567" t="s">
        <v>3887</v>
      </c>
      <c r="K52" s="3" t="s">
        <v>3313</v>
      </c>
    </row>
    <row r="53" spans="1:13" ht="15.5">
      <c r="A53" s="562">
        <v>1480</v>
      </c>
      <c r="B53" s="569" t="s">
        <v>148</v>
      </c>
      <c r="C53" s="563">
        <v>46052</v>
      </c>
      <c r="D53" s="569" t="s">
        <v>4558</v>
      </c>
      <c r="E53" s="5">
        <v>568637686</v>
      </c>
      <c r="F53" s="565" t="s">
        <v>4560</v>
      </c>
      <c r="G53" s="120">
        <v>1.80399402</v>
      </c>
      <c r="H53" s="120" t="e">
        <v>#N/A</v>
      </c>
      <c r="I53" s="5">
        <v>229</v>
      </c>
      <c r="J53" s="567" t="s">
        <v>3887</v>
      </c>
      <c r="K53" s="3" t="s">
        <v>3313</v>
      </c>
    </row>
    <row r="54" spans="1:13" ht="15.5">
      <c r="A54" s="562">
        <v>1483</v>
      </c>
      <c r="B54" s="569" t="s">
        <v>148</v>
      </c>
      <c r="C54" s="563">
        <v>46052</v>
      </c>
      <c r="D54" s="569" t="s">
        <v>4561</v>
      </c>
      <c r="E54" s="5">
        <v>529330490</v>
      </c>
      <c r="F54" s="565" t="s">
        <v>4562</v>
      </c>
      <c r="G54" s="120">
        <v>1.8040028100000001</v>
      </c>
      <c r="H54" s="120" t="e">
        <v>#N/A</v>
      </c>
      <c r="I54" s="5">
        <v>229</v>
      </c>
      <c r="J54" s="567" t="s">
        <v>3887</v>
      </c>
      <c r="K54" s="3" t="s">
        <v>1096</v>
      </c>
    </row>
    <row r="59" spans="1:13">
      <c r="A59" s="619" t="s">
        <v>148</v>
      </c>
      <c r="B59" s="616" t="s">
        <v>4309</v>
      </c>
      <c r="C59" s="590" t="s">
        <v>2909</v>
      </c>
      <c r="D59" s="591" t="s">
        <v>4310</v>
      </c>
      <c r="E59" s="591" t="s">
        <v>4311</v>
      </c>
      <c r="F59" s="591" t="s">
        <v>2815</v>
      </c>
      <c r="G59" s="591" t="s">
        <v>4312</v>
      </c>
      <c r="H59" s="591" t="s">
        <v>4313</v>
      </c>
      <c r="I59" s="591" t="s">
        <v>4314</v>
      </c>
      <c r="J59" s="591" t="s">
        <v>4315</v>
      </c>
      <c r="K59" s="592" t="s">
        <v>4316</v>
      </c>
      <c r="L59" s="591" t="s">
        <v>4317</v>
      </c>
    </row>
    <row r="60" spans="1:13">
      <c r="A60" s="619"/>
      <c r="B60" s="617"/>
      <c r="C60" s="594" t="s">
        <v>4318</v>
      </c>
      <c r="D60" s="594">
        <v>14</v>
      </c>
      <c r="E60" s="594">
        <v>300</v>
      </c>
      <c r="F60" s="610">
        <v>0</v>
      </c>
      <c r="G60" s="594">
        <f>D60*E60</f>
        <v>4200</v>
      </c>
      <c r="H60" s="609">
        <f>-F60+G60+G61</f>
        <v>4200</v>
      </c>
      <c r="I60" s="610">
        <v>2950</v>
      </c>
      <c r="J60" s="610">
        <v>650</v>
      </c>
      <c r="K60" s="613">
        <v>7500</v>
      </c>
      <c r="L60" s="607">
        <f>+H60-I60+J60-K60</f>
        <v>-5600</v>
      </c>
    </row>
    <row r="61" spans="1:13">
      <c r="A61" s="619"/>
      <c r="B61" s="618"/>
      <c r="C61" s="594" t="s">
        <v>4319</v>
      </c>
      <c r="D61" s="594">
        <v>0</v>
      </c>
      <c r="E61" s="594">
        <v>430</v>
      </c>
      <c r="F61" s="612"/>
      <c r="G61" s="594">
        <f t="shared" ref="G61" si="0">D61*E61</f>
        <v>0</v>
      </c>
      <c r="H61" s="609"/>
      <c r="I61" s="612"/>
      <c r="J61" s="612"/>
      <c r="K61" s="615"/>
      <c r="L61" s="607"/>
    </row>
    <row r="62" spans="1:13">
      <c r="A62" s="619"/>
      <c r="B62" s="616" t="s">
        <v>4320</v>
      </c>
      <c r="C62" s="590" t="s">
        <v>2909</v>
      </c>
      <c r="D62" s="591" t="s">
        <v>4310</v>
      </c>
      <c r="E62" s="591" t="s">
        <v>4311</v>
      </c>
      <c r="F62" s="591" t="s">
        <v>2815</v>
      </c>
      <c r="G62" s="591" t="s">
        <v>4312</v>
      </c>
      <c r="H62" s="591" t="s">
        <v>4313</v>
      </c>
      <c r="I62" s="591" t="s">
        <v>4321</v>
      </c>
      <c r="J62" s="591" t="s">
        <v>4315</v>
      </c>
      <c r="K62" s="592" t="s">
        <v>4322</v>
      </c>
      <c r="L62" s="591" t="s">
        <v>4317</v>
      </c>
    </row>
    <row r="63" spans="1:13">
      <c r="A63" s="619"/>
      <c r="B63" s="617"/>
      <c r="C63" s="594" t="s">
        <v>4318</v>
      </c>
      <c r="D63" s="594">
        <v>19</v>
      </c>
      <c r="E63" s="594">
        <v>300</v>
      </c>
      <c r="F63" s="610">
        <v>600</v>
      </c>
      <c r="G63" s="594">
        <f>D63*E63</f>
        <v>5700</v>
      </c>
      <c r="H63" s="609">
        <f>-F63+G63+G64</f>
        <v>5600</v>
      </c>
      <c r="I63" s="610">
        <v>5600</v>
      </c>
      <c r="J63" s="610">
        <v>0</v>
      </c>
      <c r="K63" s="613">
        <v>7000</v>
      </c>
      <c r="L63" s="607">
        <f>+H63-I63+J63-K63</f>
        <v>-7000</v>
      </c>
    </row>
    <row r="64" spans="1:13">
      <c r="A64" s="619"/>
      <c r="B64" s="618"/>
      <c r="C64" s="594" t="s">
        <v>4323</v>
      </c>
      <c r="D64" s="594">
        <v>1</v>
      </c>
      <c r="E64" s="594">
        <v>500</v>
      </c>
      <c r="F64" s="612"/>
      <c r="G64" s="594">
        <f t="shared" ref="G64" si="1">D64*E64</f>
        <v>500</v>
      </c>
      <c r="H64" s="609"/>
      <c r="I64" s="612"/>
      <c r="J64" s="612"/>
      <c r="K64" s="615"/>
      <c r="L64" s="607"/>
    </row>
    <row r="65" spans="1:12">
      <c r="A65" s="619"/>
      <c r="B65" s="608" t="s">
        <v>4172</v>
      </c>
      <c r="C65" s="590" t="s">
        <v>2909</v>
      </c>
      <c r="D65" s="591" t="s">
        <v>4310</v>
      </c>
      <c r="E65" s="591" t="s">
        <v>4311</v>
      </c>
      <c r="F65" s="591" t="s">
        <v>2815</v>
      </c>
      <c r="G65" s="591" t="s">
        <v>4312</v>
      </c>
      <c r="H65" s="591" t="s">
        <v>4313</v>
      </c>
      <c r="I65" s="591" t="s">
        <v>4324</v>
      </c>
      <c r="J65" s="591" t="s">
        <v>4315</v>
      </c>
      <c r="K65" s="592" t="s">
        <v>4438</v>
      </c>
      <c r="L65" s="591" t="s">
        <v>4325</v>
      </c>
    </row>
    <row r="66" spans="1:12">
      <c r="A66" s="619"/>
      <c r="B66" s="608"/>
      <c r="C66" s="594" t="s">
        <v>4318</v>
      </c>
      <c r="D66" s="594">
        <v>42</v>
      </c>
      <c r="E66" s="594">
        <v>300</v>
      </c>
      <c r="F66" s="609">
        <v>1400</v>
      </c>
      <c r="G66" s="594">
        <f>D66*E66</f>
        <v>12600</v>
      </c>
      <c r="H66" s="610">
        <f>-F66+G66+G67+G68</f>
        <v>14500</v>
      </c>
      <c r="I66" s="610">
        <v>7000</v>
      </c>
      <c r="J66" s="610">
        <v>0</v>
      </c>
      <c r="K66" s="613">
        <v>7500</v>
      </c>
      <c r="L66" s="607">
        <f>+H66-I66+J66-K66</f>
        <v>0</v>
      </c>
    </row>
    <row r="67" spans="1:12">
      <c r="A67" s="619"/>
      <c r="B67" s="608"/>
      <c r="C67" s="594" t="s">
        <v>4319</v>
      </c>
      <c r="D67" s="594">
        <v>4</v>
      </c>
      <c r="E67" s="594">
        <v>450</v>
      </c>
      <c r="F67" s="609"/>
      <c r="G67" s="594">
        <f t="shared" ref="G67" si="2">D67*E67</f>
        <v>1800</v>
      </c>
      <c r="H67" s="611"/>
      <c r="I67" s="611"/>
      <c r="J67" s="611"/>
      <c r="K67" s="614"/>
      <c r="L67" s="607"/>
    </row>
    <row r="68" spans="1:12">
      <c r="A68" s="619"/>
      <c r="B68" s="608"/>
      <c r="C68" s="594" t="s">
        <v>4323</v>
      </c>
      <c r="D68" s="594">
        <v>3</v>
      </c>
      <c r="E68" s="594">
        <v>500</v>
      </c>
      <c r="F68" s="609"/>
      <c r="G68" s="143">
        <f>E68*D68</f>
        <v>1500</v>
      </c>
      <c r="H68" s="612"/>
      <c r="I68" s="612"/>
      <c r="J68" s="612"/>
      <c r="K68" s="615"/>
      <c r="L68" s="607"/>
    </row>
    <row r="69" spans="1:12">
      <c r="A69" s="619"/>
      <c r="B69" s="608" t="s">
        <v>4439</v>
      </c>
      <c r="C69" s="590" t="s">
        <v>2909</v>
      </c>
      <c r="D69" s="591" t="s">
        <v>4310</v>
      </c>
      <c r="E69" s="591" t="s">
        <v>4311</v>
      </c>
      <c r="F69" s="591" t="s">
        <v>2815</v>
      </c>
      <c r="G69" s="591" t="s">
        <v>4312</v>
      </c>
      <c r="H69" s="591" t="s">
        <v>4313</v>
      </c>
      <c r="I69" s="591" t="s">
        <v>4440</v>
      </c>
      <c r="J69" s="591" t="s">
        <v>4315</v>
      </c>
      <c r="K69" s="592" t="s">
        <v>4441</v>
      </c>
      <c r="L69" s="591" t="s">
        <v>4325</v>
      </c>
    </row>
    <row r="70" spans="1:12">
      <c r="A70" s="619"/>
      <c r="B70" s="608"/>
      <c r="C70" s="594" t="s">
        <v>4318</v>
      </c>
      <c r="D70" s="594">
        <v>42</v>
      </c>
      <c r="E70" s="594">
        <v>300</v>
      </c>
      <c r="F70" s="609">
        <v>900</v>
      </c>
      <c r="G70" s="594">
        <f>D70*E70</f>
        <v>12600</v>
      </c>
      <c r="H70" s="610">
        <f>-F70+G70+G71+G72</f>
        <v>14400</v>
      </c>
      <c r="I70" s="610">
        <v>0</v>
      </c>
      <c r="J70" s="610">
        <v>0</v>
      </c>
      <c r="K70" s="613">
        <v>11500</v>
      </c>
      <c r="L70" s="607">
        <f>+H70-I70+J70-K70</f>
        <v>2900</v>
      </c>
    </row>
    <row r="71" spans="1:12">
      <c r="A71" s="619"/>
      <c r="B71" s="608"/>
      <c r="C71" s="594" t="s">
        <v>4319</v>
      </c>
      <c r="D71" s="594">
        <v>6</v>
      </c>
      <c r="E71" s="594">
        <v>450</v>
      </c>
      <c r="F71" s="609"/>
      <c r="G71" s="594">
        <f t="shared" ref="G71" si="3">D71*E71</f>
        <v>2700</v>
      </c>
      <c r="H71" s="611"/>
      <c r="I71" s="611"/>
      <c r="J71" s="611"/>
      <c r="K71" s="614"/>
      <c r="L71" s="607"/>
    </row>
    <row r="72" spans="1:12">
      <c r="A72" s="619"/>
      <c r="B72" s="608"/>
      <c r="C72" s="594" t="s">
        <v>4323</v>
      </c>
      <c r="D72" s="594"/>
      <c r="E72" s="594">
        <v>500</v>
      </c>
      <c r="F72" s="609"/>
      <c r="G72" s="143">
        <f>E72*D72</f>
        <v>0</v>
      </c>
      <c r="H72" s="612"/>
      <c r="I72" s="612"/>
      <c r="J72" s="612"/>
      <c r="K72" s="615"/>
      <c r="L72" s="607"/>
    </row>
    <row r="73" spans="1:12">
      <c r="A73" s="619"/>
      <c r="B73" s="608" t="s">
        <v>4563</v>
      </c>
      <c r="C73" s="590" t="s">
        <v>2909</v>
      </c>
      <c r="D73" s="591" t="s">
        <v>4310</v>
      </c>
      <c r="E73" s="591" t="s">
        <v>4311</v>
      </c>
      <c r="F73" s="591" t="s">
        <v>2815</v>
      </c>
      <c r="G73" s="591" t="s">
        <v>4312</v>
      </c>
      <c r="H73" s="591" t="s">
        <v>4313</v>
      </c>
      <c r="I73" s="591" t="s">
        <v>4564</v>
      </c>
      <c r="J73" s="591" t="s">
        <v>4315</v>
      </c>
      <c r="K73" s="592" t="s">
        <v>4441</v>
      </c>
      <c r="L73" s="591" t="s">
        <v>4325</v>
      </c>
    </row>
    <row r="74" spans="1:12">
      <c r="A74" s="619"/>
      <c r="B74" s="608"/>
      <c r="C74" s="594" t="s">
        <v>4318</v>
      </c>
      <c r="D74" s="594">
        <v>40</v>
      </c>
      <c r="E74" s="594">
        <v>300</v>
      </c>
      <c r="F74" s="609">
        <v>0</v>
      </c>
      <c r="G74" s="594">
        <f>D74*E74</f>
        <v>12000</v>
      </c>
      <c r="H74" s="610">
        <f>-F74+G74+G75+G76</f>
        <v>12900</v>
      </c>
      <c r="I74" s="610">
        <v>2900</v>
      </c>
      <c r="J74" s="610">
        <v>0</v>
      </c>
      <c r="K74" s="613">
        <v>15000</v>
      </c>
      <c r="L74" s="607">
        <f>+H74+I74+J74-K74</f>
        <v>800</v>
      </c>
    </row>
    <row r="75" spans="1:12">
      <c r="A75" s="619"/>
      <c r="B75" s="608"/>
      <c r="C75" s="594" t="s">
        <v>4319</v>
      </c>
      <c r="D75" s="594">
        <v>2</v>
      </c>
      <c r="E75" s="594">
        <v>450</v>
      </c>
      <c r="F75" s="609"/>
      <c r="G75" s="594">
        <f t="shared" ref="G75" si="4">D75*E75</f>
        <v>900</v>
      </c>
      <c r="H75" s="611"/>
      <c r="I75" s="611"/>
      <c r="J75" s="611"/>
      <c r="K75" s="614"/>
      <c r="L75" s="607"/>
    </row>
    <row r="76" spans="1:12">
      <c r="A76" s="619"/>
      <c r="B76" s="608"/>
      <c r="C76" s="594" t="s">
        <v>4323</v>
      </c>
      <c r="D76" s="594"/>
      <c r="E76" s="594">
        <v>500</v>
      </c>
      <c r="F76" s="609"/>
      <c r="G76" s="143">
        <f>E76*D76</f>
        <v>0</v>
      </c>
      <c r="H76" s="612"/>
      <c r="I76" s="612"/>
      <c r="J76" s="612"/>
      <c r="K76" s="615"/>
      <c r="L76" s="607"/>
    </row>
    <row r="77" spans="1:12">
      <c r="C77" s="595"/>
      <c r="H77">
        <v>12900</v>
      </c>
      <c r="I77" s="153">
        <v>4700</v>
      </c>
      <c r="L77" s="153">
        <v>2600</v>
      </c>
    </row>
  </sheetData>
  <autoFilter ref="A1:M54" xr:uid="{37199E0F-8C5D-45CC-B125-3EE0A2CB1A7D}">
    <filterColumn colId="8">
      <filters>
        <filter val="229"/>
      </filters>
    </filterColumn>
    <filterColumn colId="9">
      <filters>
        <filter val="Activated"/>
        <filter val="Completed"/>
      </filters>
    </filterColumn>
  </autoFilter>
  <mergeCells count="36">
    <mergeCell ref="A59:A76"/>
    <mergeCell ref="B59:B61"/>
    <mergeCell ref="F60:F61"/>
    <mergeCell ref="H60:H61"/>
    <mergeCell ref="I60:I61"/>
    <mergeCell ref="B65:B68"/>
    <mergeCell ref="F66:F68"/>
    <mergeCell ref="H66:H68"/>
    <mergeCell ref="I66:I68"/>
    <mergeCell ref="K60:K61"/>
    <mergeCell ref="L60:L61"/>
    <mergeCell ref="B62:B64"/>
    <mergeCell ref="F63:F64"/>
    <mergeCell ref="H63:H64"/>
    <mergeCell ref="I63:I64"/>
    <mergeCell ref="J63:J64"/>
    <mergeCell ref="K63:K64"/>
    <mergeCell ref="L63:L64"/>
    <mergeCell ref="J60:J61"/>
    <mergeCell ref="J66:J68"/>
    <mergeCell ref="K66:K68"/>
    <mergeCell ref="L66:L68"/>
    <mergeCell ref="B69:B72"/>
    <mergeCell ref="F70:F72"/>
    <mergeCell ref="H70:H72"/>
    <mergeCell ref="I70:I72"/>
    <mergeCell ref="J70:J72"/>
    <mergeCell ref="K70:K72"/>
    <mergeCell ref="L70:L72"/>
    <mergeCell ref="L74:L76"/>
    <mergeCell ref="B73:B76"/>
    <mergeCell ref="F74:F76"/>
    <mergeCell ref="H74:H76"/>
    <mergeCell ref="I74:I76"/>
    <mergeCell ref="J74:J76"/>
    <mergeCell ref="K74:K76"/>
  </mergeCells>
  <conditionalFormatting sqref="E7:E12">
    <cfRule type="duplicateValues" dxfId="59" priority="10"/>
    <cfRule type="duplicateValues" dxfId="58" priority="11"/>
    <cfRule type="duplicateValues" dxfId="57" priority="12"/>
  </conditionalFormatting>
  <conditionalFormatting sqref="E13:E16">
    <cfRule type="duplicateValues" dxfId="56" priority="7"/>
    <cfRule type="duplicateValues" dxfId="55" priority="8"/>
    <cfRule type="duplicateValues" dxfId="54" priority="9"/>
  </conditionalFormatting>
  <conditionalFormatting sqref="E17">
    <cfRule type="duplicateValues" dxfId="53" priority="4"/>
    <cfRule type="duplicateValues" dxfId="52" priority="5"/>
    <cfRule type="duplicateValues" dxfId="51" priority="6"/>
  </conditionalFormatting>
  <conditionalFormatting sqref="F18:F19 F2:F3">
    <cfRule type="duplicateValues" dxfId="50" priority="18"/>
    <cfRule type="duplicateValues" dxfId="49" priority="17"/>
    <cfRule type="duplicateValues" dxfId="48" priority="16"/>
  </conditionalFormatting>
  <conditionalFormatting sqref="F20:F41">
    <cfRule type="duplicateValues" dxfId="47" priority="2"/>
    <cfRule type="duplicateValues" dxfId="46" priority="3"/>
    <cfRule type="duplicateValues" dxfId="45" priority="1"/>
  </conditionalFormatting>
  <conditionalFormatting sqref="G2">
    <cfRule type="duplicateValues" dxfId="44" priority="23"/>
    <cfRule type="duplicateValues" dxfId="43" priority="24"/>
    <cfRule type="duplicateValues" dxfId="42" priority="25"/>
  </conditionalFormatting>
  <conditionalFormatting sqref="G3:G54">
    <cfRule type="duplicateValues" dxfId="41" priority="13"/>
    <cfRule type="duplicateValues" dxfId="40" priority="14"/>
    <cfRule type="duplicateValues" dxfId="39" priority="15"/>
  </conditionalFormatting>
  <conditionalFormatting sqref="H2:H54">
    <cfRule type="duplicateValues" dxfId="38" priority="26"/>
    <cfRule type="duplicateValues" dxfId="37" priority="27"/>
    <cfRule type="duplicateValues" dxfId="36" priority="28"/>
  </conditionalFormatting>
  <conditionalFormatting sqref="J1:J54">
    <cfRule type="cellIs" dxfId="35" priority="31" operator="equal">
      <formula>"Completed"</formula>
    </cfRule>
  </conditionalFormatting>
  <conditionalFormatting sqref="J2:J54">
    <cfRule type="cellIs" dxfId="34" priority="19" operator="equal">
      <formula>"In Process"</formula>
    </cfRule>
    <cfRule type="cellIs" dxfId="33" priority="20" operator="equal">
      <formula>"Cancelled"</formula>
    </cfRule>
    <cfRule type="cellIs" dxfId="32" priority="21" operator="equal">
      <formula>"Activated"</formula>
    </cfRule>
    <cfRule type="cellIs" dxfId="31" priority="22" operator="equal">
      <formula>"In Process"</formula>
    </cfRule>
  </conditionalFormatting>
  <conditionalFormatting sqref="J1:K1">
    <cfRule type="cellIs" priority="29" operator="equal">
      <formula>"In progress"</formula>
    </cfRule>
  </conditionalFormatting>
  <conditionalFormatting sqref="K1">
    <cfRule type="cellIs" dxfId="30" priority="30" operator="equal">
      <formula>"Completed"</formula>
    </cfRule>
  </conditionalFormatting>
  <conditionalFormatting sqref="M48:M49">
    <cfRule type="duplicateValues" dxfId="29" priority="32"/>
    <cfRule type="duplicateValues" dxfId="28" priority="33"/>
    <cfRule type="duplicateValues" dxfId="27" priority="34"/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BD044-0A4D-482C-8175-73CF307984AF}">
  <sheetPr filterMode="1"/>
  <dimension ref="A1:M42"/>
  <sheetViews>
    <sheetView tabSelected="1" topLeftCell="E31" workbookViewId="0">
      <selection activeCell="G46" sqref="G46"/>
    </sheetView>
  </sheetViews>
  <sheetFormatPr defaultRowHeight="14.5"/>
  <cols>
    <col min="2" max="2" width="18.08984375" customWidth="1"/>
    <col min="3" max="3" width="20.36328125" customWidth="1"/>
    <col min="4" max="4" width="20.08984375" customWidth="1"/>
    <col min="5" max="5" width="18.81640625" customWidth="1"/>
    <col min="6" max="6" width="19.08984375" customWidth="1"/>
    <col min="7" max="7" width="13.36328125" customWidth="1"/>
    <col min="8" max="8" width="20.1796875" customWidth="1"/>
    <col min="9" max="9" width="21.81640625" customWidth="1"/>
    <col min="10" max="10" width="14.81640625" customWidth="1"/>
    <col min="11" max="11" width="16.81640625" customWidth="1"/>
    <col min="12" max="12" width="14.453125" customWidth="1"/>
  </cols>
  <sheetData>
    <row r="1" spans="1:13">
      <c r="A1" s="559" t="s">
        <v>4329</v>
      </c>
      <c r="B1" s="559" t="s">
        <v>2634</v>
      </c>
      <c r="C1" s="559" t="s">
        <v>1668</v>
      </c>
      <c r="D1" s="559" t="s">
        <v>2637</v>
      </c>
      <c r="E1" s="597" t="s">
        <v>4330</v>
      </c>
      <c r="F1" s="597" t="s">
        <v>2636</v>
      </c>
      <c r="G1" s="586" t="s">
        <v>3883</v>
      </c>
      <c r="H1" s="586" t="s">
        <v>3149</v>
      </c>
      <c r="I1" s="598" t="s">
        <v>1882</v>
      </c>
      <c r="J1" s="598" t="s">
        <v>3884</v>
      </c>
      <c r="K1" s="598" t="s">
        <v>4177</v>
      </c>
      <c r="L1" s="147" t="s">
        <v>4331</v>
      </c>
      <c r="M1" s="147" t="s">
        <v>4331</v>
      </c>
    </row>
    <row r="2" spans="1:13" ht="15.5">
      <c r="A2" s="562">
        <v>25</v>
      </c>
      <c r="B2" s="5" t="s">
        <v>148</v>
      </c>
      <c r="C2" s="588">
        <v>46053</v>
      </c>
      <c r="D2" s="564" t="s">
        <v>4554</v>
      </c>
      <c r="E2" s="5">
        <v>545120605</v>
      </c>
      <c r="F2" s="99" t="s">
        <v>4555</v>
      </c>
      <c r="G2" s="120">
        <v>1.8043020599999999</v>
      </c>
      <c r="H2" s="120" t="e">
        <v>#N/A</v>
      </c>
      <c r="I2" s="5">
        <v>229</v>
      </c>
      <c r="J2" s="567" t="s">
        <v>3887</v>
      </c>
      <c r="K2" s="3" t="e">
        <v>#N/A</v>
      </c>
      <c r="L2" s="599"/>
      <c r="M2" s="599"/>
    </row>
    <row r="3" spans="1:13" ht="15.5">
      <c r="A3" s="562">
        <v>105</v>
      </c>
      <c r="B3" s="5" t="s">
        <v>148</v>
      </c>
      <c r="C3" s="588">
        <v>46055</v>
      </c>
      <c r="D3" s="564" t="s">
        <v>3341</v>
      </c>
      <c r="E3" s="5">
        <v>502173962</v>
      </c>
      <c r="F3" s="99" t="s">
        <v>4566</v>
      </c>
      <c r="G3" s="120">
        <v>1.6933301199999999</v>
      </c>
      <c r="H3" s="120" t="e">
        <v>#N/A</v>
      </c>
      <c r="I3" s="5">
        <v>229</v>
      </c>
      <c r="J3" s="567" t="s">
        <v>3887</v>
      </c>
      <c r="K3" s="3" t="e">
        <v>#N/A</v>
      </c>
      <c r="L3" s="599"/>
      <c r="M3" s="599"/>
    </row>
    <row r="4" spans="1:13" ht="15.5">
      <c r="A4" s="562">
        <v>189</v>
      </c>
      <c r="B4" s="147" t="s">
        <v>148</v>
      </c>
      <c r="C4" s="588">
        <v>46056</v>
      </c>
      <c r="D4" s="564" t="s">
        <v>4567</v>
      </c>
      <c r="E4" s="5">
        <v>508115737</v>
      </c>
      <c r="F4" s="588" t="s">
        <v>4568</v>
      </c>
      <c r="G4" s="120">
        <v>1.8052489599999999</v>
      </c>
      <c r="H4" s="120" t="e">
        <v>#N/A</v>
      </c>
      <c r="I4" s="5">
        <v>229</v>
      </c>
      <c r="J4" s="567" t="s">
        <v>3887</v>
      </c>
      <c r="K4" s="3" t="e">
        <v>#N/A</v>
      </c>
      <c r="L4" s="599"/>
      <c r="M4" s="599"/>
    </row>
    <row r="5" spans="1:13" ht="15.5">
      <c r="A5" s="562">
        <v>193</v>
      </c>
      <c r="B5" s="5" t="s">
        <v>148</v>
      </c>
      <c r="C5" s="588">
        <v>46056</v>
      </c>
      <c r="D5" s="564" t="s">
        <v>4569</v>
      </c>
      <c r="E5" s="5">
        <v>558376166</v>
      </c>
      <c r="F5" s="588" t="s">
        <v>4570</v>
      </c>
      <c r="G5" s="120">
        <v>1.8052531999999999</v>
      </c>
      <c r="H5" s="120" t="e">
        <v>#N/A</v>
      </c>
      <c r="I5" s="5">
        <v>229</v>
      </c>
      <c r="J5" s="567" t="s">
        <v>3887</v>
      </c>
      <c r="K5" s="3" t="e">
        <v>#N/A</v>
      </c>
      <c r="L5" s="599"/>
      <c r="M5" s="599"/>
    </row>
    <row r="6" spans="1:13" ht="16" hidden="1">
      <c r="A6" s="562">
        <v>221</v>
      </c>
      <c r="B6" s="5" t="s">
        <v>148</v>
      </c>
      <c r="C6" s="588">
        <v>46057</v>
      </c>
      <c r="D6" s="564" t="s">
        <v>4571</v>
      </c>
      <c r="E6" s="600">
        <v>569407705</v>
      </c>
      <c r="F6" s="588" t="s">
        <v>4572</v>
      </c>
      <c r="G6" s="120">
        <v>1.8055885300000001</v>
      </c>
      <c r="H6" s="120" t="e">
        <v>#N/A</v>
      </c>
      <c r="I6" s="5">
        <v>229</v>
      </c>
      <c r="J6" s="567" t="s">
        <v>255</v>
      </c>
      <c r="K6" s="3" t="e">
        <v>#N/A</v>
      </c>
      <c r="L6" s="599"/>
      <c r="M6" s="599"/>
    </row>
    <row r="7" spans="1:13" ht="16">
      <c r="A7" s="562">
        <v>230</v>
      </c>
      <c r="B7" s="5" t="s">
        <v>148</v>
      </c>
      <c r="C7" s="588">
        <v>46057</v>
      </c>
      <c r="D7" s="564" t="s">
        <v>4573</v>
      </c>
      <c r="E7" s="600">
        <v>525054757</v>
      </c>
      <c r="F7" s="588" t="s">
        <v>4574</v>
      </c>
      <c r="G7" s="120">
        <v>1.8056048099999999</v>
      </c>
      <c r="H7" s="120" t="e">
        <v>#N/A</v>
      </c>
      <c r="I7" s="5">
        <v>229</v>
      </c>
      <c r="J7" s="567" t="s">
        <v>3887</v>
      </c>
      <c r="K7" s="3" t="e">
        <v>#N/A</v>
      </c>
      <c r="L7" s="599"/>
      <c r="M7" s="599"/>
    </row>
    <row r="8" spans="1:13" ht="16">
      <c r="A8" s="562">
        <v>288</v>
      </c>
      <c r="B8" s="5" t="s">
        <v>148</v>
      </c>
      <c r="C8" s="588">
        <v>46057</v>
      </c>
      <c r="D8" s="3" t="s">
        <v>4571</v>
      </c>
      <c r="E8" s="600">
        <v>502173962</v>
      </c>
      <c r="F8" s="588" t="s">
        <v>4575</v>
      </c>
      <c r="G8" s="120">
        <v>1.80558782</v>
      </c>
      <c r="H8" s="120" t="e">
        <v>#N/A</v>
      </c>
      <c r="I8" s="5">
        <v>229</v>
      </c>
      <c r="J8" s="567" t="s">
        <v>3887</v>
      </c>
      <c r="K8" s="3" t="e">
        <v>#N/A</v>
      </c>
      <c r="L8" s="599"/>
      <c r="M8" s="599"/>
    </row>
    <row r="9" spans="1:13" ht="16">
      <c r="A9" s="562">
        <v>308</v>
      </c>
      <c r="B9" s="5" t="s">
        <v>148</v>
      </c>
      <c r="C9" s="588">
        <v>46058</v>
      </c>
      <c r="D9" s="3" t="s">
        <v>4576</v>
      </c>
      <c r="E9" s="600">
        <v>527439998</v>
      </c>
      <c r="F9" s="588" t="s">
        <v>4577</v>
      </c>
      <c r="G9" s="120">
        <v>1.8058790199999999</v>
      </c>
      <c r="H9" s="120" t="e">
        <v>#N/A</v>
      </c>
      <c r="I9" s="5">
        <v>229</v>
      </c>
      <c r="J9" s="567" t="s">
        <v>3887</v>
      </c>
      <c r="K9" s="3" t="e">
        <v>#N/A</v>
      </c>
      <c r="L9" s="599"/>
      <c r="M9" s="599"/>
    </row>
    <row r="10" spans="1:13" ht="15.5">
      <c r="A10" s="562">
        <v>413</v>
      </c>
      <c r="B10" s="5" t="s">
        <v>148</v>
      </c>
      <c r="C10" s="588">
        <v>46060</v>
      </c>
      <c r="D10" s="3" t="s">
        <v>4578</v>
      </c>
      <c r="E10" s="5">
        <v>543781558</v>
      </c>
      <c r="F10" s="99" t="s">
        <v>4579</v>
      </c>
      <c r="G10" s="120">
        <v>1.80646467</v>
      </c>
      <c r="H10" s="120" t="e">
        <v>#N/A</v>
      </c>
      <c r="I10" s="5">
        <v>229</v>
      </c>
      <c r="J10" s="567" t="s">
        <v>3887</v>
      </c>
      <c r="K10" s="3" t="e">
        <v>#N/A</v>
      </c>
      <c r="L10" s="599"/>
      <c r="M10" s="599"/>
    </row>
    <row r="11" spans="1:13" ht="15.5">
      <c r="A11" s="562">
        <v>449</v>
      </c>
      <c r="B11" s="5" t="s">
        <v>148</v>
      </c>
      <c r="C11" s="588">
        <v>46061</v>
      </c>
      <c r="D11" s="3" t="s">
        <v>4580</v>
      </c>
      <c r="E11" s="5">
        <v>524194720</v>
      </c>
      <c r="F11" s="99" t="s">
        <v>4581</v>
      </c>
      <c r="G11" s="120">
        <v>1.80712911</v>
      </c>
      <c r="H11" s="120" t="e">
        <v>#N/A</v>
      </c>
      <c r="I11" s="5">
        <v>229</v>
      </c>
      <c r="J11" s="567" t="s">
        <v>3887</v>
      </c>
      <c r="K11" s="3" t="e">
        <v>#N/A</v>
      </c>
      <c r="L11" s="599"/>
      <c r="M11" s="599"/>
    </row>
    <row r="12" spans="1:13" ht="15.5">
      <c r="A12" s="562">
        <v>466</v>
      </c>
      <c r="B12" s="147" t="s">
        <v>148</v>
      </c>
      <c r="C12" s="588">
        <v>46061</v>
      </c>
      <c r="D12" s="3" t="s">
        <v>4582</v>
      </c>
      <c r="E12" s="5">
        <v>544918875</v>
      </c>
      <c r="F12" s="99" t="s">
        <v>4583</v>
      </c>
      <c r="G12" s="120">
        <v>1.8070342500000001</v>
      </c>
      <c r="H12" s="120" t="e">
        <v>#N/A</v>
      </c>
      <c r="I12" s="5">
        <v>299</v>
      </c>
      <c r="J12" s="567" t="s">
        <v>3887</v>
      </c>
      <c r="K12" s="3" t="e">
        <v>#N/A</v>
      </c>
      <c r="L12" s="599"/>
      <c r="M12" s="599"/>
    </row>
    <row r="13" spans="1:13" ht="15.5" hidden="1">
      <c r="A13" s="562">
        <v>478</v>
      </c>
      <c r="B13" s="5" t="s">
        <v>148</v>
      </c>
      <c r="C13" s="588">
        <v>46062</v>
      </c>
      <c r="D13" s="3" t="s">
        <v>4584</v>
      </c>
      <c r="E13" s="5">
        <v>544918875</v>
      </c>
      <c r="F13" s="99" t="s">
        <v>4585</v>
      </c>
      <c r="G13" s="120">
        <v>1.8070342500000001</v>
      </c>
      <c r="H13" s="120" t="e">
        <v>#N/A</v>
      </c>
      <c r="I13" s="5">
        <v>229</v>
      </c>
      <c r="J13" s="567" t="s">
        <v>255</v>
      </c>
      <c r="K13" s="3" t="e">
        <v>#N/A</v>
      </c>
      <c r="L13" s="599"/>
      <c r="M13" s="599"/>
    </row>
    <row r="14" spans="1:13" ht="15.5">
      <c r="A14" s="562">
        <v>547</v>
      </c>
      <c r="B14" s="147" t="s">
        <v>148</v>
      </c>
      <c r="C14" s="588">
        <v>46063</v>
      </c>
      <c r="D14" s="3" t="s">
        <v>4586</v>
      </c>
      <c r="E14" s="5">
        <v>554094408</v>
      </c>
      <c r="F14" s="120" t="s">
        <v>4587</v>
      </c>
      <c r="G14" s="120">
        <v>1.1709330499999999</v>
      </c>
      <c r="H14" s="120" t="e">
        <v>#N/A</v>
      </c>
      <c r="I14" s="3">
        <v>229</v>
      </c>
      <c r="J14" s="567" t="s">
        <v>3887</v>
      </c>
      <c r="K14" s="3" t="e">
        <v>#N/A</v>
      </c>
      <c r="L14" s="599"/>
      <c r="M14" s="599"/>
    </row>
    <row r="15" spans="1:13" ht="15.5" hidden="1">
      <c r="A15" s="562">
        <v>596</v>
      </c>
      <c r="B15" s="5" t="s">
        <v>148</v>
      </c>
      <c r="C15" s="588">
        <v>46065</v>
      </c>
      <c r="D15" s="3" t="s">
        <v>4588</v>
      </c>
      <c r="E15" s="5">
        <v>563906027</v>
      </c>
      <c r="F15" s="120" t="s">
        <v>4589</v>
      </c>
      <c r="G15" s="120">
        <v>1.3590197900000001</v>
      </c>
      <c r="H15" s="120" t="e">
        <v>#N/A</v>
      </c>
      <c r="I15" s="3">
        <v>229</v>
      </c>
      <c r="J15" s="567" t="s">
        <v>255</v>
      </c>
      <c r="K15" s="3" t="e">
        <v>#N/A</v>
      </c>
      <c r="L15" s="599"/>
      <c r="M15" s="599"/>
    </row>
    <row r="16" spans="1:13" ht="15.5">
      <c r="A16" s="562">
        <v>623</v>
      </c>
      <c r="B16" s="5" t="s">
        <v>148</v>
      </c>
      <c r="C16" s="588">
        <v>46065</v>
      </c>
      <c r="D16" s="3" t="s">
        <v>4590</v>
      </c>
      <c r="E16" s="5">
        <v>526970212</v>
      </c>
      <c r="F16" s="120" t="s">
        <v>4591</v>
      </c>
      <c r="G16" s="120">
        <v>1.80828083</v>
      </c>
      <c r="H16" s="120" t="e">
        <v>#N/A</v>
      </c>
      <c r="I16" s="3">
        <v>229</v>
      </c>
      <c r="J16" s="567" t="s">
        <v>3887</v>
      </c>
      <c r="K16" s="3" t="e">
        <v>#N/A</v>
      </c>
      <c r="L16" s="599"/>
      <c r="M16" s="599"/>
    </row>
    <row r="17" spans="1:13" ht="15.5">
      <c r="A17" s="562">
        <v>640</v>
      </c>
      <c r="B17" s="5" t="s">
        <v>148</v>
      </c>
      <c r="C17" s="588">
        <v>46065</v>
      </c>
      <c r="D17" s="3" t="s">
        <v>4592</v>
      </c>
      <c r="E17" s="5">
        <v>564215182</v>
      </c>
      <c r="F17" s="120" t="s">
        <v>4593</v>
      </c>
      <c r="G17" s="120">
        <v>1.8083371699999999</v>
      </c>
      <c r="H17" s="120" t="e">
        <v>#N/A</v>
      </c>
      <c r="I17" s="3">
        <v>229</v>
      </c>
      <c r="J17" s="567" t="s">
        <v>3887</v>
      </c>
      <c r="K17" s="3" t="e">
        <v>#N/A</v>
      </c>
      <c r="L17" s="599"/>
      <c r="M17" s="599"/>
    </row>
    <row r="18" spans="1:13" ht="15.5">
      <c r="A18" s="562">
        <v>648</v>
      </c>
      <c r="B18" s="147" t="s">
        <v>148</v>
      </c>
      <c r="C18" s="588">
        <v>46066</v>
      </c>
      <c r="D18" s="3" t="s">
        <v>4594</v>
      </c>
      <c r="E18" s="5">
        <v>557611090</v>
      </c>
      <c r="F18" s="120" t="s">
        <v>4595</v>
      </c>
      <c r="G18" s="120">
        <v>1.8087229199999999</v>
      </c>
      <c r="H18" s="120" t="e">
        <v>#N/A</v>
      </c>
      <c r="I18" s="3">
        <v>229</v>
      </c>
      <c r="J18" s="567" t="s">
        <v>3887</v>
      </c>
      <c r="K18" s="3" t="e">
        <v>#N/A</v>
      </c>
      <c r="L18" s="599"/>
      <c r="M18" s="599"/>
    </row>
    <row r="19" spans="1:13" ht="15.5">
      <c r="A19" s="562">
        <v>666</v>
      </c>
      <c r="B19" s="147" t="s">
        <v>148</v>
      </c>
      <c r="C19" s="588">
        <v>46066</v>
      </c>
      <c r="D19" s="3" t="s">
        <v>4588</v>
      </c>
      <c r="E19" s="5">
        <v>563906027</v>
      </c>
      <c r="F19" s="120" t="s">
        <v>4596</v>
      </c>
      <c r="G19" s="120">
        <v>1.3590197900000001</v>
      </c>
      <c r="H19" s="120" t="e">
        <v>#N/A</v>
      </c>
      <c r="I19" s="3">
        <v>229</v>
      </c>
      <c r="J19" s="567" t="s">
        <v>3887</v>
      </c>
      <c r="K19" s="3" t="s">
        <v>3313</v>
      </c>
      <c r="L19" s="599"/>
      <c r="M19" s="599"/>
    </row>
    <row r="20" spans="1:13" ht="15.5">
      <c r="A20" s="562">
        <v>747</v>
      </c>
      <c r="B20" s="5" t="s">
        <v>148</v>
      </c>
      <c r="C20" s="588">
        <v>46069</v>
      </c>
      <c r="D20" s="3" t="s">
        <v>4597</v>
      </c>
      <c r="E20" s="5">
        <v>569388966</v>
      </c>
      <c r="F20" s="120" t="s">
        <v>4598</v>
      </c>
      <c r="G20" s="120">
        <v>1.8097110300000001</v>
      </c>
      <c r="H20" s="120" t="e">
        <v>#N/A</v>
      </c>
      <c r="I20" s="3">
        <v>229</v>
      </c>
      <c r="J20" s="567" t="s">
        <v>3887</v>
      </c>
      <c r="K20" s="3" t="e">
        <v>#N/A</v>
      </c>
      <c r="L20" s="599"/>
      <c r="M20" s="599"/>
    </row>
    <row r="21" spans="1:13" ht="15.5">
      <c r="A21" s="562">
        <v>812</v>
      </c>
      <c r="B21" s="5" t="s">
        <v>148</v>
      </c>
      <c r="C21" s="588">
        <v>46070</v>
      </c>
      <c r="D21" s="3" t="s">
        <v>4599</v>
      </c>
      <c r="E21" s="5">
        <v>501961275</v>
      </c>
      <c r="F21" s="120" t="s">
        <v>4600</v>
      </c>
      <c r="G21" s="120">
        <v>1.8100859199999999</v>
      </c>
      <c r="H21" s="120" t="e">
        <v>#N/A</v>
      </c>
      <c r="I21" s="3">
        <v>229</v>
      </c>
      <c r="J21" s="567" t="s">
        <v>3887</v>
      </c>
      <c r="K21" s="3" t="e">
        <v>#N/A</v>
      </c>
      <c r="L21" s="599"/>
      <c r="M21" s="599"/>
    </row>
    <row r="22" spans="1:13" ht="15.5" hidden="1">
      <c r="A22" s="562">
        <v>823</v>
      </c>
      <c r="B22" s="5" t="s">
        <v>148</v>
      </c>
      <c r="C22" s="588">
        <v>46070</v>
      </c>
      <c r="D22" s="3" t="s">
        <v>4601</v>
      </c>
      <c r="E22" s="5">
        <v>586606993</v>
      </c>
      <c r="F22" s="120" t="s">
        <v>4602</v>
      </c>
      <c r="G22" s="120">
        <v>1.8101147099999999</v>
      </c>
      <c r="H22" s="120" t="e">
        <v>#N/A</v>
      </c>
      <c r="I22" s="3">
        <v>229</v>
      </c>
      <c r="J22" s="567" t="s">
        <v>255</v>
      </c>
      <c r="K22" s="3" t="e">
        <v>#N/A</v>
      </c>
      <c r="L22" s="599"/>
      <c r="M22" s="599"/>
    </row>
    <row r="23" spans="1:13" ht="15.5">
      <c r="A23" s="562">
        <v>827</v>
      </c>
      <c r="B23" s="5" t="s">
        <v>148</v>
      </c>
      <c r="C23" s="588">
        <v>46070</v>
      </c>
      <c r="D23" s="3" t="s">
        <v>4603</v>
      </c>
      <c r="E23" s="5">
        <v>561707639</v>
      </c>
      <c r="F23" s="120" t="s">
        <v>4604</v>
      </c>
      <c r="G23" s="120">
        <v>1.72174176</v>
      </c>
      <c r="H23" s="120" t="s">
        <v>3732</v>
      </c>
      <c r="I23" s="3">
        <v>229</v>
      </c>
      <c r="J23" s="567" t="s">
        <v>3887</v>
      </c>
      <c r="K23" s="3" t="e">
        <v>#N/A</v>
      </c>
      <c r="L23" s="599"/>
      <c r="M23" s="599"/>
    </row>
    <row r="24" spans="1:13" ht="15.5">
      <c r="A24" s="562">
        <v>947</v>
      </c>
      <c r="B24" s="5" t="s">
        <v>148</v>
      </c>
      <c r="C24" s="588">
        <v>46074</v>
      </c>
      <c r="D24" s="569" t="s">
        <v>4605</v>
      </c>
      <c r="E24" s="5">
        <v>588119948</v>
      </c>
      <c r="F24" s="120" t="s">
        <v>4606</v>
      </c>
      <c r="G24" s="120">
        <v>1.5737812600000001</v>
      </c>
      <c r="H24" s="120" t="e">
        <v>#N/A</v>
      </c>
      <c r="I24" s="5">
        <v>229</v>
      </c>
      <c r="J24" s="567" t="s">
        <v>3887</v>
      </c>
      <c r="K24" s="3" t="e">
        <v>#N/A</v>
      </c>
      <c r="L24" s="599"/>
      <c r="M24" s="599"/>
    </row>
    <row r="25" spans="1:13" ht="15.5">
      <c r="A25" s="562">
        <v>1192</v>
      </c>
      <c r="B25" s="5" t="s">
        <v>148</v>
      </c>
      <c r="C25" s="588">
        <v>46078</v>
      </c>
      <c r="D25" s="569" t="s">
        <v>4607</v>
      </c>
      <c r="E25" s="5">
        <v>586606993</v>
      </c>
      <c r="F25" s="120" t="s">
        <v>4608</v>
      </c>
      <c r="G25" s="99">
        <v>1.8123426</v>
      </c>
      <c r="H25" s="120" t="e">
        <v>#N/A</v>
      </c>
      <c r="I25" s="5">
        <v>229</v>
      </c>
      <c r="J25" s="567" t="s">
        <v>3887</v>
      </c>
      <c r="K25" s="3" t="e">
        <v>#N/A</v>
      </c>
      <c r="L25" s="599" t="e">
        <v>#N/A</v>
      </c>
      <c r="M25" s="599" t="e">
        <v>#N/A</v>
      </c>
    </row>
    <row r="26" spans="1:13" ht="31">
      <c r="A26" s="562">
        <v>1268</v>
      </c>
      <c r="B26" s="569" t="s">
        <v>148</v>
      </c>
      <c r="C26" s="588">
        <v>46079</v>
      </c>
      <c r="D26" s="569" t="s">
        <v>4609</v>
      </c>
      <c r="E26" s="5">
        <v>553813576</v>
      </c>
      <c r="F26" s="120" t="s">
        <v>4610</v>
      </c>
      <c r="G26" s="120">
        <v>1.24577045</v>
      </c>
      <c r="H26" s="120" t="e">
        <v>#N/A</v>
      </c>
      <c r="I26" s="5">
        <v>229</v>
      </c>
      <c r="J26" s="567" t="s">
        <v>3887</v>
      </c>
      <c r="K26" s="3" t="e">
        <v>#N/A</v>
      </c>
    </row>
    <row r="27" spans="1:13" ht="15.5" hidden="1">
      <c r="A27" s="562">
        <v>1273</v>
      </c>
      <c r="B27" s="569" t="s">
        <v>148</v>
      </c>
      <c r="C27" s="588">
        <v>46080</v>
      </c>
      <c r="D27" s="569" t="s">
        <v>4611</v>
      </c>
      <c r="E27" s="5">
        <v>506019025</v>
      </c>
      <c r="F27" s="565" t="s">
        <v>4612</v>
      </c>
      <c r="G27" s="120">
        <v>1.8128305199999999</v>
      </c>
      <c r="H27" s="120" t="e">
        <v>#N/A</v>
      </c>
      <c r="I27" s="5">
        <v>229</v>
      </c>
      <c r="J27" s="567" t="s">
        <v>255</v>
      </c>
      <c r="K27" s="3" t="e">
        <v>#N/A</v>
      </c>
    </row>
    <row r="28" spans="1:13" ht="15.5" hidden="1">
      <c r="A28" s="562">
        <v>1274</v>
      </c>
      <c r="B28" s="569" t="s">
        <v>148</v>
      </c>
      <c r="C28" s="588">
        <v>46080</v>
      </c>
      <c r="D28" s="569" t="s">
        <v>4613</v>
      </c>
      <c r="E28" s="5">
        <v>559241099</v>
      </c>
      <c r="F28" s="565" t="s">
        <v>4614</v>
      </c>
      <c r="G28" s="120">
        <v>1.36974167</v>
      </c>
      <c r="H28" s="120" t="e">
        <v>#N/A</v>
      </c>
      <c r="I28" s="5">
        <v>229</v>
      </c>
      <c r="J28" s="567" t="s">
        <v>255</v>
      </c>
      <c r="K28" s="3" t="s">
        <v>3313</v>
      </c>
    </row>
    <row r="29" spans="1:13" ht="15.5">
      <c r="A29" s="562">
        <v>1295</v>
      </c>
      <c r="B29" s="569" t="s">
        <v>148</v>
      </c>
      <c r="C29" s="588">
        <v>46080</v>
      </c>
      <c r="D29" s="569" t="s">
        <v>4615</v>
      </c>
      <c r="E29" s="5">
        <v>501677536</v>
      </c>
      <c r="F29" s="565" t="s">
        <v>4616</v>
      </c>
      <c r="G29" s="120">
        <v>1.81291241</v>
      </c>
      <c r="H29" s="120" t="e">
        <v>#N/A</v>
      </c>
      <c r="I29" s="5">
        <v>229</v>
      </c>
      <c r="J29" s="567" t="s">
        <v>3887</v>
      </c>
      <c r="K29" s="3" t="e">
        <v>#N/A</v>
      </c>
    </row>
    <row r="30" spans="1:13" ht="15.5">
      <c r="A30" s="562">
        <v>1314</v>
      </c>
      <c r="B30" s="569" t="s">
        <v>148</v>
      </c>
      <c r="C30" s="588">
        <v>46080</v>
      </c>
      <c r="D30" s="569" t="s">
        <v>4617</v>
      </c>
      <c r="E30" s="5">
        <v>502173962</v>
      </c>
      <c r="F30" s="565" t="s">
        <v>4618</v>
      </c>
      <c r="G30" s="120">
        <v>1.81297229</v>
      </c>
      <c r="H30" s="120" t="e">
        <v>#N/A</v>
      </c>
      <c r="I30" s="5">
        <v>229</v>
      </c>
      <c r="J30" s="567" t="s">
        <v>3887</v>
      </c>
      <c r="K30" s="3" t="e">
        <v>#N/A</v>
      </c>
    </row>
    <row r="31" spans="1:13" ht="31">
      <c r="A31" s="562">
        <v>1343</v>
      </c>
      <c r="B31" s="569" t="s">
        <v>148</v>
      </c>
      <c r="C31" s="588">
        <v>46081</v>
      </c>
      <c r="D31" s="569" t="s">
        <v>4619</v>
      </c>
      <c r="E31" s="5">
        <v>561707639</v>
      </c>
      <c r="F31" s="565" t="s">
        <v>4620</v>
      </c>
      <c r="G31" s="120">
        <v>1.8131772900000001</v>
      </c>
      <c r="H31" s="120" t="e">
        <v>#N/A</v>
      </c>
      <c r="I31" s="5">
        <v>229</v>
      </c>
      <c r="J31" s="567" t="s">
        <v>3887</v>
      </c>
      <c r="K31" s="3" t="e">
        <v>#N/A</v>
      </c>
    </row>
    <row r="32" spans="1:13" ht="15.5" hidden="1">
      <c r="A32" s="562">
        <v>1357</v>
      </c>
      <c r="B32" s="569" t="s">
        <v>148</v>
      </c>
      <c r="C32" s="588">
        <v>46081</v>
      </c>
      <c r="D32" s="569" t="s">
        <v>2101</v>
      </c>
      <c r="E32" s="5">
        <v>557799398</v>
      </c>
      <c r="F32" s="565" t="s">
        <v>4621</v>
      </c>
      <c r="G32" s="120">
        <v>1.8132230300000001</v>
      </c>
      <c r="H32" s="120" t="e">
        <v>#N/A</v>
      </c>
      <c r="I32" s="5">
        <v>229</v>
      </c>
      <c r="J32" s="567" t="s">
        <v>255</v>
      </c>
      <c r="K32" s="3" t="e">
        <v>#N/A</v>
      </c>
    </row>
    <row r="38" spans="2:12">
      <c r="B38" s="608" t="s">
        <v>4622</v>
      </c>
      <c r="C38" s="590" t="s">
        <v>2909</v>
      </c>
      <c r="D38" s="591" t="s">
        <v>4310</v>
      </c>
      <c r="E38" s="591" t="s">
        <v>4311</v>
      </c>
      <c r="F38" s="591" t="s">
        <v>2815</v>
      </c>
      <c r="G38" s="591" t="s">
        <v>4312</v>
      </c>
      <c r="H38" s="591" t="s">
        <v>4313</v>
      </c>
      <c r="I38" s="591" t="s">
        <v>4623</v>
      </c>
      <c r="J38" s="591" t="s">
        <v>4315</v>
      </c>
      <c r="K38" s="592" t="s">
        <v>4624</v>
      </c>
      <c r="L38" s="591" t="s">
        <v>4625</v>
      </c>
    </row>
    <row r="39" spans="2:12">
      <c r="B39" s="608"/>
      <c r="C39" s="594" t="s">
        <v>4318</v>
      </c>
      <c r="D39" s="594">
        <v>23</v>
      </c>
      <c r="E39" s="594">
        <v>300</v>
      </c>
      <c r="F39" s="609">
        <v>300</v>
      </c>
      <c r="G39" s="594">
        <f>D39*E39</f>
        <v>6900</v>
      </c>
      <c r="H39" s="610">
        <f>-F39+G39+G40+G41</f>
        <v>7050</v>
      </c>
      <c r="I39" s="610">
        <v>800</v>
      </c>
      <c r="J39" s="610">
        <v>0</v>
      </c>
      <c r="K39" s="613">
        <v>15000</v>
      </c>
      <c r="L39" s="607">
        <f>+H39+I39+J39-K39</f>
        <v>-7150</v>
      </c>
    </row>
    <row r="40" spans="2:12">
      <c r="B40" s="608"/>
      <c r="C40" s="594" t="s">
        <v>4319</v>
      </c>
      <c r="D40" s="594">
        <v>1</v>
      </c>
      <c r="E40" s="594">
        <v>450</v>
      </c>
      <c r="F40" s="609"/>
      <c r="G40" s="594">
        <f t="shared" ref="G40" si="0">D40*E40</f>
        <v>450</v>
      </c>
      <c r="H40" s="611"/>
      <c r="I40" s="611"/>
      <c r="J40" s="611"/>
      <c r="K40" s="614"/>
      <c r="L40" s="607"/>
    </row>
    <row r="41" spans="2:12">
      <c r="B41" s="608"/>
      <c r="C41" s="594" t="s">
        <v>4323</v>
      </c>
      <c r="D41" s="594"/>
      <c r="E41" s="594">
        <v>500</v>
      </c>
      <c r="F41" s="609"/>
      <c r="G41" s="143">
        <f>E41*D41</f>
        <v>0</v>
      </c>
      <c r="H41" s="612"/>
      <c r="I41" s="612"/>
      <c r="J41" s="612"/>
      <c r="K41" s="615"/>
      <c r="L41" s="607"/>
    </row>
    <row r="42" spans="2:12">
      <c r="H42">
        <v>7350</v>
      </c>
      <c r="I42" s="153">
        <v>2600</v>
      </c>
      <c r="L42">
        <v>-5050</v>
      </c>
    </row>
  </sheetData>
  <autoFilter ref="A1:M32" xr:uid="{56FBD044-0A4D-482C-8175-73CF307984AF}">
    <filterColumn colId="9">
      <filters>
        <filter val="Activated"/>
      </filters>
    </filterColumn>
  </autoFilter>
  <mergeCells count="7">
    <mergeCell ref="L39:L41"/>
    <mergeCell ref="B38:B41"/>
    <mergeCell ref="F39:F41"/>
    <mergeCell ref="H39:H41"/>
    <mergeCell ref="I39:I41"/>
    <mergeCell ref="J39:J41"/>
    <mergeCell ref="K39:K41"/>
  </mergeCells>
  <conditionalFormatting sqref="E6:E7">
    <cfRule type="duplicateValues" dxfId="26" priority="10"/>
    <cfRule type="duplicateValues" dxfId="25" priority="11"/>
    <cfRule type="duplicateValues" dxfId="24" priority="12"/>
  </conditionalFormatting>
  <conditionalFormatting sqref="E8:E9">
    <cfRule type="duplicateValues" dxfId="23" priority="7"/>
    <cfRule type="duplicateValues" dxfId="22" priority="8"/>
    <cfRule type="duplicateValues" dxfId="21" priority="9"/>
  </conditionalFormatting>
  <conditionalFormatting sqref="F10:F11 F2:F3">
    <cfRule type="duplicateValues" dxfId="20" priority="13"/>
    <cfRule type="duplicateValues" dxfId="19" priority="14"/>
    <cfRule type="duplicateValues" dxfId="18" priority="15"/>
  </conditionalFormatting>
  <conditionalFormatting sqref="F12:F24">
    <cfRule type="duplicateValues" dxfId="17" priority="4"/>
    <cfRule type="duplicateValues" dxfId="16" priority="5"/>
    <cfRule type="duplicateValues" dxfId="15" priority="6"/>
  </conditionalFormatting>
  <conditionalFormatting sqref="F25:F26">
    <cfRule type="duplicateValues" dxfId="14" priority="1"/>
    <cfRule type="duplicateValues" dxfId="13" priority="2"/>
    <cfRule type="duplicateValues" dxfId="12" priority="3"/>
  </conditionalFormatting>
  <conditionalFormatting sqref="G2:G32">
    <cfRule type="duplicateValues" dxfId="11" priority="16"/>
    <cfRule type="duplicateValues" dxfId="10" priority="17"/>
    <cfRule type="duplicateValues" dxfId="9" priority="18"/>
  </conditionalFormatting>
  <conditionalFormatting sqref="H2:H32">
    <cfRule type="duplicateValues" dxfId="8" priority="23"/>
    <cfRule type="duplicateValues" dxfId="7" priority="24"/>
    <cfRule type="duplicateValues" dxfId="6" priority="25"/>
  </conditionalFormatting>
  <conditionalFormatting sqref="J1:J32">
    <cfRule type="cellIs" dxfId="5" priority="28" operator="equal">
      <formula>"Completed"</formula>
    </cfRule>
  </conditionalFormatting>
  <conditionalFormatting sqref="J2:J32">
    <cfRule type="cellIs" dxfId="4" priority="19" operator="equal">
      <formula>"In Process"</formula>
    </cfRule>
    <cfRule type="cellIs" dxfId="3" priority="20" operator="equal">
      <formula>"Cancelled"</formula>
    </cfRule>
    <cfRule type="cellIs" dxfId="2" priority="21" operator="equal">
      <formula>"Activated"</formula>
    </cfRule>
    <cfRule type="cellIs" dxfId="1" priority="22" operator="equal">
      <formula>"In Process"</formula>
    </cfRule>
  </conditionalFormatting>
  <conditionalFormatting sqref="J1:K1">
    <cfRule type="cellIs" priority="26" operator="equal">
      <formula>"In progress"</formula>
    </cfRule>
  </conditionalFormatting>
  <conditionalFormatting sqref="K1">
    <cfRule type="cellIs" dxfId="0" priority="27" operator="equal">
      <formula>"Completed"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53</vt:i4>
      </vt:variant>
    </vt:vector>
  </HeadingPairs>
  <TitlesOfParts>
    <vt:vector size="53" baseType="lpstr">
      <vt:lpstr>OCTOBER</vt:lpstr>
      <vt:lpstr>NOVEMBER</vt:lpstr>
      <vt:lpstr>DECEMBER</vt:lpstr>
      <vt:lpstr>JANUARY 22</vt:lpstr>
      <vt:lpstr>FEBRARY 22</vt:lpstr>
      <vt:lpstr>MARCH 22</vt:lpstr>
      <vt:lpstr>APRAIL 22</vt:lpstr>
      <vt:lpstr>MAY 22</vt:lpstr>
      <vt:lpstr>JUNE 22</vt:lpstr>
      <vt:lpstr>JULLY 22</vt:lpstr>
      <vt:lpstr>Augest 22</vt:lpstr>
      <vt:lpstr>SEPTEMBER 22</vt:lpstr>
      <vt:lpstr>OCTOBER 22</vt:lpstr>
      <vt:lpstr>November 22</vt:lpstr>
      <vt:lpstr>December 22</vt:lpstr>
      <vt:lpstr>January 23</vt:lpstr>
      <vt:lpstr>Febrary 23</vt:lpstr>
      <vt:lpstr>March 23</vt:lpstr>
      <vt:lpstr>aprail 23</vt:lpstr>
      <vt:lpstr>May 23</vt:lpstr>
      <vt:lpstr>june 23</vt:lpstr>
      <vt:lpstr>Jully 23</vt:lpstr>
      <vt:lpstr>Augest 23</vt:lpstr>
      <vt:lpstr>September 23</vt:lpstr>
      <vt:lpstr>October 23</vt:lpstr>
      <vt:lpstr>November 23</vt:lpstr>
      <vt:lpstr>december 23</vt:lpstr>
      <vt:lpstr>JANUARY 24</vt:lpstr>
      <vt:lpstr>Febrary 2024</vt:lpstr>
      <vt:lpstr>March 2024</vt:lpstr>
      <vt:lpstr>aprail 2024</vt:lpstr>
      <vt:lpstr>may 2024</vt:lpstr>
      <vt:lpstr>June 2024</vt:lpstr>
      <vt:lpstr>Jully 24</vt:lpstr>
      <vt:lpstr>Augest 24</vt:lpstr>
      <vt:lpstr>september 24</vt:lpstr>
      <vt:lpstr>october 24</vt:lpstr>
      <vt:lpstr>november 24</vt:lpstr>
      <vt:lpstr>december 24</vt:lpstr>
      <vt:lpstr>January 25</vt:lpstr>
      <vt:lpstr>Febrary 25</vt:lpstr>
      <vt:lpstr>March 25</vt:lpstr>
      <vt:lpstr>Aprail 25</vt:lpstr>
      <vt:lpstr>may 25</vt:lpstr>
      <vt:lpstr>june 25</vt:lpstr>
      <vt:lpstr>Jully 25</vt:lpstr>
      <vt:lpstr>Augest 25</vt:lpstr>
      <vt:lpstr>September 25</vt:lpstr>
      <vt:lpstr>october 25</vt:lpstr>
      <vt:lpstr>November 25</vt:lpstr>
      <vt:lpstr>december 25</vt:lpstr>
      <vt:lpstr>January 2026</vt:lpstr>
      <vt:lpstr>febrary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2026-03-15T03:31:58Z</dcterms:modified>
</cp:coreProperties>
</file>